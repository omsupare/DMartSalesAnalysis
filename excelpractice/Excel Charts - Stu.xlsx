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9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10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1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msup\Documents\Advanced Excel\excelpractice\"/>
    </mc:Choice>
  </mc:AlternateContent>
  <xr:revisionPtr revIDLastSave="0" documentId="13_ncr:1_{52113A68-3426-411B-B49D-83476CD92AA3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BoxPlot" sheetId="1" r:id="rId1"/>
    <sheet name="BoxPlot (2)" sheetId="2" r:id="rId2"/>
    <sheet name="Scatterplot1" sheetId="3" r:id="rId3"/>
    <sheet name="Scatterplot2" sheetId="13" r:id="rId4"/>
    <sheet name="WaterfallChart1" sheetId="4" r:id="rId5"/>
    <sheet name="WaterfallChart2" sheetId="5" r:id="rId6"/>
    <sheet name="WaterfallChart3" sheetId="6" r:id="rId7"/>
    <sheet name="Treemap1" sheetId="7" r:id="rId8"/>
    <sheet name="Treemap2" sheetId="8" r:id="rId9"/>
    <sheet name="Treemap3" sheetId="9" r:id="rId10"/>
    <sheet name="FunnelChart1" sheetId="10" r:id="rId11"/>
    <sheet name="FunnelChart2" sheetId="11" r:id="rId12"/>
    <sheet name="FunnelChart3" sheetId="12" r:id="rId13"/>
  </sheets>
  <definedNames>
    <definedName name="_xlchart.v1.0" hidden="1">BoxPlot!$B$4:$B$33</definedName>
    <definedName name="_xlchart.v1.1" hidden="1">'BoxPlot (2)'!$A$3</definedName>
    <definedName name="_xlchart.v1.10" hidden="1">WaterfallChart1!$B$2</definedName>
    <definedName name="_xlchart.v1.11" hidden="1">WaterfallChart1!$B$3:$B$11</definedName>
    <definedName name="_xlchart.v1.12" hidden="1">WaterfallChart2!$A$3:$A$10</definedName>
    <definedName name="_xlchart.v1.13" hidden="1">WaterfallChart2!$B$2</definedName>
    <definedName name="_xlchart.v1.14" hidden="1">WaterfallChart2!$B$3:$B$10</definedName>
    <definedName name="_xlchart.v1.15" hidden="1">WaterfallChart3!$A$3:$A$12</definedName>
    <definedName name="_xlchart.v1.16" hidden="1">WaterfallChart3!$B$2</definedName>
    <definedName name="_xlchart.v1.17" hidden="1">WaterfallChart3!$B$3:$B$12</definedName>
    <definedName name="_xlchart.v1.18" hidden="1">Treemap1!$A$4:$B$15</definedName>
    <definedName name="_xlchart.v1.19" hidden="1">Treemap1!$C$3</definedName>
    <definedName name="_xlchart.v1.2" hidden="1">'BoxPlot (2)'!$A$4:$A$13</definedName>
    <definedName name="_xlchart.v1.20" hidden="1">Treemap1!$C$4:$C$15</definedName>
    <definedName name="_xlchart.v1.21" hidden="1">Treemap2!$A$3:$B$14</definedName>
    <definedName name="_xlchart.v1.22" hidden="1">Treemap2!$C$2</definedName>
    <definedName name="_xlchart.v1.23" hidden="1">Treemap2!$C$3:$C$14</definedName>
    <definedName name="_xlchart.v1.24" hidden="1">Treemap3!$A$3:$B$14</definedName>
    <definedName name="_xlchart.v1.25" hidden="1">Treemap3!$C$2</definedName>
    <definedName name="_xlchart.v1.26" hidden="1">Treemap3!$C$3:$C$14</definedName>
    <definedName name="_xlchart.v1.3" hidden="1">'BoxPlot (2)'!$B$3</definedName>
    <definedName name="_xlchart.v1.4" hidden="1">'BoxPlot (2)'!$B$4:$B$13</definedName>
    <definedName name="_xlchart.v1.5" hidden="1">'BoxPlot (2)'!$C$3</definedName>
    <definedName name="_xlchart.v1.6" hidden="1">'BoxPlot (2)'!$C$4:$C$13</definedName>
    <definedName name="_xlchart.v1.7" hidden="1">'BoxPlot (2)'!$D$3</definedName>
    <definedName name="_xlchart.v1.8" hidden="1">'BoxPlot (2)'!$D$4:$D$13</definedName>
    <definedName name="_xlchart.v1.9" hidden="1">WaterfallChart1!$A$3:$A$11</definedName>
    <definedName name="_xlchart.v2.27" hidden="1">FunnelChart1!$A$3:$A$8</definedName>
    <definedName name="_xlchart.v2.28" hidden="1">FunnelChart1!$B$2</definedName>
    <definedName name="_xlchart.v2.29" hidden="1">FunnelChart1!$B$3:$B$8</definedName>
    <definedName name="_xlchart.v2.30" hidden="1">FunnelChart2!$A$3:$A$8</definedName>
    <definedName name="_xlchart.v2.31" hidden="1">FunnelChart2!$B$2</definedName>
    <definedName name="_xlchart.v2.32" hidden="1">FunnelChart2!$B$3:$B$8</definedName>
    <definedName name="_xlchart.v2.33" hidden="1">FunnelChart3!$A$3:$A$9</definedName>
    <definedName name="_xlchart.v2.34" hidden="1">FunnelChart3!$B$2</definedName>
    <definedName name="_xlchart.v2.35" hidden="1">FunnelChart3!$B$3:$B$9</definedName>
    <definedName name="_xlchart.v2.36" hidden="1">FunnelChart3!$A$3:$A$9</definedName>
    <definedName name="_xlchart.v2.37" hidden="1">FunnelChart3!$B$2</definedName>
    <definedName name="_xlchart.v2.38" hidden="1">FunnelChart3!$B$3:$B$9</definedName>
    <definedName name="saree">BoxPlot!$B$4:$B$33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  <c r="B34" i="1"/>
  <c r="B35" i="1"/>
</calcChain>
</file>

<file path=xl/sharedStrings.xml><?xml version="1.0" encoding="utf-8"?>
<sst xmlns="http://schemas.openxmlformats.org/spreadsheetml/2006/main" count="189" uniqueCount="143">
  <si>
    <t>Saree Prices (₹)</t>
  </si>
  <si>
    <t>Saree No.</t>
  </si>
  <si>
    <t>Price (₹)</t>
  </si>
  <si>
    <t>Cotton</t>
  </si>
  <si>
    <t>Silk</t>
  </si>
  <si>
    <t>Designer</t>
  </si>
  <si>
    <t>Banarasi</t>
  </si>
  <si>
    <t>Statistic</t>
  </si>
  <si>
    <t>Formula</t>
  </si>
  <si>
    <t>Minimum</t>
  </si>
  <si>
    <t>Q1</t>
  </si>
  <si>
    <t>Median</t>
  </si>
  <si>
    <t>Q3</t>
  </si>
  <si>
    <t>Maximum</t>
  </si>
  <si>
    <t>IQR</t>
  </si>
  <si>
    <t>Lower Fence</t>
  </si>
  <si>
    <t>Upper Fence</t>
  </si>
  <si>
    <t>Lower Whisker</t>
  </si>
  <si>
    <t>Upper Whisker</t>
  </si>
  <si>
    <t>Result</t>
  </si>
  <si>
    <t>`=MIN(range)</t>
  </si>
  <si>
    <t>`=QUARTILE.INC(range,1)</t>
  </si>
  <si>
    <t>`=MEDIAN(range)</t>
  </si>
  <si>
    <t>`=QUARTILE.INC(range,3)</t>
  </si>
  <si>
    <t>`=Q3-Q1</t>
  </si>
  <si>
    <t>`=Q1-1.5*IQR</t>
  </si>
  <si>
    <t>`=Q3+1.5*IQR</t>
  </si>
  <si>
    <t>`=MINIFS(range,range,"&gt;="&amp;LowerFence)</t>
  </si>
  <si>
    <t>`=MAXIFS(range,range,"&lt;="&amp;UpperFence)</t>
  </si>
  <si>
    <t>`=MAX(range)</t>
  </si>
  <si>
    <t>Advertising Spend (₹ Thousands)</t>
  </si>
  <si>
    <t>Sales Revenue (₹ Thousands)</t>
  </si>
  <si>
    <t>Category</t>
  </si>
  <si>
    <t>Amount (₹)</t>
  </si>
  <si>
    <t>Starting Balance</t>
  </si>
  <si>
    <t>Sales Revenue</t>
  </si>
  <si>
    <t>Returns</t>
  </si>
  <si>
    <t>Marketing Expense</t>
  </si>
  <si>
    <t>Employee Salaries</t>
  </si>
  <si>
    <t>Rent</t>
  </si>
  <si>
    <t>Miscellaneous Income</t>
  </si>
  <si>
    <t>Taxes</t>
  </si>
  <si>
    <t>Net Profit</t>
  </si>
  <si>
    <t>Initial Sales</t>
  </si>
  <si>
    <t>Online Orders</t>
  </si>
  <si>
    <t>Offline Orders</t>
  </si>
  <si>
    <t>Product Returns</t>
  </si>
  <si>
    <t>Discounts</t>
  </si>
  <si>
    <t>Shipping Charges</t>
  </si>
  <si>
    <t>GST</t>
  </si>
  <si>
    <t>Final Revenue</t>
  </si>
  <si>
    <t>Opening Balance</t>
  </si>
  <si>
    <t>Salary</t>
  </si>
  <si>
    <t>Freelancing Income</t>
  </si>
  <si>
    <t>House Rent</t>
  </si>
  <si>
    <t>Groceries</t>
  </si>
  <si>
    <t>Electricity Bill</t>
  </si>
  <si>
    <t>Internet Bill</t>
  </si>
  <si>
    <t>Entertainment</t>
  </si>
  <si>
    <t>Savings</t>
  </si>
  <si>
    <t>Closing Balance</t>
  </si>
  <si>
    <t>Region</t>
  </si>
  <si>
    <t>Sales (₹)</t>
  </si>
  <si>
    <t>North</t>
  </si>
  <si>
    <t>Electronics</t>
  </si>
  <si>
    <t>Clothing</t>
  </si>
  <si>
    <t>Furniture</t>
  </si>
  <si>
    <t>South</t>
  </si>
  <si>
    <t>East</t>
  </si>
  <si>
    <t>West</t>
  </si>
  <si>
    <t>Saree Type</t>
  </si>
  <si>
    <t>Brand</t>
  </si>
  <si>
    <t>Kanchipuram</t>
  </si>
  <si>
    <t>Paithani</t>
  </si>
  <si>
    <t>Bengal Cotton</t>
  </si>
  <si>
    <t>Chanderi</t>
  </si>
  <si>
    <t>Kota Doria</t>
  </si>
  <si>
    <t>Sabyasachi</t>
  </si>
  <si>
    <t>Manish Malhotra</t>
  </si>
  <si>
    <t>Tarun Tahiliani</t>
  </si>
  <si>
    <t>Wedding</t>
  </si>
  <si>
    <t>Bridal Collection</t>
  </si>
  <si>
    <t>Premium Collection</t>
  </si>
  <si>
    <t>Royal Collection</t>
  </si>
  <si>
    <t>Model</t>
  </si>
  <si>
    <t>Revenue (₹)</t>
  </si>
  <si>
    <t>Apple</t>
  </si>
  <si>
    <t>iPhone 15</t>
  </si>
  <si>
    <t>iPhone 15 Pro</t>
  </si>
  <si>
    <t>iPhone 14</t>
  </si>
  <si>
    <t>Samsung</t>
  </si>
  <si>
    <t>Galaxy S24</t>
  </si>
  <si>
    <t>Galaxy A55</t>
  </si>
  <si>
    <t>Galaxy M35</t>
  </si>
  <si>
    <t>OnePlus</t>
  </si>
  <si>
    <t>OnePlus 13</t>
  </si>
  <si>
    <t>Nord 4</t>
  </si>
  <si>
    <t>Nord CE4</t>
  </si>
  <si>
    <t>Xiaomi</t>
  </si>
  <si>
    <t>Redmi Note 14</t>
  </si>
  <si>
    <t>Redmi 14C</t>
  </si>
  <si>
    <t>Xiaomi 14</t>
  </si>
  <si>
    <t>Stage</t>
  </si>
  <si>
    <t>Customers</t>
  </si>
  <si>
    <t>Website Visitors</t>
  </si>
  <si>
    <t>Product Views</t>
  </si>
  <si>
    <t>Add to Cart</t>
  </si>
  <si>
    <t>Checkout Started</t>
  </si>
  <si>
    <t>Payment Completed</t>
  </si>
  <si>
    <t>Orders Delivered</t>
  </si>
  <si>
    <t>Admission Stage</t>
  </si>
  <si>
    <t>Students</t>
  </si>
  <si>
    <t>Applications Received</t>
  </si>
  <si>
    <t>Eligible Candidates</t>
  </si>
  <si>
    <t>Entrance Exam Qualified</t>
  </si>
  <si>
    <t>Interview Cleared</t>
  </si>
  <si>
    <t>Fee Paid</t>
  </si>
  <si>
    <t>Final Admission</t>
  </si>
  <si>
    <t>Hiring Stage</t>
  </si>
  <si>
    <t>Candidates</t>
  </si>
  <si>
    <t>Resume Shortlisted</t>
  </si>
  <si>
    <t>Aptitude Test Passed</t>
  </si>
  <si>
    <t>Technical Interview</t>
  </si>
  <si>
    <t>HR Interview</t>
  </si>
  <si>
    <t>Job Offers</t>
  </si>
  <si>
    <t>Joined Company</t>
  </si>
  <si>
    <t>Product Price (₹)</t>
  </si>
  <si>
    <t>Units Sold</t>
  </si>
  <si>
    <t xml:space="preserve">Outliers </t>
  </si>
  <si>
    <t>last two values</t>
  </si>
  <si>
    <t>75% saree are below 2350</t>
  </si>
  <si>
    <t xml:space="preserve">Inter Quartile Range </t>
  </si>
  <si>
    <t>used to find outlier</t>
  </si>
  <si>
    <t xml:space="preserve">box-plot draw karte time dekhege </t>
  </si>
  <si>
    <t>iske uper wle val outlier hai</t>
  </si>
  <si>
    <t>main aim to find outlier</t>
  </si>
  <si>
    <t>statistics me padhege au</t>
  </si>
  <si>
    <t>Python ke baad repeat hone wala hai</t>
  </si>
  <si>
    <t>ek hi outlier milla</t>
  </si>
  <si>
    <t xml:space="preserve">equation </t>
  </si>
  <si>
    <t>trend follow kar raha straight line ka equation hai</t>
  </si>
  <si>
    <t>slope negative hai</t>
  </si>
  <si>
    <t>can be used to track monthly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</si>
</sst>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Scatterplot1!$B$2</c:f>
              <c:strCache>
                <c:ptCount val="1"/>
                <c:pt idx="0">
                  <c:v>Sales Revenue (₹ Thousands)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1645568519199485"/>
                  <c:y val="-1.445552264470165E-2"/>
                </c:manualLayout>
              </c:layout>
              <c:numFmt formatCode="General" sourceLinked="0"/>
              <c:spPr>
                <a:solidFill>
                  <a:schemeClr val="accen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Scatterplot1!$A$3:$A$17</c:f>
              <c:numCache>
                <c:formatCode>General</c:formatCode>
                <c:ptCount val="1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</c:numCache>
            </c:numRef>
          </c:xVal>
          <c:yVal>
            <c:numRef>
              <c:f>Scatterplot1!$B$3:$B$17</c:f>
              <c:numCache>
                <c:formatCode>General</c:formatCode>
                <c:ptCount val="15"/>
                <c:pt idx="0">
                  <c:v>180</c:v>
                </c:pt>
                <c:pt idx="1">
                  <c:v>195</c:v>
                </c:pt>
                <c:pt idx="2">
                  <c:v>210</c:v>
                </c:pt>
                <c:pt idx="3">
                  <c:v>235</c:v>
                </c:pt>
                <c:pt idx="4">
                  <c:v>250</c:v>
                </c:pt>
                <c:pt idx="5">
                  <c:v>265</c:v>
                </c:pt>
                <c:pt idx="6">
                  <c:v>290</c:v>
                </c:pt>
                <c:pt idx="7">
                  <c:v>310</c:v>
                </c:pt>
                <c:pt idx="8">
                  <c:v>335</c:v>
                </c:pt>
                <c:pt idx="9">
                  <c:v>355</c:v>
                </c:pt>
                <c:pt idx="10">
                  <c:v>380</c:v>
                </c:pt>
                <c:pt idx="11">
                  <c:v>395</c:v>
                </c:pt>
                <c:pt idx="12">
                  <c:v>420</c:v>
                </c:pt>
                <c:pt idx="13">
                  <c:v>445</c:v>
                </c:pt>
                <c:pt idx="14">
                  <c:v>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C-4F4D-A7ED-FABA24082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457760"/>
        <c:axId val="1486460640"/>
      </c:scatterChart>
      <c:valAx>
        <c:axId val="148645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Advertising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60640"/>
        <c:crosses val="autoZero"/>
        <c:crossBetween val="midCat"/>
      </c:valAx>
      <c:valAx>
        <c:axId val="148646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5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Scatterplot2!$B$2</c:f>
              <c:strCache>
                <c:ptCount val="1"/>
                <c:pt idx="0">
                  <c:v>Units 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8307742782152236E-2"/>
                  <c:y val="-0.47191017789442985"/>
                </c:manualLayout>
              </c:layout>
              <c:numFmt formatCode="General" sourceLinked="0"/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solidFill>
                    <a:schemeClr val="accent1">
                      <a:alpha val="89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Scatterplot2!$A$3:$A$17</c:f>
              <c:numCache>
                <c:formatCode>General</c:formatCode>
                <c:ptCount val="15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>
                  <c:v>1100</c:v>
                </c:pt>
                <c:pt idx="4">
                  <c:v>1300</c:v>
                </c:pt>
                <c:pt idx="5">
                  <c:v>1500</c:v>
                </c:pt>
                <c:pt idx="6">
                  <c:v>1700</c:v>
                </c:pt>
                <c:pt idx="7">
                  <c:v>1900</c:v>
                </c:pt>
                <c:pt idx="8">
                  <c:v>2100</c:v>
                </c:pt>
                <c:pt idx="9">
                  <c:v>2300</c:v>
                </c:pt>
                <c:pt idx="10">
                  <c:v>2500</c:v>
                </c:pt>
                <c:pt idx="11">
                  <c:v>2700</c:v>
                </c:pt>
                <c:pt idx="12">
                  <c:v>2900</c:v>
                </c:pt>
                <c:pt idx="13">
                  <c:v>3100</c:v>
                </c:pt>
                <c:pt idx="14">
                  <c:v>3300</c:v>
                </c:pt>
              </c:numCache>
            </c:numRef>
          </c:xVal>
          <c:yVal>
            <c:numRef>
              <c:f>Scatterplot2!$B$3:$B$17</c:f>
              <c:numCache>
                <c:formatCode>General</c:formatCode>
                <c:ptCount val="15"/>
                <c:pt idx="0">
                  <c:v>950</c:v>
                </c:pt>
                <c:pt idx="1">
                  <c:v>900</c:v>
                </c:pt>
                <c:pt idx="2">
                  <c:v>850</c:v>
                </c:pt>
                <c:pt idx="3">
                  <c:v>790</c:v>
                </c:pt>
                <c:pt idx="4">
                  <c:v>730</c:v>
                </c:pt>
                <c:pt idx="5">
                  <c:v>680</c:v>
                </c:pt>
                <c:pt idx="6">
                  <c:v>610</c:v>
                </c:pt>
                <c:pt idx="7">
                  <c:v>560</c:v>
                </c:pt>
                <c:pt idx="8">
                  <c:v>500</c:v>
                </c:pt>
                <c:pt idx="9">
                  <c:v>450</c:v>
                </c:pt>
                <c:pt idx="10">
                  <c:v>390</c:v>
                </c:pt>
                <c:pt idx="11">
                  <c:v>340</c:v>
                </c:pt>
                <c:pt idx="12">
                  <c:v>290</c:v>
                </c:pt>
                <c:pt idx="13">
                  <c:v>240</c:v>
                </c:pt>
                <c:pt idx="14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45-491E-9C67-4BE94D57F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491360"/>
        <c:axId val="1486487040"/>
      </c:scatterChart>
      <c:valAx>
        <c:axId val="148649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87040"/>
        <c:crosses val="autoZero"/>
        <c:crossBetween val="midCat"/>
      </c:valAx>
      <c:valAx>
        <c:axId val="148648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9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DBC5-4570-9B3F-ED6AF3D169D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  <cx:data id="2">
      <cx:numDim type="val">
        <cx:f>_xlchart.v1.6</cx:f>
      </cx:numDim>
    </cx:data>
    <cx:data id="3">
      <cx:numDim type="val">
        <cx:f>_xlchart.v1.8</cx:f>
      </cx:numDim>
    </cx:data>
  </cx:chartData>
  <cx:chart>
    <cx:title pos="t" align="ctr" overlay="0">
      <cx:tx>
        <cx:txData>
          <cx:v>Box Plot Saree Prices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Saree Prices</a:t>
          </a:r>
        </a:p>
      </cx:txPr>
    </cx:title>
    <cx:plotArea>
      <cx:plotAreaRegion>
        <cx:series layoutId="boxWhisker" uniqueId="{00000000-6ABF-4C6D-9A22-FC866DEF0F6C}">
          <cx:tx>
            <cx:txData>
              <cx:f>_xlchart.v1.1</cx:f>
              <cx:v>Cotton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6ABF-4C6D-9A22-FC866DEF0F6C}">
          <cx:tx>
            <cx:txData>
              <cx:f>_xlchart.v1.3</cx:f>
              <cx:v>Silk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6ABF-4C6D-9A22-FC866DEF0F6C}">
          <cx:tx>
            <cx:txData>
              <cx:f>_xlchart.v1.5</cx:f>
              <cx:v>Designer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6ABF-4C6D-9A22-FC866DEF0F6C}">
          <cx:tx>
            <cx:txData>
              <cx:f>_xlchart.v1.7</cx:f>
              <cx:v>Banarasi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/>
    <cx:plotArea>
      <cx:plotAreaRegion>
        <cx:series layoutId="waterfall" uniqueId="{00000000-7ACD-4EF3-98BB-756135672450}">
          <cx:tx>
            <cx:txData>
              <cx:f>_xlchart.v1.10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8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/>
    <cx:plotArea>
      <cx:plotAreaRegion>
        <cx:series layoutId="waterfall" uniqueId="{00000000-B776-4D78-A083-8D2B53E239AF}">
          <cx:tx>
            <cx:txData>
              <cx:f>_xlchart.v1.13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/>
    <cx:plotArea>
      <cx:plotAreaRegion>
        <cx:series layoutId="waterfall" uniqueId="{00000000-12D5-4610-96F8-BA759CC3FB9B}">
          <cx:tx>
            <cx:txData>
              <cx:f>_xlchart.v1.16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size">
        <cx:f>_xlchart.v1.20</cx:f>
      </cx:numDim>
    </cx:data>
  </cx:chartData>
  <cx:chart>
    <cx:title pos="t" align="ctr" overlay="0"/>
    <cx:plotArea>
      <cx:plotAreaRegion>
        <cx:series layoutId="treemap" uniqueId="{00000000-0FBD-481D-9C0D-623CEC9221E8}">
          <cx:tx>
            <cx:txData>
              <cx:f>_xlchart.v1.19</cx:f>
              <cx:v>Sales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size">
        <cx:f>_xlchart.v1.23</cx:f>
      </cx:numDim>
    </cx:data>
  </cx:chartData>
  <cx:chart>
    <cx:title pos="t" align="ctr" overlay="0"/>
    <cx:plotArea>
      <cx:plotAreaRegion>
        <cx:series layoutId="treemap" uniqueId="{00000000-73A6-4B97-881C-0C8553007E9F}">
          <cx:tx>
            <cx:txData>
              <cx:f>_xlchart.v1.22</cx:f>
              <cx:v>Sales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size">
        <cx:f>_xlchart.v1.26</cx:f>
      </cx:numDim>
    </cx:data>
  </cx:chartData>
  <cx:chart>
    <cx:title pos="t" align="ctr" overlay="0"/>
    <cx:plotArea>
      <cx:plotAreaRegion>
        <cx:series layoutId="treemap" uniqueId="{00000000-3565-4FEA-ABC7-22B916B57C51}">
          <cx:tx>
            <cx:txData>
              <cx:f>_xlchart.v1.25</cx:f>
              <cx:v>Revenue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_xlchart.v2.27</cx:f>
      </cx:strDim>
      <cx:numDim type="val">
        <cx:f>_xlchart.v2.29</cx:f>
      </cx:numDim>
    </cx:data>
  </cx:chartData>
  <cx:chart>
    <cx:title pos="t" align="ctr" overlay="0"/>
    <cx:plotArea>
      <cx:plotAreaRegion>
        <cx:series layoutId="funnel" uniqueId="{00000000-264B-4E35-970B-5398E1E7282B}">
          <cx:tx>
            <cx:txData>
              <cx:f>_xlchart.v2.28</cx:f>
              <cx:v>Customers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_xlchart.v2.30</cx:f>
      </cx:strDim>
      <cx:numDim type="val">
        <cx:f>_xlchart.v2.32</cx:f>
      </cx:numDim>
    </cx:data>
  </cx:chartData>
  <cx:chart>
    <cx:title pos="t" align="ctr" overlay="0"/>
    <cx:plotArea>
      <cx:plotAreaRegion>
        <cx:series layoutId="funnel" uniqueId="{00000000-CA40-4611-BC8A-5986D761CB16}">
          <cx:tx>
            <cx:txData>
              <cx:f>_xlchart.v2.31</cx:f>
              <cx:v>Students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_xlchart.v2.36</cx:f>
      </cx:strDim>
      <cx:numDim type="val">
        <cx:f>_xlchart.v2.38</cx:f>
      </cx:numDim>
    </cx:data>
  </cx:chartData>
  <cx:chart>
    <cx:title pos="t" align="ctr" overlay="0"/>
    <cx:plotArea>
      <cx:plotAreaRegion>
        <cx:series layoutId="funnel" uniqueId="{00000000-CB1D-4105-92A8-6ED64F2D61B4}">
          <cx:tx>
            <cx:txData>
              <cx:f>_xlchart.v2.37</cx:f>
              <cx:v>Candidates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10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449973</xdr:colOff>
      <xdr:row>2</xdr:row>
      <xdr:rowOff>315871</xdr:rowOff>
    </xdr:from>
    <xdr:to>
      <xdr:col>17</xdr:col>
      <xdr:colOff>136600</xdr:colOff>
      <xdr:row>13</xdr:row>
      <xdr:rowOff>125559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FB84785-C22A-2D64-C32D-42E05E1FFF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1561" y="726753"/>
              <a:ext cx="4587333" cy="27157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528850</xdr:colOff>
      <xdr:row>1</xdr:row>
      <xdr:rowOff>0</xdr:rowOff>
    </xdr:from>
    <xdr:to>
      <xdr:col>12</xdr:col>
      <xdr:colOff>233149</xdr:colOff>
      <xdr:row>17</xdr:row>
      <xdr:rowOff>49039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A85A2A0-2359-6B2B-2450-41CA98284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3286" y="230109"/>
              <a:ext cx="4593170" cy="29461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234193</xdr:colOff>
      <xdr:row>1</xdr:row>
      <xdr:rowOff>834006</xdr:rowOff>
    </xdr:from>
    <xdr:to>
      <xdr:col>12</xdr:col>
      <xdr:colOff>548780</xdr:colOff>
      <xdr:row>16</xdr:row>
      <xdr:rowOff>116747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188DC-E6FC-C28D-156A-8C98A2097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102870</xdr:rowOff>
    </xdr:from>
    <xdr:to>
      <xdr:col>12</xdr:col>
      <xdr:colOff>38100</xdr:colOff>
      <xdr:row>15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942A4-8160-B5FB-EF0B-9528FA003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170156</xdr:colOff>
      <xdr:row>1</xdr:row>
      <xdr:rowOff>7399</xdr:rowOff>
    </xdr:from>
    <xdr:to>
      <xdr:col>14</xdr:col>
      <xdr:colOff>73980</xdr:colOff>
      <xdr:row>13</xdr:row>
      <xdr:rowOff>96174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078464F-30F6-71BA-A6B0-F79BB90791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0078" y="192350"/>
              <a:ext cx="6576873" cy="3920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1</xdr:row>
      <xdr:rowOff>53340</xdr:rowOff>
    </xdr:from>
    <xdr:to>
      <xdr:col>14</xdr:col>
      <xdr:colOff>144780</xdr:colOff>
      <xdr:row>16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E0A15C4-000B-6762-4AAA-8A01404093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0" y="236220"/>
              <a:ext cx="6324600" cy="426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0</xdr:row>
      <xdr:rowOff>76200</xdr:rowOff>
    </xdr:from>
    <xdr:to>
      <xdr:col>14</xdr:col>
      <xdr:colOff>213360</xdr:colOff>
      <xdr:row>16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2093ADD-64BC-3939-06FD-EEC23681F1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7420" y="76200"/>
              <a:ext cx="6530340" cy="45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2</xdr:row>
      <xdr:rowOff>64770</xdr:rowOff>
    </xdr:from>
    <xdr:to>
      <xdr:col>12</xdr:col>
      <xdr:colOff>60960</xdr:colOff>
      <xdr:row>13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7D68FF3-5A48-E2FF-0405-0FC45FADAF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4160" y="4305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2</xdr:row>
      <xdr:rowOff>152400</xdr:rowOff>
    </xdr:from>
    <xdr:to>
      <xdr:col>14</xdr:col>
      <xdr:colOff>556260</xdr:colOff>
      <xdr:row>11</xdr:row>
      <xdr:rowOff>419100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914205A-03AE-5255-076D-70FDECA4B7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9940" y="701040"/>
              <a:ext cx="5760720" cy="3009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3</xdr:row>
      <xdr:rowOff>133350</xdr:rowOff>
    </xdr:from>
    <xdr:to>
      <xdr:col>15</xdr:col>
      <xdr:colOff>53340</xdr:colOff>
      <xdr:row>13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E8B2724-DCE5-C05A-EDB2-B2AA5362B5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1047750"/>
              <a:ext cx="5753100" cy="3181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</xdr:row>
      <xdr:rowOff>133350</xdr:rowOff>
    </xdr:from>
    <xdr:to>
      <xdr:col>14</xdr:col>
      <xdr:colOff>579120</xdr:colOff>
      <xdr:row>13</xdr:row>
      <xdr:rowOff>114300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6488076-E528-0A27-F130-054BAF3EA5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6440" y="316230"/>
              <a:ext cx="7117080" cy="3638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1</xdr:row>
      <xdr:rowOff>45720</xdr:rowOff>
    </xdr:from>
    <xdr:to>
      <xdr:col>15</xdr:col>
      <xdr:colOff>358140</xdr:colOff>
      <xdr:row>8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C15917B-C613-756C-17F1-58A686FFC4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3120" y="228600"/>
              <a:ext cx="7399020" cy="3082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1</xdr:row>
      <xdr:rowOff>281940</xdr:rowOff>
    </xdr:from>
    <xdr:to>
      <xdr:col>16</xdr:col>
      <xdr:colOff>525780</xdr:colOff>
      <xdr:row>9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07A4A3E-DE3F-34F8-6C5C-353DD3A5B4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464820"/>
              <a:ext cx="6835140" cy="3326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zoomScale="102" zoomScaleNormal="70" workbookViewId="0">
      <selection activeCell="F3" sqref="F3"/>
    </sheetView>
  </sheetViews>
  <sheetFormatPr defaultRowHeight="14.4"/>
  <cols>
    <col min="5" max="5" width="24.5546875" customWidth="1"/>
  </cols>
  <sheetData>
    <row r="1" spans="1:7" ht="18">
      <c r="A1" s="1" t="s">
        <v>0</v>
      </c>
    </row>
    <row r="2" spans="1:7">
      <c r="E2" t="s">
        <v>135</v>
      </c>
      <c r="F2" t="s">
        <v>136</v>
      </c>
    </row>
    <row r="3" spans="1:7" ht="28.8">
      <c r="A3" s="4" t="s">
        <v>1</v>
      </c>
      <c r="B3" s="4" t="s">
        <v>2</v>
      </c>
    </row>
    <row r="4" spans="1:7">
      <c r="A4" s="5">
        <v>1</v>
      </c>
      <c r="B4" s="5">
        <v>850</v>
      </c>
      <c r="D4" s="4" t="s">
        <v>7</v>
      </c>
      <c r="E4" s="4" t="s">
        <v>8</v>
      </c>
      <c r="F4" s="11" t="s">
        <v>19</v>
      </c>
    </row>
    <row r="5" spans="1:7">
      <c r="A5" s="5">
        <v>2</v>
      </c>
      <c r="B5" s="5">
        <v>920</v>
      </c>
      <c r="D5" s="5" t="s">
        <v>9</v>
      </c>
      <c r="E5" s="10" t="s">
        <v>20</v>
      </c>
      <c r="F5" s="11">
        <f>MIN(saree)</f>
        <v>850</v>
      </c>
    </row>
    <row r="6" spans="1:7">
      <c r="A6" s="5">
        <v>3</v>
      </c>
      <c r="B6" s="5">
        <v>980</v>
      </c>
      <c r="D6" s="5" t="s">
        <v>10</v>
      </c>
      <c r="E6" s="10" t="s">
        <v>21</v>
      </c>
      <c r="F6" s="11">
        <f>_xlfn.QUARTILE.INC(B4:B33,1)</f>
        <v>1262.5</v>
      </c>
    </row>
    <row r="7" spans="1:7">
      <c r="A7" s="5">
        <v>4</v>
      </c>
      <c r="B7" s="5">
        <v>1050</v>
      </c>
      <c r="D7" s="5" t="s">
        <v>11</v>
      </c>
      <c r="E7" s="10" t="s">
        <v>22</v>
      </c>
      <c r="F7" s="11">
        <f>MEDIAN(saree)</f>
        <v>1625</v>
      </c>
    </row>
    <row r="8" spans="1:7">
      <c r="A8" s="5">
        <v>5</v>
      </c>
      <c r="B8" s="5">
        <v>1100</v>
      </c>
      <c r="D8" s="5" t="s">
        <v>12</v>
      </c>
      <c r="E8" s="10" t="s">
        <v>23</v>
      </c>
      <c r="F8" s="11">
        <f>_xlfn.QUARTILE.INC(saree,3)</f>
        <v>2350</v>
      </c>
      <c r="G8" t="s">
        <v>130</v>
      </c>
    </row>
    <row r="9" spans="1:7" ht="28.8">
      <c r="A9" s="5">
        <v>6</v>
      </c>
      <c r="B9" s="5">
        <v>1150</v>
      </c>
      <c r="D9" s="5" t="s">
        <v>13</v>
      </c>
      <c r="E9" s="10" t="s">
        <v>29</v>
      </c>
      <c r="F9" s="11">
        <f>MAX(saree)</f>
        <v>12000</v>
      </c>
    </row>
    <row r="10" spans="1:7">
      <c r="A10" s="5">
        <v>7</v>
      </c>
      <c r="B10" s="5">
        <v>1200</v>
      </c>
      <c r="D10" s="5" t="s">
        <v>14</v>
      </c>
      <c r="E10" s="10" t="s">
        <v>24</v>
      </c>
      <c r="F10" s="11">
        <f>F8-F6</f>
        <v>1087.5</v>
      </c>
      <c r="G10" t="s">
        <v>131</v>
      </c>
    </row>
    <row r="11" spans="1:7" ht="28.8">
      <c r="A11" s="5">
        <v>8</v>
      </c>
      <c r="B11" s="5">
        <v>1250</v>
      </c>
      <c r="D11" s="5" t="s">
        <v>15</v>
      </c>
      <c r="E11" s="10" t="s">
        <v>25</v>
      </c>
      <c r="F11" s="11">
        <f>F6-1.5*F10</f>
        <v>-368.75</v>
      </c>
      <c r="G11" t="s">
        <v>132</v>
      </c>
    </row>
    <row r="12" spans="1:7" ht="28.8">
      <c r="A12" s="5">
        <v>9</v>
      </c>
      <c r="B12" s="5">
        <v>1300</v>
      </c>
      <c r="D12" s="5" t="s">
        <v>16</v>
      </c>
      <c r="E12" s="10" t="s">
        <v>26</v>
      </c>
      <c r="F12" s="11">
        <f>F8+1.5*F10</f>
        <v>3981.25</v>
      </c>
    </row>
    <row r="13" spans="1:7" ht="28.8">
      <c r="A13" s="5">
        <v>10</v>
      </c>
      <c r="B13" s="5">
        <v>1350</v>
      </c>
      <c r="D13" s="5" t="s">
        <v>17</v>
      </c>
      <c r="E13" s="10" t="s">
        <v>27</v>
      </c>
      <c r="F13" s="11">
        <f>_xlfn.MINIFS(saree,saree,"&gt;="&amp;F11)</f>
        <v>850</v>
      </c>
      <c r="G13" t="s">
        <v>133</v>
      </c>
    </row>
    <row r="14" spans="1:7" ht="28.8">
      <c r="A14" s="5">
        <v>11</v>
      </c>
      <c r="B14" s="5">
        <v>1400</v>
      </c>
      <c r="D14" s="5" t="s">
        <v>18</v>
      </c>
      <c r="E14" s="10" t="s">
        <v>28</v>
      </c>
      <c r="F14" s="11">
        <f>_xlfn.MAXIFS(saree,saree,"&lt;="&amp;F12)</f>
        <v>3500</v>
      </c>
      <c r="G14" t="s">
        <v>134</v>
      </c>
    </row>
    <row r="15" spans="1:7">
      <c r="A15" s="5">
        <v>12</v>
      </c>
      <c r="B15" s="5">
        <v>1450</v>
      </c>
    </row>
    <row r="16" spans="1:7">
      <c r="A16" s="5">
        <v>13</v>
      </c>
      <c r="B16" s="5">
        <v>1500</v>
      </c>
    </row>
    <row r="17" spans="1:2">
      <c r="A17" s="5">
        <v>14</v>
      </c>
      <c r="B17" s="5">
        <v>1550</v>
      </c>
    </row>
    <row r="18" spans="1:2">
      <c r="A18" s="5">
        <v>15</v>
      </c>
      <c r="B18" s="5">
        <v>1600</v>
      </c>
    </row>
    <row r="19" spans="1:2">
      <c r="A19" s="5">
        <v>16</v>
      </c>
      <c r="B19" s="5">
        <v>1650</v>
      </c>
    </row>
    <row r="20" spans="1:2">
      <c r="A20" s="5">
        <v>17</v>
      </c>
      <c r="B20" s="5">
        <v>1700</v>
      </c>
    </row>
    <row r="21" spans="1:2">
      <c r="A21" s="5">
        <v>18</v>
      </c>
      <c r="B21" s="5">
        <v>1800</v>
      </c>
    </row>
    <row r="22" spans="1:2">
      <c r="A22" s="5">
        <v>19</v>
      </c>
      <c r="B22" s="5">
        <v>1900</v>
      </c>
    </row>
    <row r="23" spans="1:2">
      <c r="A23" s="5">
        <v>20</v>
      </c>
      <c r="B23" s="5">
        <v>2000</v>
      </c>
    </row>
    <row r="24" spans="1:2">
      <c r="A24" s="5">
        <v>21</v>
      </c>
      <c r="B24" s="5">
        <v>2100</v>
      </c>
    </row>
    <row r="25" spans="1:2">
      <c r="A25" s="5">
        <v>22</v>
      </c>
      <c r="B25" s="5">
        <v>2200</v>
      </c>
    </row>
    <row r="26" spans="1:2">
      <c r="A26" s="5">
        <v>23</v>
      </c>
      <c r="B26" s="5">
        <v>2400</v>
      </c>
    </row>
    <row r="27" spans="1:2">
      <c r="A27" s="5">
        <v>24</v>
      </c>
      <c r="B27" s="5">
        <v>2600</v>
      </c>
    </row>
    <row r="28" spans="1:2">
      <c r="A28" s="5">
        <v>25</v>
      </c>
      <c r="B28" s="5">
        <v>2800</v>
      </c>
    </row>
    <row r="29" spans="1:2">
      <c r="A29" s="5">
        <v>26</v>
      </c>
      <c r="B29" s="5">
        <v>3000</v>
      </c>
    </row>
    <row r="30" spans="1:2">
      <c r="A30" s="5">
        <v>27</v>
      </c>
      <c r="B30" s="5">
        <v>3200</v>
      </c>
    </row>
    <row r="31" spans="1:2">
      <c r="A31" s="5">
        <v>28</v>
      </c>
      <c r="B31" s="5">
        <v>3500</v>
      </c>
    </row>
    <row r="32" spans="1:2">
      <c r="A32" s="5">
        <v>29</v>
      </c>
      <c r="B32" s="5">
        <v>8500</v>
      </c>
    </row>
    <row r="33" spans="1:3">
      <c r="A33" s="5">
        <v>30</v>
      </c>
      <c r="B33" s="5">
        <v>12000</v>
      </c>
    </row>
    <row r="34" spans="1:3">
      <c r="B34">
        <f>AVERAGE(saree)</f>
        <v>2333.3333333333335</v>
      </c>
    </row>
    <row r="35" spans="1:3">
      <c r="B35">
        <f>AVERAGE(B4:B31)</f>
        <v>1767.8571428571429</v>
      </c>
    </row>
    <row r="36" spans="1:3">
      <c r="B36" s="12"/>
    </row>
    <row r="37" spans="1:3">
      <c r="B37" t="s">
        <v>128</v>
      </c>
      <c r="C37" t="s">
        <v>129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EEF3-D6EE-4A6D-AA90-DACDDDF1CE03}">
  <dimension ref="A1:N33"/>
  <sheetViews>
    <sheetView zoomScale="124" workbookViewId="0">
      <selection activeCell="B18" sqref="B18"/>
    </sheetView>
  </sheetViews>
  <sheetFormatPr defaultRowHeight="14.4"/>
  <sheetData>
    <row r="1" spans="1:14" ht="18">
      <c r="A1" s="1" t="s">
        <v>0</v>
      </c>
    </row>
    <row r="3" spans="1:14">
      <c r="A3" s="4" t="s">
        <v>3</v>
      </c>
      <c r="B3" s="4" t="s">
        <v>4</v>
      </c>
      <c r="C3" s="4" t="s">
        <v>5</v>
      </c>
      <c r="D3" s="4" t="s">
        <v>6</v>
      </c>
    </row>
    <row r="4" spans="1:14">
      <c r="A4" s="9">
        <v>650</v>
      </c>
      <c r="B4" s="9">
        <v>2200</v>
      </c>
      <c r="C4" s="9">
        <v>4500</v>
      </c>
      <c r="D4" s="9">
        <v>3000</v>
      </c>
    </row>
    <row r="5" spans="1:14">
      <c r="A5" s="9">
        <v>720</v>
      </c>
      <c r="B5" s="9">
        <v>2400</v>
      </c>
      <c r="C5" s="9">
        <v>5000</v>
      </c>
      <c r="D5" s="9">
        <v>3200</v>
      </c>
    </row>
    <row r="6" spans="1:14">
      <c r="A6" s="9">
        <v>800</v>
      </c>
      <c r="B6" s="9">
        <v>2600</v>
      </c>
      <c r="C6" s="9">
        <v>5500</v>
      </c>
      <c r="D6" s="9">
        <v>3400</v>
      </c>
    </row>
    <row r="7" spans="1:14">
      <c r="A7" s="9">
        <v>850</v>
      </c>
      <c r="B7" s="9">
        <v>2800</v>
      </c>
      <c r="C7" s="9">
        <v>6000</v>
      </c>
      <c r="D7" s="9">
        <v>3600</v>
      </c>
      <c r="N7" t="s">
        <v>137</v>
      </c>
    </row>
    <row r="8" spans="1:14">
      <c r="A8" s="9">
        <v>900</v>
      </c>
      <c r="B8" s="9">
        <v>3000</v>
      </c>
      <c r="C8" s="9">
        <v>6500</v>
      </c>
      <c r="D8" s="9">
        <v>3800</v>
      </c>
    </row>
    <row r="9" spans="1:14">
      <c r="A9" s="9">
        <v>950</v>
      </c>
      <c r="B9" s="9">
        <v>3200</v>
      </c>
      <c r="C9" s="9">
        <v>7000</v>
      </c>
      <c r="D9" s="9">
        <v>4000</v>
      </c>
    </row>
    <row r="10" spans="1:14">
      <c r="A10" s="9">
        <v>1000</v>
      </c>
      <c r="B10" s="9">
        <v>3400</v>
      </c>
      <c r="C10" s="9">
        <v>7500</v>
      </c>
      <c r="D10" s="9">
        <v>4200</v>
      </c>
    </row>
    <row r="11" spans="1:14">
      <c r="A11" s="9">
        <v>1050</v>
      </c>
      <c r="B11" s="9">
        <v>3600</v>
      </c>
      <c r="C11" s="9">
        <v>8000</v>
      </c>
      <c r="D11" s="9">
        <v>4500</v>
      </c>
    </row>
    <row r="12" spans="1:14">
      <c r="A12" s="9">
        <v>1100</v>
      </c>
      <c r="B12" s="9">
        <v>3800</v>
      </c>
      <c r="C12" s="9">
        <v>12000</v>
      </c>
      <c r="D12" s="9">
        <v>5000</v>
      </c>
    </row>
    <row r="13" spans="1:14">
      <c r="A13" s="9">
        <v>1200</v>
      </c>
      <c r="B13" s="9">
        <v>4200</v>
      </c>
      <c r="C13" s="9">
        <v>18000</v>
      </c>
      <c r="D13" s="9">
        <v>6500</v>
      </c>
    </row>
    <row r="14" spans="1:14">
      <c r="A14" s="3"/>
      <c r="B14" s="3"/>
    </row>
    <row r="15" spans="1:14">
      <c r="A15" s="3"/>
      <c r="B15" s="3"/>
    </row>
    <row r="16" spans="1:14">
      <c r="A16" s="3"/>
      <c r="B16" s="3"/>
    </row>
    <row r="17" spans="1:2" ht="43.2">
      <c r="A17" s="3"/>
      <c r="B17" s="3" t="s">
        <v>138</v>
      </c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CCDF-A16B-4D6F-B67E-778D3B9B98BE}">
  <dimension ref="A2:G20"/>
  <sheetViews>
    <sheetView zoomScale="127" workbookViewId="0">
      <selection activeCell="G21" sqref="G21"/>
    </sheetView>
  </sheetViews>
  <sheetFormatPr defaultRowHeight="14.4"/>
  <cols>
    <col min="1" max="1" width="14.88671875" customWidth="1"/>
    <col min="2" max="2" width="16.44140625" customWidth="1"/>
  </cols>
  <sheetData>
    <row r="2" spans="1:2" ht="72">
      <c r="A2" s="7" t="s">
        <v>30</v>
      </c>
      <c r="B2" s="7" t="s">
        <v>31</v>
      </c>
    </row>
    <row r="3" spans="1:2">
      <c r="A3" s="6">
        <v>20</v>
      </c>
      <c r="B3" s="6">
        <v>180</v>
      </c>
    </row>
    <row r="4" spans="1:2">
      <c r="A4" s="6">
        <v>25</v>
      </c>
      <c r="B4" s="6">
        <v>195</v>
      </c>
    </row>
    <row r="5" spans="1:2">
      <c r="A5" s="6">
        <v>30</v>
      </c>
      <c r="B5" s="6">
        <v>210</v>
      </c>
    </row>
    <row r="6" spans="1:2">
      <c r="A6" s="6">
        <v>35</v>
      </c>
      <c r="B6" s="6">
        <v>235</v>
      </c>
    </row>
    <row r="7" spans="1:2">
      <c r="A7" s="6">
        <v>40</v>
      </c>
      <c r="B7" s="6">
        <v>250</v>
      </c>
    </row>
    <row r="8" spans="1:2">
      <c r="A8" s="6">
        <v>45</v>
      </c>
      <c r="B8" s="6">
        <v>265</v>
      </c>
    </row>
    <row r="9" spans="1:2">
      <c r="A9" s="6">
        <v>50</v>
      </c>
      <c r="B9" s="6">
        <v>290</v>
      </c>
    </row>
    <row r="10" spans="1:2">
      <c r="A10" s="6">
        <v>55</v>
      </c>
      <c r="B10" s="6">
        <v>310</v>
      </c>
    </row>
    <row r="11" spans="1:2">
      <c r="A11" s="6">
        <v>60</v>
      </c>
      <c r="B11" s="6">
        <v>335</v>
      </c>
    </row>
    <row r="12" spans="1:2">
      <c r="A12" s="6">
        <v>65</v>
      </c>
      <c r="B12" s="6">
        <v>355</v>
      </c>
    </row>
    <row r="13" spans="1:2">
      <c r="A13" s="6">
        <v>70</v>
      </c>
      <c r="B13" s="6">
        <v>380</v>
      </c>
    </row>
    <row r="14" spans="1:2">
      <c r="A14" s="6">
        <v>75</v>
      </c>
      <c r="B14" s="6">
        <v>395</v>
      </c>
    </row>
    <row r="15" spans="1:2">
      <c r="A15" s="6">
        <v>80</v>
      </c>
      <c r="B15" s="6">
        <v>420</v>
      </c>
    </row>
    <row r="16" spans="1:2">
      <c r="A16" s="6">
        <v>85</v>
      </c>
      <c r="B16" s="6">
        <v>445</v>
      </c>
    </row>
    <row r="17" spans="1:7">
      <c r="A17" s="6">
        <v>90</v>
      </c>
      <c r="B17" s="6">
        <v>470</v>
      </c>
    </row>
    <row r="19" spans="1:7">
      <c r="G19" t="s">
        <v>139</v>
      </c>
    </row>
    <row r="20" spans="1:7">
      <c r="G20" t="s">
        <v>140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DC4-D078-4ECE-8ECB-CC7EF237A07A}">
  <dimension ref="A2:J18"/>
  <sheetViews>
    <sheetView zoomScale="137" workbookViewId="0">
      <selection activeCell="J19" sqref="J19"/>
    </sheetView>
  </sheetViews>
  <sheetFormatPr defaultRowHeight="14.4"/>
  <sheetData>
    <row r="2" spans="1:2" ht="28.8">
      <c r="A2" s="8" t="s">
        <v>126</v>
      </c>
      <c r="B2" s="8" t="s">
        <v>127</v>
      </c>
    </row>
    <row r="3" spans="1:2">
      <c r="A3" s="9">
        <v>500</v>
      </c>
      <c r="B3" s="9">
        <v>950</v>
      </c>
    </row>
    <row r="4" spans="1:2">
      <c r="A4" s="9">
        <v>700</v>
      </c>
      <c r="B4" s="9">
        <v>900</v>
      </c>
    </row>
    <row r="5" spans="1:2">
      <c r="A5" s="9">
        <v>900</v>
      </c>
      <c r="B5" s="9">
        <v>850</v>
      </c>
    </row>
    <row r="6" spans="1:2">
      <c r="A6" s="9">
        <v>1100</v>
      </c>
      <c r="B6" s="9">
        <v>790</v>
      </c>
    </row>
    <row r="7" spans="1:2">
      <c r="A7" s="9">
        <v>1300</v>
      </c>
      <c r="B7" s="9">
        <v>730</v>
      </c>
    </row>
    <row r="8" spans="1:2">
      <c r="A8" s="9">
        <v>1500</v>
      </c>
      <c r="B8" s="9">
        <v>680</v>
      </c>
    </row>
    <row r="9" spans="1:2">
      <c r="A9" s="9">
        <v>1700</v>
      </c>
      <c r="B9" s="9">
        <v>610</v>
      </c>
    </row>
    <row r="10" spans="1:2">
      <c r="A10" s="9">
        <v>1900</v>
      </c>
      <c r="B10" s="9">
        <v>560</v>
      </c>
    </row>
    <row r="11" spans="1:2">
      <c r="A11" s="9">
        <v>2100</v>
      </c>
      <c r="B11" s="9">
        <v>500</v>
      </c>
    </row>
    <row r="12" spans="1:2">
      <c r="A12" s="9">
        <v>2300</v>
      </c>
      <c r="B12" s="9">
        <v>450</v>
      </c>
    </row>
    <row r="13" spans="1:2">
      <c r="A13" s="9">
        <v>2500</v>
      </c>
      <c r="B13" s="9">
        <v>390</v>
      </c>
    </row>
    <row r="14" spans="1:2">
      <c r="A14" s="9">
        <v>2700</v>
      </c>
      <c r="B14" s="9">
        <v>340</v>
      </c>
    </row>
    <row r="15" spans="1:2">
      <c r="A15" s="9">
        <v>2900</v>
      </c>
      <c r="B15" s="9">
        <v>290</v>
      </c>
    </row>
    <row r="16" spans="1:2">
      <c r="A16" s="9">
        <v>3100</v>
      </c>
      <c r="B16" s="9">
        <v>240</v>
      </c>
    </row>
    <row r="17" spans="1:10">
      <c r="A17" s="9">
        <v>3300</v>
      </c>
      <c r="B17" s="9">
        <v>180</v>
      </c>
    </row>
    <row r="18" spans="1:10">
      <c r="J18" t="s">
        <v>141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2FE4-BAB6-47CB-A4FC-CE6603FF5666}">
  <dimension ref="A2:B11"/>
  <sheetViews>
    <sheetView zoomScale="103" workbookViewId="0">
      <selection activeCell="P6" sqref="P6"/>
    </sheetView>
  </sheetViews>
  <sheetFormatPr defaultRowHeight="14.4"/>
  <sheetData>
    <row r="2" spans="1:2" ht="28.8">
      <c r="A2" s="2" t="s">
        <v>32</v>
      </c>
      <c r="B2" s="7" t="s">
        <v>33</v>
      </c>
    </row>
    <row r="3" spans="1:2" ht="28.8">
      <c r="A3" s="3" t="s">
        <v>34</v>
      </c>
      <c r="B3" s="6">
        <v>500000</v>
      </c>
    </row>
    <row r="4" spans="1:2" ht="28.8">
      <c r="A4" s="3" t="s">
        <v>35</v>
      </c>
      <c r="B4" s="6">
        <v>250000</v>
      </c>
    </row>
    <row r="5" spans="1:2">
      <c r="A5" s="3" t="s">
        <v>36</v>
      </c>
      <c r="B5" s="6">
        <v>-30000</v>
      </c>
    </row>
    <row r="6" spans="1:2" ht="43.2">
      <c r="A6" s="3" t="s">
        <v>37</v>
      </c>
      <c r="B6" s="6">
        <v>-50000</v>
      </c>
    </row>
    <row r="7" spans="1:2" ht="28.8">
      <c r="A7" s="3" t="s">
        <v>38</v>
      </c>
      <c r="B7" s="6">
        <v>-120000</v>
      </c>
    </row>
    <row r="8" spans="1:2">
      <c r="A8" s="3" t="s">
        <v>39</v>
      </c>
      <c r="B8" s="6">
        <v>-30000</v>
      </c>
    </row>
    <row r="9" spans="1:2" ht="43.2">
      <c r="A9" s="3" t="s">
        <v>40</v>
      </c>
      <c r="B9" s="6">
        <v>20000</v>
      </c>
    </row>
    <row r="10" spans="1:2">
      <c r="A10" s="3" t="s">
        <v>41</v>
      </c>
      <c r="B10" s="6">
        <v>-40000</v>
      </c>
    </row>
    <row r="11" spans="1:2" ht="28.8">
      <c r="A11" s="3" t="s">
        <v>42</v>
      </c>
      <c r="B11" s="6">
        <v>500000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833B-D5CD-49D5-A875-219CBBDDA7F5}">
  <dimension ref="A2:B10"/>
  <sheetViews>
    <sheetView workbookViewId="0">
      <selection activeCell="Q11" sqref="Q11"/>
    </sheetView>
  </sheetViews>
  <sheetFormatPr defaultRowHeight="14.4"/>
  <cols>
    <col min="1" max="1" width="8.21875" bestFit="1" customWidth="1"/>
    <col min="2" max="2" width="10.77734375" customWidth="1"/>
  </cols>
  <sheetData>
    <row r="2" spans="1:2" ht="28.8">
      <c r="A2" s="4" t="s">
        <v>32</v>
      </c>
      <c r="B2" s="8" t="s">
        <v>33</v>
      </c>
    </row>
    <row r="3" spans="1:2" ht="28.8">
      <c r="A3" s="5" t="s">
        <v>43</v>
      </c>
      <c r="B3" s="9">
        <v>1000000</v>
      </c>
    </row>
    <row r="4" spans="1:2" ht="28.8">
      <c r="A4" s="5" t="s">
        <v>44</v>
      </c>
      <c r="B4" s="9">
        <v>350000</v>
      </c>
    </row>
    <row r="5" spans="1:2" ht="28.8">
      <c r="A5" s="5" t="s">
        <v>45</v>
      </c>
      <c r="B5" s="9">
        <v>200000</v>
      </c>
    </row>
    <row r="6" spans="1:2" ht="28.8">
      <c r="A6" s="5" t="s">
        <v>46</v>
      </c>
      <c r="B6" s="9">
        <v>-80000</v>
      </c>
    </row>
    <row r="7" spans="1:2" ht="28.8">
      <c r="A7" s="5" t="s">
        <v>47</v>
      </c>
      <c r="B7" s="9">
        <v>-120000</v>
      </c>
    </row>
    <row r="8" spans="1:2" ht="28.8">
      <c r="A8" s="5" t="s">
        <v>48</v>
      </c>
      <c r="B8" s="9">
        <v>50000</v>
      </c>
    </row>
    <row r="9" spans="1:2">
      <c r="A9" s="5" t="s">
        <v>49</v>
      </c>
      <c r="B9" s="9">
        <v>-70000</v>
      </c>
    </row>
    <row r="10" spans="1:2" ht="28.8">
      <c r="A10" s="5" t="s">
        <v>50</v>
      </c>
      <c r="B10" s="9">
        <v>1330000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7017-E945-44BE-BF43-5524C9326878}">
  <dimension ref="A2:F21"/>
  <sheetViews>
    <sheetView workbookViewId="0">
      <selection activeCell="F22" sqref="F22"/>
    </sheetView>
  </sheetViews>
  <sheetFormatPr defaultRowHeight="14.4"/>
  <sheetData>
    <row r="2" spans="1:2" ht="28.8">
      <c r="A2" s="4" t="s">
        <v>32</v>
      </c>
      <c r="B2" s="8" t="s">
        <v>33</v>
      </c>
    </row>
    <row r="3" spans="1:2" ht="28.8">
      <c r="A3" s="5" t="s">
        <v>51</v>
      </c>
      <c r="B3" s="9">
        <v>50000</v>
      </c>
    </row>
    <row r="4" spans="1:2">
      <c r="A4" s="5" t="s">
        <v>52</v>
      </c>
      <c r="B4" s="9">
        <v>60000</v>
      </c>
    </row>
    <row r="5" spans="1:2" ht="43.2">
      <c r="A5" s="5" t="s">
        <v>53</v>
      </c>
      <c r="B5" s="9">
        <v>15000</v>
      </c>
    </row>
    <row r="6" spans="1:2" ht="28.8">
      <c r="A6" s="5" t="s">
        <v>54</v>
      </c>
      <c r="B6" s="9">
        <v>-18000</v>
      </c>
    </row>
    <row r="7" spans="1:2">
      <c r="A7" s="5" t="s">
        <v>55</v>
      </c>
      <c r="B7" s="9">
        <v>-9000</v>
      </c>
    </row>
    <row r="8" spans="1:2" ht="28.8">
      <c r="A8" s="5" t="s">
        <v>56</v>
      </c>
      <c r="B8" s="9">
        <v>-2500</v>
      </c>
    </row>
    <row r="9" spans="1:2" ht="28.8">
      <c r="A9" s="5" t="s">
        <v>57</v>
      </c>
      <c r="B9" s="9">
        <v>-1200</v>
      </c>
    </row>
    <row r="10" spans="1:2" ht="28.8">
      <c r="A10" s="5" t="s">
        <v>58</v>
      </c>
      <c r="B10" s="9">
        <v>-4500</v>
      </c>
    </row>
    <row r="11" spans="1:2">
      <c r="A11" s="5" t="s">
        <v>59</v>
      </c>
      <c r="B11" s="9">
        <v>-10000</v>
      </c>
    </row>
    <row r="12" spans="1:2" ht="28.8">
      <c r="A12" s="5" t="s">
        <v>60</v>
      </c>
      <c r="B12" s="9">
        <v>79800</v>
      </c>
    </row>
    <row r="21" spans="6:6">
      <c r="F21" t="s">
        <v>142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708A-CC49-40B2-B4F4-1446D2216D3B}">
  <dimension ref="A3:C15"/>
  <sheetViews>
    <sheetView workbookViewId="0">
      <selection activeCell="C7" sqref="A3:C15"/>
    </sheetView>
  </sheetViews>
  <sheetFormatPr defaultRowHeight="14.4"/>
  <sheetData>
    <row r="3" spans="1:3">
      <c r="A3" s="4" t="s">
        <v>61</v>
      </c>
      <c r="B3" s="4" t="s">
        <v>32</v>
      </c>
      <c r="C3" s="8" t="s">
        <v>62</v>
      </c>
    </row>
    <row r="4" spans="1:3" ht="28.8">
      <c r="A4" s="5" t="s">
        <v>63</v>
      </c>
      <c r="B4" s="5" t="s">
        <v>64</v>
      </c>
      <c r="C4" s="9">
        <v>850000</v>
      </c>
    </row>
    <row r="5" spans="1:3">
      <c r="A5" s="5" t="s">
        <v>63</v>
      </c>
      <c r="B5" s="5" t="s">
        <v>65</v>
      </c>
      <c r="C5" s="9">
        <v>520000</v>
      </c>
    </row>
    <row r="6" spans="1:3">
      <c r="A6" s="5" t="s">
        <v>63</v>
      </c>
      <c r="B6" s="5" t="s">
        <v>66</v>
      </c>
      <c r="C6" s="9">
        <v>310000</v>
      </c>
    </row>
    <row r="7" spans="1:3" ht="28.8">
      <c r="A7" s="5" t="s">
        <v>67</v>
      </c>
      <c r="B7" s="5" t="s">
        <v>64</v>
      </c>
      <c r="C7" s="9">
        <v>920000</v>
      </c>
    </row>
    <row r="8" spans="1:3">
      <c r="A8" s="5" t="s">
        <v>67</v>
      </c>
      <c r="B8" s="5" t="s">
        <v>65</v>
      </c>
      <c r="C8" s="9">
        <v>480000</v>
      </c>
    </row>
    <row r="9" spans="1:3">
      <c r="A9" s="5" t="s">
        <v>67</v>
      </c>
      <c r="B9" s="5" t="s">
        <v>66</v>
      </c>
      <c r="C9" s="9">
        <v>370000</v>
      </c>
    </row>
    <row r="10" spans="1:3" ht="28.8">
      <c r="A10" s="5" t="s">
        <v>68</v>
      </c>
      <c r="B10" s="5" t="s">
        <v>64</v>
      </c>
      <c r="C10" s="9">
        <v>610000</v>
      </c>
    </row>
    <row r="11" spans="1:3">
      <c r="A11" s="5" t="s">
        <v>68</v>
      </c>
      <c r="B11" s="5" t="s">
        <v>65</v>
      </c>
      <c r="C11" s="9">
        <v>430000</v>
      </c>
    </row>
    <row r="12" spans="1:3">
      <c r="A12" s="5" t="s">
        <v>68</v>
      </c>
      <c r="B12" s="5" t="s">
        <v>66</v>
      </c>
      <c r="C12" s="9">
        <v>290000</v>
      </c>
    </row>
    <row r="13" spans="1:3" ht="28.8">
      <c r="A13" s="5" t="s">
        <v>69</v>
      </c>
      <c r="B13" s="5" t="s">
        <v>64</v>
      </c>
      <c r="C13" s="9">
        <v>980000</v>
      </c>
    </row>
    <row r="14" spans="1:3">
      <c r="A14" s="5" t="s">
        <v>69</v>
      </c>
      <c r="B14" s="5" t="s">
        <v>65</v>
      </c>
      <c r="C14" s="9">
        <v>640000</v>
      </c>
    </row>
    <row r="15" spans="1:3">
      <c r="A15" s="5" t="s">
        <v>69</v>
      </c>
      <c r="B15" s="5" t="s">
        <v>66</v>
      </c>
      <c r="C15" s="9">
        <v>420000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8F85-B405-416C-96BC-08ED058144AD}">
  <dimension ref="A2:C14"/>
  <sheetViews>
    <sheetView topLeftCell="A2" workbookViewId="0">
      <selection activeCell="P10" sqref="P10"/>
    </sheetView>
  </sheetViews>
  <sheetFormatPr defaultRowHeight="14.4"/>
  <sheetData>
    <row r="2" spans="1:3" ht="28.8">
      <c r="A2" s="4" t="s">
        <v>70</v>
      </c>
      <c r="B2" s="4" t="s">
        <v>71</v>
      </c>
      <c r="C2" s="8" t="s">
        <v>62</v>
      </c>
    </row>
    <row r="3" spans="1:3" ht="28.8">
      <c r="A3" s="5" t="s">
        <v>4</v>
      </c>
      <c r="B3" s="5" t="s">
        <v>72</v>
      </c>
      <c r="C3" s="9">
        <v>450000</v>
      </c>
    </row>
    <row r="4" spans="1:3">
      <c r="A4" s="5" t="s">
        <v>4</v>
      </c>
      <c r="B4" s="5" t="s">
        <v>6</v>
      </c>
      <c r="C4" s="9">
        <v>380000</v>
      </c>
    </row>
    <row r="5" spans="1:3">
      <c r="A5" s="5" t="s">
        <v>4</v>
      </c>
      <c r="B5" s="5" t="s">
        <v>73</v>
      </c>
      <c r="C5" s="9">
        <v>320000</v>
      </c>
    </row>
    <row r="6" spans="1:3" ht="28.8">
      <c r="A6" s="5" t="s">
        <v>3</v>
      </c>
      <c r="B6" s="5" t="s">
        <v>74</v>
      </c>
      <c r="C6" s="9">
        <v>250000</v>
      </c>
    </row>
    <row r="7" spans="1:3">
      <c r="A7" s="5" t="s">
        <v>3</v>
      </c>
      <c r="B7" s="5" t="s">
        <v>75</v>
      </c>
      <c r="C7" s="9">
        <v>220000</v>
      </c>
    </row>
    <row r="8" spans="1:3" ht="28.8">
      <c r="A8" s="5" t="s">
        <v>3</v>
      </c>
      <c r="B8" s="5" t="s">
        <v>76</v>
      </c>
      <c r="C8" s="9">
        <v>180000</v>
      </c>
    </row>
    <row r="9" spans="1:3" ht="28.8">
      <c r="A9" s="5" t="s">
        <v>5</v>
      </c>
      <c r="B9" s="5" t="s">
        <v>77</v>
      </c>
      <c r="C9" s="9">
        <v>620000</v>
      </c>
    </row>
    <row r="10" spans="1:3" ht="28.8">
      <c r="A10" s="5" t="s">
        <v>5</v>
      </c>
      <c r="B10" s="5" t="s">
        <v>78</v>
      </c>
      <c r="C10" s="9">
        <v>580000</v>
      </c>
    </row>
    <row r="11" spans="1:3" ht="28.8">
      <c r="A11" s="5" t="s">
        <v>5</v>
      </c>
      <c r="B11" s="5" t="s">
        <v>79</v>
      </c>
      <c r="C11" s="9">
        <v>510000</v>
      </c>
    </row>
    <row r="12" spans="1:3" ht="43.2">
      <c r="A12" s="5" t="s">
        <v>80</v>
      </c>
      <c r="B12" s="5" t="s">
        <v>81</v>
      </c>
      <c r="C12" s="9">
        <v>760000</v>
      </c>
    </row>
    <row r="13" spans="1:3" ht="43.2">
      <c r="A13" s="5" t="s">
        <v>80</v>
      </c>
      <c r="B13" s="5" t="s">
        <v>82</v>
      </c>
      <c r="C13" s="9">
        <v>680000</v>
      </c>
    </row>
    <row r="14" spans="1:3" ht="43.2">
      <c r="A14" s="5" t="s">
        <v>80</v>
      </c>
      <c r="B14" s="5" t="s">
        <v>83</v>
      </c>
      <c r="C14" s="9">
        <v>590000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F055-9DB3-445A-9D63-34C4043AF733}">
  <dimension ref="A2:C14"/>
  <sheetViews>
    <sheetView workbookViewId="0">
      <selection activeCell="A2" sqref="A2:C14"/>
    </sheetView>
  </sheetViews>
  <sheetFormatPr defaultRowHeight="14.4"/>
  <sheetData>
    <row r="2" spans="1:3" ht="28.8">
      <c r="A2" s="4" t="s">
        <v>71</v>
      </c>
      <c r="B2" s="4" t="s">
        <v>84</v>
      </c>
      <c r="C2" s="8" t="s">
        <v>85</v>
      </c>
    </row>
    <row r="3" spans="1:3" ht="28.8">
      <c r="A3" s="5" t="s">
        <v>86</v>
      </c>
      <c r="B3" s="5" t="s">
        <v>87</v>
      </c>
      <c r="C3" s="9">
        <v>1500000</v>
      </c>
    </row>
    <row r="4" spans="1:3" ht="28.8">
      <c r="A4" s="5" t="s">
        <v>86</v>
      </c>
      <c r="B4" s="5" t="s">
        <v>88</v>
      </c>
      <c r="C4" s="9">
        <v>1900000</v>
      </c>
    </row>
    <row r="5" spans="1:3" ht="28.8">
      <c r="A5" s="5" t="s">
        <v>86</v>
      </c>
      <c r="B5" s="5" t="s">
        <v>89</v>
      </c>
      <c r="C5" s="9">
        <v>1200000</v>
      </c>
    </row>
    <row r="6" spans="1:3" ht="28.8">
      <c r="A6" s="5" t="s">
        <v>90</v>
      </c>
      <c r="B6" s="5" t="s">
        <v>91</v>
      </c>
      <c r="C6" s="9">
        <v>1700000</v>
      </c>
    </row>
    <row r="7" spans="1:3" ht="28.8">
      <c r="A7" s="5" t="s">
        <v>90</v>
      </c>
      <c r="B7" s="5" t="s">
        <v>92</v>
      </c>
      <c r="C7" s="9">
        <v>900000</v>
      </c>
    </row>
    <row r="8" spans="1:3" ht="28.8">
      <c r="A8" s="5" t="s">
        <v>90</v>
      </c>
      <c r="B8" s="5" t="s">
        <v>93</v>
      </c>
      <c r="C8" s="9">
        <v>700000</v>
      </c>
    </row>
    <row r="9" spans="1:3" ht="28.8">
      <c r="A9" s="5" t="s">
        <v>94</v>
      </c>
      <c r="B9" s="5" t="s">
        <v>95</v>
      </c>
      <c r="C9" s="9">
        <v>1300000</v>
      </c>
    </row>
    <row r="10" spans="1:3">
      <c r="A10" s="5" t="s">
        <v>94</v>
      </c>
      <c r="B10" s="5" t="s">
        <v>96</v>
      </c>
      <c r="C10" s="9">
        <v>850000</v>
      </c>
    </row>
    <row r="11" spans="1:3">
      <c r="A11" s="5" t="s">
        <v>94</v>
      </c>
      <c r="B11" s="5" t="s">
        <v>97</v>
      </c>
      <c r="C11" s="9">
        <v>600000</v>
      </c>
    </row>
    <row r="12" spans="1:3" ht="28.8">
      <c r="A12" s="5" t="s">
        <v>98</v>
      </c>
      <c r="B12" s="5" t="s">
        <v>99</v>
      </c>
      <c r="C12" s="9">
        <v>750000</v>
      </c>
    </row>
    <row r="13" spans="1:3" ht="28.8">
      <c r="A13" s="5" t="s">
        <v>98</v>
      </c>
      <c r="B13" s="5" t="s">
        <v>100</v>
      </c>
      <c r="C13" s="9">
        <v>550000</v>
      </c>
    </row>
    <row r="14" spans="1:3" ht="28.8">
      <c r="A14" s="5" t="s">
        <v>98</v>
      </c>
      <c r="B14" s="5" t="s">
        <v>101</v>
      </c>
      <c r="C14" s="9">
        <v>980000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91D9-D0BD-4A4B-9F25-B87B2605E4E9}">
  <dimension ref="A2:B8"/>
  <sheetViews>
    <sheetView workbookViewId="0">
      <selection activeCell="Q6" sqref="Q6"/>
    </sheetView>
  </sheetViews>
  <sheetFormatPr defaultRowHeight="14.4"/>
  <sheetData>
    <row r="2" spans="1:2" ht="28.8">
      <c r="A2" s="4" t="s">
        <v>102</v>
      </c>
      <c r="B2" s="8" t="s">
        <v>103</v>
      </c>
    </row>
    <row r="3" spans="1:2" ht="28.8">
      <c r="A3" s="5" t="s">
        <v>104</v>
      </c>
      <c r="B3" s="9">
        <v>25000</v>
      </c>
    </row>
    <row r="4" spans="1:2" ht="28.8">
      <c r="A4" s="5" t="s">
        <v>105</v>
      </c>
      <c r="B4" s="9">
        <v>18000</v>
      </c>
    </row>
    <row r="5" spans="1:2" ht="28.8">
      <c r="A5" s="5" t="s">
        <v>106</v>
      </c>
      <c r="B5" s="9">
        <v>9000</v>
      </c>
    </row>
    <row r="6" spans="1:2" ht="28.8">
      <c r="A6" s="5" t="s">
        <v>107</v>
      </c>
      <c r="B6" s="9">
        <v>6000</v>
      </c>
    </row>
    <row r="7" spans="1:2" ht="43.2">
      <c r="A7" s="5" t="s">
        <v>108</v>
      </c>
      <c r="B7" s="9">
        <v>4500</v>
      </c>
    </row>
    <row r="8" spans="1:2" ht="28.8">
      <c r="A8" s="5" t="s">
        <v>109</v>
      </c>
      <c r="B8" s="9">
        <v>4200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DC20-38EF-461A-B491-C124DAEBCC64}">
  <dimension ref="A2:B8"/>
  <sheetViews>
    <sheetView workbookViewId="0">
      <selection activeCell="N14" sqref="N14"/>
    </sheetView>
  </sheetViews>
  <sheetFormatPr defaultRowHeight="14.4"/>
  <sheetData>
    <row r="2" spans="1:2" ht="28.8">
      <c r="A2" s="4" t="s">
        <v>110</v>
      </c>
      <c r="B2" s="8" t="s">
        <v>111</v>
      </c>
    </row>
    <row r="3" spans="1:2" ht="43.2">
      <c r="A3" s="5" t="s">
        <v>112</v>
      </c>
      <c r="B3" s="9">
        <v>5000</v>
      </c>
    </row>
    <row r="4" spans="1:2" ht="43.2">
      <c r="A4" s="5" t="s">
        <v>113</v>
      </c>
      <c r="B4" s="9">
        <v>4200</v>
      </c>
    </row>
    <row r="5" spans="1:2" ht="43.2">
      <c r="A5" s="5" t="s">
        <v>114</v>
      </c>
      <c r="B5" s="9">
        <v>2800</v>
      </c>
    </row>
    <row r="6" spans="1:2" ht="28.8">
      <c r="A6" s="5" t="s">
        <v>115</v>
      </c>
      <c r="B6" s="9">
        <v>1800</v>
      </c>
    </row>
    <row r="7" spans="1:2">
      <c r="A7" s="5" t="s">
        <v>116</v>
      </c>
      <c r="B7" s="9">
        <v>1200</v>
      </c>
    </row>
    <row r="8" spans="1:2" ht="43.2">
      <c r="A8" s="5" t="s">
        <v>117</v>
      </c>
      <c r="B8" s="9">
        <v>1000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4BCA-B940-494E-A9B0-1A91EEDE6316}">
  <dimension ref="A2:B9"/>
  <sheetViews>
    <sheetView tabSelected="1" workbookViewId="0">
      <selection activeCell="S3" sqref="S3"/>
    </sheetView>
  </sheetViews>
  <sheetFormatPr defaultRowHeight="14.4"/>
  <sheetData>
    <row r="2" spans="1:2" ht="28.8">
      <c r="A2" s="4" t="s">
        <v>118</v>
      </c>
      <c r="B2" s="8" t="s">
        <v>119</v>
      </c>
    </row>
    <row r="3" spans="1:2" ht="43.2">
      <c r="A3" s="5" t="s">
        <v>112</v>
      </c>
      <c r="B3" s="9">
        <v>2000</v>
      </c>
    </row>
    <row r="4" spans="1:2" ht="43.2">
      <c r="A4" s="5" t="s">
        <v>120</v>
      </c>
      <c r="B4" s="9">
        <v>850</v>
      </c>
    </row>
    <row r="5" spans="1:2" ht="43.2">
      <c r="A5" s="5" t="s">
        <v>121</v>
      </c>
      <c r="B5" s="9">
        <v>500</v>
      </c>
    </row>
    <row r="6" spans="1:2" ht="28.8">
      <c r="A6" s="5" t="s">
        <v>122</v>
      </c>
      <c r="B6" s="9">
        <v>220</v>
      </c>
    </row>
    <row r="7" spans="1:2" ht="28.8">
      <c r="A7" s="5" t="s">
        <v>123</v>
      </c>
      <c r="B7" s="9">
        <v>120</v>
      </c>
    </row>
    <row r="8" spans="1:2" ht="28.8">
      <c r="A8" s="5" t="s">
        <v>124</v>
      </c>
      <c r="B8" s="9">
        <v>60</v>
      </c>
    </row>
    <row r="9" spans="1:2" ht="28.8">
      <c r="A9" s="5" t="s">
        <v>125</v>
      </c>
      <c r="B9" s="9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BoxPlot</vt:lpstr>
      <vt:lpstr>BoxPlot (2)</vt:lpstr>
      <vt:lpstr>Scatterplot1</vt:lpstr>
      <vt:lpstr>Scatterplot2</vt:lpstr>
      <vt:lpstr>WaterfallChart1</vt:lpstr>
      <vt:lpstr>WaterfallChart2</vt:lpstr>
      <vt:lpstr>WaterfallChart3</vt:lpstr>
      <vt:lpstr>Treemap1</vt:lpstr>
      <vt:lpstr>Treemap2</vt:lpstr>
      <vt:lpstr>Treemap3</vt:lpstr>
      <vt:lpstr>FunnelChart1</vt:lpstr>
      <vt:lpstr>FunnelChart2</vt:lpstr>
      <vt:lpstr>FunnelChart3</vt:lpstr>
      <vt:lpstr>saree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 supare</cp:lastModifiedBy>
  <dcterms:created xsi:type="dcterms:W3CDTF">2015-06-05T18:17:20Z</dcterms:created>
  <dcterms:modified xsi:type="dcterms:W3CDTF">2026-07-22T02:56:17Z</dcterms:modified>
</cp:coreProperties>
</file>