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omsup\Documents\Advanced Excel\excelpractice\"/>
    </mc:Choice>
  </mc:AlternateContent>
  <xr:revisionPtr revIDLastSave="0" documentId="13_ncr:1_{DAB95022-F64F-4105-8DAF-17FA1A91DD8C}" xr6:coauthVersionLast="47" xr6:coauthVersionMax="47" xr10:uidLastSave="{00000000-0000-0000-0000-000000000000}"/>
  <bookViews>
    <workbookView xWindow="-108" yWindow="-108" windowWidth="23256" windowHeight="12456" firstSheet="2" activeTab="4" xr2:uid="{00000000-000D-0000-FFFF-FFFF00000000}"/>
  </bookViews>
  <sheets>
    <sheet name="Create from selection" sheetId="1" r:id="rId1"/>
    <sheet name="DateFunctions" sheetId="3" r:id="rId2"/>
    <sheet name="Exercise-1" sheetId="4" r:id="rId3"/>
    <sheet name="Exercise-2" sheetId="5" r:id="rId4"/>
    <sheet name="Exercise-3" sheetId="6" r:id="rId5"/>
    <sheet name="Exercise-4" sheetId="7" r:id="rId6"/>
    <sheet name="Exercise-5" sheetId="8" r:id="rId7"/>
    <sheet name="Exercise-6" sheetId="9" r:id="rId8"/>
    <sheet name="Exercise 7" sheetId="10" r:id="rId9"/>
    <sheet name="Exercise-8" sheetId="11" r:id="rId10"/>
  </sheets>
  <definedNames>
    <definedName name="Apr">'Create from selection'!$B$5:$C$5</definedName>
    <definedName name="Feb">'Create from selection'!$B$3:$C$3</definedName>
    <definedName name="Jan">'Create from selection'!$B$2:$C$2</definedName>
    <definedName name="Mar">'Create from selection'!$B$4:$C$4</definedName>
    <definedName name="Month">'Create from selection'!$B$2:$C$5</definedName>
    <definedName name="Product_A">'Create from selection'!$B$9:$D$9</definedName>
    <definedName name="Product_B">'Create from selection'!$B$10:$D$10</definedName>
    <definedName name="Product_C">'Create from selection'!$B$11:$D$11</definedName>
    <definedName name="Profit">'Create from selection'!$C$2:$C$5</definedName>
    <definedName name="Sales">'Create from selection'!$B$2:$B$5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" i="6" l="1"/>
  <c r="H8" i="6"/>
  <c r="H9" i="6"/>
  <c r="H10" i="6"/>
  <c r="H6" i="6"/>
  <c r="G7" i="6"/>
  <c r="G8" i="6"/>
  <c r="G9" i="6"/>
  <c r="G10" i="6"/>
  <c r="G6" i="6"/>
  <c r="F7" i="6"/>
  <c r="F8" i="6"/>
  <c r="F9" i="6"/>
  <c r="F10" i="6"/>
  <c r="F6" i="6"/>
  <c r="E7" i="6"/>
  <c r="E8" i="6"/>
  <c r="E9" i="6"/>
  <c r="E10" i="6"/>
  <c r="E6" i="6"/>
  <c r="D7" i="6"/>
  <c r="D8" i="6"/>
  <c r="D9" i="6"/>
  <c r="D10" i="6"/>
  <c r="D6" i="6"/>
  <c r="C7" i="6"/>
  <c r="C8" i="6"/>
  <c r="C9" i="6"/>
  <c r="C10" i="6"/>
  <c r="C6" i="6"/>
  <c r="E7" i="5"/>
  <c r="E8" i="5"/>
  <c r="E9" i="5"/>
  <c r="E10" i="5"/>
  <c r="E6" i="5"/>
  <c r="H7" i="5"/>
  <c r="H8" i="5"/>
  <c r="H9" i="5"/>
  <c r="H10" i="5"/>
  <c r="H6" i="5"/>
  <c r="G6" i="5"/>
  <c r="G7" i="5" l="1"/>
  <c r="G8" i="5"/>
  <c r="G9" i="5"/>
  <c r="G10" i="5"/>
  <c r="F7" i="5"/>
  <c r="F8" i="5"/>
  <c r="F9" i="5"/>
  <c r="F10" i="5"/>
  <c r="F6" i="5"/>
  <c r="D7" i="5"/>
  <c r="D8" i="5"/>
  <c r="D9" i="5"/>
  <c r="D10" i="5"/>
  <c r="D6" i="5"/>
  <c r="H7" i="4"/>
  <c r="H8" i="4"/>
  <c r="H9" i="4"/>
  <c r="H10" i="4"/>
  <c r="H6" i="4"/>
  <c r="G7" i="4"/>
  <c r="G8" i="4"/>
  <c r="G9" i="4"/>
  <c r="G10" i="4"/>
  <c r="G6" i="4"/>
  <c r="H17" i="3"/>
  <c r="H13" i="3"/>
  <c r="I7" i="4"/>
  <c r="I8" i="4"/>
  <c r="I9" i="4"/>
  <c r="I10" i="4"/>
  <c r="I6" i="4"/>
  <c r="J7" i="4"/>
  <c r="J8" i="4"/>
  <c r="J9" i="4"/>
  <c r="J10" i="4"/>
  <c r="F7" i="4"/>
  <c r="F8" i="4"/>
  <c r="F9" i="4"/>
  <c r="F10" i="4"/>
  <c r="E7" i="4"/>
  <c r="E8" i="4"/>
  <c r="E9" i="4"/>
  <c r="E10" i="4"/>
  <c r="F6" i="4"/>
  <c r="J6" i="4"/>
  <c r="E6" i="4"/>
  <c r="F14" i="4"/>
  <c r="J20" i="3"/>
  <c r="H20" i="3"/>
  <c r="J2" i="3"/>
  <c r="H4" i="3"/>
  <c r="H2" i="3"/>
  <c r="F11" i="1"/>
  <c r="F10" i="1"/>
  <c r="F9" i="1"/>
  <c r="E11" i="1"/>
  <c r="E10" i="1"/>
  <c r="E9" i="1"/>
  <c r="D5" i="1"/>
  <c r="D4" i="1"/>
  <c r="D3" i="1"/>
  <c r="D2" i="1"/>
  <c r="C6" i="1"/>
  <c r="B6" i="1"/>
  <c r="H3" i="3"/>
  <c r="H5" i="3"/>
  <c r="H6" i="3"/>
  <c r="H7" i="3"/>
  <c r="H8" i="3"/>
  <c r="H9" i="3"/>
  <c r="H10" i="3"/>
  <c r="H11" i="3"/>
  <c r="H12" i="3"/>
  <c r="H14" i="3"/>
  <c r="H15" i="3"/>
  <c r="H16" i="3"/>
  <c r="H18" i="3"/>
  <c r="H19" i="3"/>
  <c r="H21" i="3"/>
  <c r="M4" i="3"/>
  <c r="M5" i="3"/>
  <c r="M6" i="3"/>
  <c r="M7" i="3"/>
  <c r="M8" i="3"/>
  <c r="M9" i="3"/>
  <c r="M10" i="3"/>
  <c r="M11" i="3"/>
  <c r="M14" i="3"/>
  <c r="M15" i="3"/>
  <c r="G11" i="3"/>
  <c r="G12" i="3"/>
  <c r="G5" i="3"/>
  <c r="G17" i="3"/>
  <c r="G6" i="3"/>
  <c r="G18" i="3"/>
  <c r="G7" i="3"/>
  <c r="G19" i="3"/>
  <c r="G8" i="3"/>
  <c r="G20" i="3"/>
  <c r="G15" i="3"/>
  <c r="G4" i="3"/>
  <c r="G16" i="3"/>
  <c r="G9" i="3"/>
  <c r="G21" i="3"/>
  <c r="G10" i="3"/>
  <c r="G3" i="3"/>
  <c r="G13" i="3"/>
  <c r="G14" i="3"/>
  <c r="G2" i="3"/>
</calcChain>
</file>

<file path=xl/sharedStrings.xml><?xml version="1.0" encoding="utf-8"?>
<sst xmlns="http://schemas.openxmlformats.org/spreadsheetml/2006/main" count="268" uniqueCount="221">
  <si>
    <t>Month</t>
  </si>
  <si>
    <t>Sales</t>
  </si>
  <si>
    <t>Profit</t>
  </si>
  <si>
    <t>Jan</t>
  </si>
  <si>
    <t>Feb</t>
  </si>
  <si>
    <t>Mar</t>
  </si>
  <si>
    <t>Apr</t>
  </si>
  <si>
    <t>Product A</t>
  </si>
  <si>
    <t>Product B</t>
  </si>
  <si>
    <t>Product C</t>
  </si>
  <si>
    <t>Emp ID</t>
  </si>
  <si>
    <t>Employee</t>
  </si>
  <si>
    <t>Joining Date</t>
  </si>
  <si>
    <t>Delivery Date</t>
  </si>
  <si>
    <t>Birth Date</t>
  </si>
  <si>
    <t>Description</t>
  </si>
  <si>
    <t>Formula</t>
  </si>
  <si>
    <t>Expected Output (Example)</t>
  </si>
  <si>
    <t>Amit</t>
  </si>
  <si>
    <t>Returns current date</t>
  </si>
  <si>
    <t>Neha</t>
  </si>
  <si>
    <t>Returns current date &amp; time</t>
  </si>
  <si>
    <t>Rahul</t>
  </si>
  <si>
    <t>Extracts day</t>
  </si>
  <si>
    <t>Priya</t>
  </si>
  <si>
    <t>Extracts month number</t>
  </si>
  <si>
    <t>Karan</t>
  </si>
  <si>
    <t>Extracts year</t>
  </si>
  <si>
    <t>Sneha</t>
  </si>
  <si>
    <t>Weekday number</t>
  </si>
  <si>
    <t>Mohit</t>
  </si>
  <si>
    <t>Week number</t>
  </si>
  <si>
    <t>Pooja</t>
  </si>
  <si>
    <t>Month name</t>
  </si>
  <si>
    <t>January</t>
  </si>
  <si>
    <t>Riya</t>
  </si>
  <si>
    <t>Day name</t>
  </si>
  <si>
    <t>Monday</t>
  </si>
  <si>
    <t>Arjun</t>
  </si>
  <si>
    <t>Creates a date</t>
  </si>
  <si>
    <t>Aisha</t>
  </si>
  <si>
    <t>End of month</t>
  </si>
  <si>
    <t>Vivek</t>
  </si>
  <si>
    <t>Last day after 2 months</t>
  </si>
  <si>
    <t>Simran</t>
  </si>
  <si>
    <t>Difference in days</t>
  </si>
  <si>
    <t>919 (example)</t>
  </si>
  <si>
    <t>Nitin</t>
  </si>
  <si>
    <t>Working days</t>
  </si>
  <si>
    <t>Working days count</t>
  </si>
  <si>
    <t>Kavya</t>
  </si>
  <si>
    <t>Add 30 working days</t>
  </si>
  <si>
    <t>Date after 30 workdays</t>
  </si>
  <si>
    <t>Deepak</t>
  </si>
  <si>
    <t>Add 6 months</t>
  </si>
  <si>
    <t>Meera</t>
  </si>
  <si>
    <t>Age in years</t>
  </si>
  <si>
    <t>Age</t>
  </si>
  <si>
    <t>Sagar</t>
  </si>
  <si>
    <t>Years &amp; Months</t>
  </si>
  <si>
    <t>Remaining months</t>
  </si>
  <si>
    <t>Anjali</t>
  </si>
  <si>
    <t>Remaining days</t>
  </si>
  <si>
    <t>Rohit</t>
  </si>
  <si>
    <t>Year fraction</t>
  </si>
  <si>
    <t>Decimal year</t>
  </si>
  <si>
    <t>Formula applied</t>
  </si>
  <si>
    <t>Explanation of Each Function</t>
  </si>
  <si>
    <t>Function</t>
  </si>
  <si>
    <t>Purpose</t>
  </si>
  <si>
    <t>Example</t>
  </si>
  <si>
    <t>TODAY()</t>
  </si>
  <si>
    <t>Returns the current system date.</t>
  </si>
  <si>
    <t>NOW()</t>
  </si>
  <si>
    <t>Returns the current date and time.</t>
  </si>
  <si>
    <t>DATE(year,month,day)</t>
  </si>
  <si>
    <t>Creates a valid Excel date.</t>
  </si>
  <si>
    <t>DAY(date)</t>
  </si>
  <si>
    <t>Returns the day (1–31).</t>
  </si>
  <si>
    <t>MONTH(date)</t>
  </si>
  <si>
    <t>Returns the month (1–12).</t>
  </si>
  <si>
    <t>YEAR(date)</t>
  </si>
  <si>
    <t>Returns the year.</t>
  </si>
  <si>
    <t>WEEKDAY(date)</t>
  </si>
  <si>
    <t>Returns the day number of the week.</t>
  </si>
  <si>
    <t>WEEKNUM(date)</t>
  </si>
  <si>
    <t>Returns the week number in the year.</t>
  </si>
  <si>
    <t>TEXT(date,"dddd")</t>
  </si>
  <si>
    <t>Displays the full day name.</t>
  </si>
  <si>
    <t>TEXT(date,"mmmm")</t>
  </si>
  <si>
    <t>Displays the full month name.</t>
  </si>
  <si>
    <t>EDATE(date,months)</t>
  </si>
  <si>
    <t>Adds or subtracts months from a date.</t>
  </si>
  <si>
    <t>EOMONTH(date,months)</t>
  </si>
  <si>
    <t>Returns the last day of the month after a specified number of months.</t>
  </si>
  <si>
    <t>DATEDIF(start,end,"Y")</t>
  </si>
  <si>
    <t>Returns complete years between two dates.</t>
  </si>
  <si>
    <t>Age calculation</t>
  </si>
  <si>
    <t>DATEDIF(start,end,"YM")</t>
  </si>
  <si>
    <t>Returns remaining months after complete years.</t>
  </si>
  <si>
    <t>Age in months</t>
  </si>
  <si>
    <t>DATEDIF(start,end,"MD")</t>
  </si>
  <si>
    <t>Returns remaining days after complete months.</t>
  </si>
  <si>
    <t>Age in days</t>
  </si>
  <si>
    <t>NETWORKDAYS(start,end)</t>
  </si>
  <si>
    <t>Counts working days (Mon–Fri).</t>
  </si>
  <si>
    <t>Project duration</t>
  </si>
  <si>
    <t>WORKDAY(start,days)</t>
  </si>
  <si>
    <t>Returns the future date after a specified number of working days.</t>
  </si>
  <si>
    <t>Delivery planning</t>
  </si>
  <si>
    <t>YEARFRAC(start,end)</t>
  </si>
  <si>
    <t>Returns the fraction of a year between two dates.</t>
  </si>
  <si>
    <t>Interest calculations</t>
  </si>
  <si>
    <t>Exercise 1: Employee Experience Report (HR)</t>
  </si>
  <si>
    <t>Dataset</t>
  </si>
  <si>
    <t>Tasks</t>
  </si>
  <si>
    <t>1. Display today's date.</t>
  </si>
  <si>
    <t>2. Calculate employee age in years.</t>
  </si>
  <si>
    <t>3. Calculate years of experience.</t>
  </si>
  <si>
    <t>4. Display birth month.</t>
  </si>
  <si>
    <t>5. Display joining day name.</t>
  </si>
  <si>
    <t>6. Find retirement date (Joining Date + 35 years).</t>
  </si>
  <si>
    <t>7. Find retirement month.</t>
  </si>
  <si>
    <t>Exercise 2: Courier Delivery Tracker</t>
  </si>
  <si>
    <t>Order ID</t>
  </si>
  <si>
    <t>Order Date</t>
  </si>
  <si>
    <t>O101</t>
  </si>
  <si>
    <t>O102</t>
  </si>
  <si>
    <t>O103</t>
  </si>
  <si>
    <t>O104</t>
  </si>
  <si>
    <t>O105</t>
  </si>
  <si>
    <t>1. Calculate total delivery days.</t>
  </si>
  <si>
    <t>2. Calculate working days only.</t>
  </si>
  <si>
    <t>3. Find last day of delivery month.</t>
  </si>
  <si>
    <t>4. Display weekday of delivery.</t>
  </si>
  <si>
    <t>Exercise 3: Student Age Calculator</t>
  </si>
  <si>
    <t>Student</t>
  </si>
  <si>
    <t>DOB</t>
  </si>
  <si>
    <t>Ravi</t>
  </si>
  <si>
    <t>1. Calculate current age.</t>
  </si>
  <si>
    <t>2. Display birth month.</t>
  </si>
  <si>
    <t>3. Display birth day.</t>
  </si>
  <si>
    <t>4. Display birth weekday.</t>
  </si>
  <si>
    <t>5. Find next birthday year.</t>
  </si>
  <si>
    <t>Exercise 4: Project Deadline</t>
  </si>
  <si>
    <t>Project</t>
  </si>
  <si>
    <t>Start Date</t>
  </si>
  <si>
    <t>Duration (Working Days)</t>
  </si>
  <si>
    <t>ERP</t>
  </si>
  <si>
    <t>Website</t>
  </si>
  <si>
    <t>CRM</t>
  </si>
  <si>
    <t>Mobile App</t>
  </si>
  <si>
    <t>Dashboard</t>
  </si>
  <si>
    <t>1. Calculate expected completion date.</t>
  </si>
  <si>
    <t>2. Find completion month.</t>
  </si>
  <si>
    <t>3. Find completion year.</t>
  </si>
  <si>
    <t>4. Find last day of completion month.</t>
  </si>
  <si>
    <t>Exercise 5: Loan Maturity</t>
  </si>
  <si>
    <t>Customer</t>
  </si>
  <si>
    <t>Loan Date</t>
  </si>
  <si>
    <t>Loan Period (Months)</t>
  </si>
  <si>
    <t>1. Calculate maturity date.</t>
  </si>
  <si>
    <t>2. Find maturity year.</t>
  </si>
  <si>
    <t>3. Find maturity month.</t>
  </si>
  <si>
    <t>4. Find last day of maturity month.</t>
  </si>
  <si>
    <t>Exercise 6: Invoice Due Date</t>
  </si>
  <si>
    <t>Invoice</t>
  </si>
  <si>
    <t>Invoice Date</t>
  </si>
  <si>
    <t>Credit Days</t>
  </si>
  <si>
    <t>INV101</t>
  </si>
  <si>
    <t>INV102</t>
  </si>
  <si>
    <t>INV103</t>
  </si>
  <si>
    <t>INV104</t>
  </si>
  <si>
    <t>INV105</t>
  </si>
  <si>
    <t>1. Calculate due date.</t>
  </si>
  <si>
    <t>2. Display due day name.</t>
  </si>
  <si>
    <t>3. Display due month.</t>
  </si>
  <si>
    <t>4. Find last day of due month.</t>
  </si>
  <si>
    <t>Exercise 7: Event Planner</t>
  </si>
  <si>
    <t>Event</t>
  </si>
  <si>
    <t>Event Date</t>
  </si>
  <si>
    <t>Seminar</t>
  </si>
  <si>
    <t>Workshop</t>
  </si>
  <si>
    <t>Sports Day</t>
  </si>
  <si>
    <t>Hackathon</t>
  </si>
  <si>
    <t>Annual Day</t>
  </si>
  <si>
    <t>1. Display weekday.</t>
  </si>
  <si>
    <t>2. Display month name.</t>
  </si>
  <si>
    <t>3. Display week number.</t>
  </si>
  <si>
    <t>4. Find days remaining until the event.</t>
  </si>
  <si>
    <t>5. Find last day of the event month.</t>
  </si>
  <si>
    <t>Exercise 8: Comprehensive Date Functions Challenge</t>
  </si>
  <si>
    <t>Project Start</t>
  </si>
  <si>
    <t>Project End</t>
  </si>
  <si>
    <t>2. Calculate years of experience.</t>
  </si>
  <si>
    <t>3. Find joining weekday.</t>
  </si>
  <si>
    <t>4. Display joining month name.</t>
  </si>
  <si>
    <t>5. Calculate project duration in days.</t>
  </si>
  <si>
    <t>6. Calculate project working days.</t>
  </si>
  <si>
    <t>7. Find project completion month.</t>
  </si>
  <si>
    <t>8. Find last day of project completion month.</t>
  </si>
  <si>
    <t>9. Find the date after adding 3 months to the joining date.</t>
  </si>
  <si>
    <t>10. Calculate the fraction of a year the project lasted.</t>
  </si>
  <si>
    <t>Average Sales</t>
  </si>
  <si>
    <t>Total Sales</t>
  </si>
  <si>
    <t>BirthMonth</t>
  </si>
  <si>
    <t>Retirement Date</t>
  </si>
  <si>
    <t>Retirement Month</t>
  </si>
  <si>
    <t>Expericence</t>
  </si>
  <si>
    <t xml:space="preserve">Retirement </t>
  </si>
  <si>
    <t>35 years plus joining date</t>
  </si>
  <si>
    <t>Joining Day</t>
  </si>
  <si>
    <t>Total Delivery Days</t>
  </si>
  <si>
    <t>Working Days</t>
  </si>
  <si>
    <t>Delivery Month</t>
  </si>
  <si>
    <t>WeekDay of Delivery</t>
  </si>
  <si>
    <t>Weekdays in month</t>
  </si>
  <si>
    <t>Birth Month</t>
  </si>
  <si>
    <t>Birth Day</t>
  </si>
  <si>
    <t>Birth Weekday</t>
  </si>
  <si>
    <t>Next Birthday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</si>
</sst>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  <family val="2"/>
    </font>
    <font>
      <b/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4" fontId="2" fillId="0" borderId="0" xfId="0" applyNumberFormat="1" applyFont="1" applyAlignment="1">
      <alignment vertical="center" wrapText="1"/>
    </xf>
    <xf numFmtId="0" fontId="2" fillId="0" borderId="0" xfId="0" applyFont="1" applyAlignment="1">
      <alignment vertical="center" wrapText="1"/>
    </xf>
    <xf numFmtId="15" fontId="0" fillId="0" borderId="1" xfId="0" applyNumberFormat="1" applyBorder="1" applyAlignment="1">
      <alignment vertical="center" wrapText="1"/>
    </xf>
    <xf numFmtId="14" fontId="2" fillId="0" borderId="1" xfId="0" applyNumberFormat="1" applyFont="1" applyBorder="1" applyAlignment="1">
      <alignment vertical="center" wrapText="1"/>
    </xf>
    <xf numFmtId="22" fontId="2" fillId="0" borderId="1" xfId="0" applyNumberFormat="1" applyFont="1" applyBorder="1" applyAlignment="1">
      <alignment vertical="center" wrapText="1"/>
    </xf>
    <xf numFmtId="22" fontId="0" fillId="0" borderId="1" xfId="0" applyNumberForma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" fillId="0" borderId="0" xfId="0" applyFont="1"/>
    <xf numFmtId="15" fontId="0" fillId="2" borderId="1" xfId="0" applyNumberFormat="1" applyFill="1" applyBorder="1" applyAlignment="1">
      <alignment vertical="center" wrapText="1"/>
    </xf>
    <xf numFmtId="0" fontId="0" fillId="0" borderId="0" xfId="0" applyAlignment="1">
      <alignment horizontal="center"/>
    </xf>
    <xf numFmtId="0" fontId="0" fillId="3" borderId="0" xfId="0" applyFill="1"/>
    <xf numFmtId="0" fontId="0" fillId="4" borderId="0" xfId="0" applyFill="1"/>
    <xf numFmtId="0" fontId="0" fillId="3" borderId="0" xfId="0" applyFill="1" applyAlignment="1">
      <alignment horizontal="center"/>
    </xf>
    <xf numFmtId="0" fontId="0" fillId="0" borderId="1" xfId="0" applyBorder="1" applyAlignment="1">
      <alignment horizontal="center"/>
    </xf>
    <xf numFmtId="0" fontId="0" fillId="5" borderId="0" xfId="0" applyFill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14" fontId="0" fillId="0" borderId="0" xfId="0" applyNumberFormat="1"/>
    <xf numFmtId="0" fontId="0" fillId="0" borderId="1" xfId="0" applyBorder="1"/>
    <xf numFmtId="14" fontId="0" fillId="0" borderId="1" xfId="0" applyNumberFormat="1" applyBorder="1" applyAlignment="1">
      <alignment horizont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zoomScale="175" workbookViewId="0">
      <selection activeCell="I10" sqref="I10"/>
    </sheetView>
  </sheetViews>
  <sheetFormatPr defaultRowHeight="14.4"/>
  <cols>
    <col min="5" max="5" width="12.109375" bestFit="1" customWidth="1"/>
    <col min="6" max="6" width="9.77734375" bestFit="1" customWidth="1"/>
  </cols>
  <sheetData>
    <row r="1" spans="1:6">
      <c r="A1" s="4" t="s">
        <v>0</v>
      </c>
      <c r="B1" s="4" t="s">
        <v>1</v>
      </c>
      <c r="C1" s="4" t="s">
        <v>2</v>
      </c>
    </row>
    <row r="2" spans="1:6">
      <c r="A2" s="2" t="s">
        <v>3</v>
      </c>
      <c r="B2" s="2">
        <v>10000</v>
      </c>
      <c r="C2" s="2">
        <v>2500</v>
      </c>
      <c r="D2" s="20">
        <f>SUM(Jan)</f>
        <v>12500</v>
      </c>
    </row>
    <row r="3" spans="1:6">
      <c r="A3" s="2" t="s">
        <v>4</v>
      </c>
      <c r="B3" s="2">
        <v>12000</v>
      </c>
      <c r="C3" s="2">
        <v>3000</v>
      </c>
      <c r="D3" s="20">
        <f>SUM(Feb)</f>
        <v>15000</v>
      </c>
    </row>
    <row r="4" spans="1:6">
      <c r="A4" s="2" t="s">
        <v>5</v>
      </c>
      <c r="B4" s="2">
        <v>9000</v>
      </c>
      <c r="C4" s="2">
        <v>1800</v>
      </c>
      <c r="D4" s="20">
        <f>SUM(Mar)</f>
        <v>10800</v>
      </c>
    </row>
    <row r="5" spans="1:6">
      <c r="A5" s="2" t="s">
        <v>6</v>
      </c>
      <c r="B5" s="2">
        <v>15000</v>
      </c>
      <c r="C5" s="2">
        <v>4000</v>
      </c>
      <c r="D5" s="20">
        <f>SUM(Apr)</f>
        <v>19000</v>
      </c>
    </row>
    <row r="6" spans="1:6">
      <c r="B6" s="21">
        <f>SUM(Sales)</f>
        <v>46000</v>
      </c>
      <c r="C6" s="21">
        <f>SUM(Profit)</f>
        <v>11300</v>
      </c>
    </row>
    <row r="8" spans="1:6">
      <c r="E8" s="19" t="s">
        <v>203</v>
      </c>
      <c r="F8" s="19" t="s">
        <v>204</v>
      </c>
    </row>
    <row r="9" spans="1:6">
      <c r="A9" s="2" t="s">
        <v>7</v>
      </c>
      <c r="B9" s="2">
        <v>50</v>
      </c>
      <c r="C9" s="2">
        <v>60</v>
      </c>
      <c r="D9" s="2">
        <v>70</v>
      </c>
      <c r="E9" s="22">
        <f>AVERAGE(Product_A)</f>
        <v>60</v>
      </c>
      <c r="F9" s="24">
        <f>SUM(Product_A)</f>
        <v>180</v>
      </c>
    </row>
    <row r="10" spans="1:6">
      <c r="A10" s="2" t="s">
        <v>8</v>
      </c>
      <c r="B10" s="2">
        <v>40</v>
      </c>
      <c r="C10" s="2">
        <v>55</v>
      </c>
      <c r="D10" s="2">
        <v>65</v>
      </c>
      <c r="E10" s="22">
        <f>AVERAGE(Product_B)</f>
        <v>53.333333333333336</v>
      </c>
      <c r="F10" s="24">
        <f>SUM(Product_B)</f>
        <v>160</v>
      </c>
    </row>
    <row r="11" spans="1:6">
      <c r="A11" s="2" t="s">
        <v>9</v>
      </c>
      <c r="B11" s="2">
        <v>80</v>
      </c>
      <c r="C11" s="2">
        <v>75</v>
      </c>
      <c r="D11" s="2">
        <v>90</v>
      </c>
      <c r="E11" s="22">
        <f>AVERAGE(Product_C)</f>
        <v>81.666666666666671</v>
      </c>
      <c r="F11" s="24">
        <f>SUM(Product_C)</f>
        <v>245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250C6-C9DC-416E-9F51-DDF607CDDAD5}">
  <dimension ref="A1:M21"/>
  <sheetViews>
    <sheetView topLeftCell="C13" workbookViewId="0">
      <selection activeCell="G16" sqref="G16"/>
    </sheetView>
  </sheetViews>
  <sheetFormatPr defaultRowHeight="14.4"/>
  <cols>
    <col min="1" max="1" width="6.77734375" bestFit="1" customWidth="1"/>
    <col min="2" max="2" width="7.33203125" bestFit="1" customWidth="1"/>
    <col min="3" max="5" width="9.77734375" bestFit="1" customWidth="1"/>
    <col min="6" max="6" width="13.77734375" customWidth="1"/>
    <col min="7" max="7" width="25.5546875" customWidth="1"/>
    <col min="8" max="9" width="15.21875" bestFit="1" customWidth="1"/>
    <col min="10" max="10" width="18.77734375" customWidth="1"/>
    <col min="11" max="12" width="13.77734375" customWidth="1"/>
    <col min="13" max="13" width="15.21875" bestFit="1" customWidth="1"/>
  </cols>
  <sheetData>
    <row r="1" spans="1:13" ht="28.8">
      <c r="A1" s="4" t="s">
        <v>10</v>
      </c>
      <c r="B1" s="4" t="s">
        <v>11</v>
      </c>
      <c r="C1" s="4" t="s">
        <v>12</v>
      </c>
      <c r="D1" s="4" t="s">
        <v>13</v>
      </c>
      <c r="E1" s="4" t="s">
        <v>14</v>
      </c>
      <c r="F1" s="4" t="s">
        <v>15</v>
      </c>
      <c r="G1" s="3" t="s">
        <v>66</v>
      </c>
      <c r="H1" s="4" t="s">
        <v>16</v>
      </c>
      <c r="I1" s="4" t="s">
        <v>17</v>
      </c>
      <c r="J1" s="25"/>
      <c r="K1" s="29" t="s">
        <v>67</v>
      </c>
      <c r="L1" s="29"/>
      <c r="M1" s="29"/>
    </row>
    <row r="2" spans="1:13" ht="28.8">
      <c r="A2" s="2">
        <v>101</v>
      </c>
      <c r="B2" s="2" t="s">
        <v>18</v>
      </c>
      <c r="C2" s="18">
        <v>45306</v>
      </c>
      <c r="D2" s="8">
        <v>46225</v>
      </c>
      <c r="E2" s="8">
        <v>35925</v>
      </c>
      <c r="F2" s="2" t="s">
        <v>19</v>
      </c>
      <c r="G2" s="2" t="str">
        <f ca="1">_xlfn.FORMULATEXT(H2)</f>
        <v>=TODAY()</v>
      </c>
      <c r="H2" s="9">
        <f ca="1">TODAY()</f>
        <v>46228</v>
      </c>
      <c r="I2" s="8">
        <v>46227</v>
      </c>
      <c r="J2">
        <f>NETWORKDAYS(C2,D2)</f>
        <v>658</v>
      </c>
    </row>
    <row r="3" spans="1:13" ht="28.8">
      <c r="A3" s="2">
        <v>102</v>
      </c>
      <c r="B3" s="2" t="s">
        <v>20</v>
      </c>
      <c r="C3" s="8">
        <v>44985</v>
      </c>
      <c r="D3" s="8">
        <v>46233</v>
      </c>
      <c r="E3" s="8">
        <v>36482</v>
      </c>
      <c r="F3" s="2" t="s">
        <v>21</v>
      </c>
      <c r="G3" s="2" t="str">
        <f ca="1">_xlfn.FORMULATEXT(H3)</f>
        <v>=NOW()</v>
      </c>
      <c r="H3" s="10">
        <f ca="1">NOW()</f>
        <v>46228.389211111113</v>
      </c>
      <c r="I3" s="11">
        <v>46227.947916666664</v>
      </c>
      <c r="K3" s="4" t="s">
        <v>68</v>
      </c>
      <c r="L3" s="4" t="s">
        <v>69</v>
      </c>
      <c r="M3" s="4" t="s">
        <v>70</v>
      </c>
    </row>
    <row r="4" spans="1:13" ht="43.2">
      <c r="A4" s="2">
        <v>103</v>
      </c>
      <c r="B4" s="2" t="s">
        <v>22</v>
      </c>
      <c r="C4" s="8">
        <v>45721</v>
      </c>
      <c r="D4" s="8">
        <v>46244</v>
      </c>
      <c r="E4" s="8">
        <v>35789</v>
      </c>
      <c r="F4" s="2" t="s">
        <v>23</v>
      </c>
      <c r="G4" s="2" t="str">
        <f t="shared" ref="G4:G21" ca="1" si="0">_xlfn.FORMULATEXT(H4)</f>
        <v>=DAY(C2)</v>
      </c>
      <c r="H4" s="12">
        <f>DAY(C2)</f>
        <v>15</v>
      </c>
      <c r="I4" s="2">
        <v>15</v>
      </c>
      <c r="K4" s="12" t="s">
        <v>71</v>
      </c>
      <c r="L4" s="2" t="s">
        <v>72</v>
      </c>
      <c r="M4" s="9">
        <f ca="1">TODAY()</f>
        <v>46228</v>
      </c>
    </row>
    <row r="5" spans="1:13" ht="43.2">
      <c r="A5" s="2">
        <v>104</v>
      </c>
      <c r="B5" s="2" t="s">
        <v>24</v>
      </c>
      <c r="C5" s="8">
        <v>44668</v>
      </c>
      <c r="D5" s="8">
        <v>46270</v>
      </c>
      <c r="E5" s="8">
        <v>35103</v>
      </c>
      <c r="F5" s="2" t="s">
        <v>25</v>
      </c>
      <c r="G5" s="2" t="str">
        <f t="shared" ca="1" si="0"/>
        <v>=MONTH(C2)</v>
      </c>
      <c r="H5" s="12">
        <f>MONTH(C2)</f>
        <v>1</v>
      </c>
      <c r="I5" s="2">
        <v>1</v>
      </c>
      <c r="K5" s="12" t="s">
        <v>73</v>
      </c>
      <c r="L5" s="2" t="s">
        <v>74</v>
      </c>
      <c r="M5" s="10">
        <f ca="1">NOW()</f>
        <v>46228.389211111113</v>
      </c>
    </row>
    <row r="6" spans="1:13" ht="28.8">
      <c r="A6" s="2">
        <v>105</v>
      </c>
      <c r="B6" s="2" t="s">
        <v>26</v>
      </c>
      <c r="C6" s="8">
        <v>44376</v>
      </c>
      <c r="D6" s="8">
        <v>46310</v>
      </c>
      <c r="E6" s="8">
        <v>34925</v>
      </c>
      <c r="F6" s="2" t="s">
        <v>27</v>
      </c>
      <c r="G6" s="2" t="str">
        <f t="shared" ca="1" si="0"/>
        <v>=YEAR(C2)</v>
      </c>
      <c r="H6" s="12">
        <f>YEAR(C2)</f>
        <v>2024</v>
      </c>
      <c r="I6" s="2">
        <v>2024</v>
      </c>
      <c r="K6" s="12" t="s">
        <v>75</v>
      </c>
      <c r="L6" s="2" t="s">
        <v>76</v>
      </c>
      <c r="M6" s="9">
        <f>DATE(2026,12,25)</f>
        <v>46381</v>
      </c>
    </row>
    <row r="7" spans="1:13" ht="28.8">
      <c r="A7" s="2">
        <v>106</v>
      </c>
      <c r="B7" s="2" t="s">
        <v>28</v>
      </c>
      <c r="C7" s="8">
        <v>44022</v>
      </c>
      <c r="D7" s="8">
        <v>46327</v>
      </c>
      <c r="E7" s="8">
        <v>35876</v>
      </c>
      <c r="F7" s="2" t="s">
        <v>29</v>
      </c>
      <c r="G7" s="2" t="str">
        <f t="shared" ca="1" si="0"/>
        <v>=WEEKDAY(C2)</v>
      </c>
      <c r="H7" s="12">
        <f>WEEKDAY(C2)</f>
        <v>2</v>
      </c>
      <c r="I7" s="2">
        <v>2</v>
      </c>
      <c r="K7" s="12" t="s">
        <v>77</v>
      </c>
      <c r="L7" s="2" t="s">
        <v>78</v>
      </c>
      <c r="M7" s="12">
        <f>DAY(C2)</f>
        <v>15</v>
      </c>
    </row>
    <row r="8" spans="1:13" ht="28.8">
      <c r="A8" s="2">
        <v>107</v>
      </c>
      <c r="B8" s="2" t="s">
        <v>30</v>
      </c>
      <c r="C8" s="8">
        <v>45150</v>
      </c>
      <c r="D8" s="8">
        <v>46376</v>
      </c>
      <c r="E8" s="8">
        <v>34335</v>
      </c>
      <c r="F8" s="2" t="s">
        <v>31</v>
      </c>
      <c r="G8" s="2" t="str">
        <f t="shared" ca="1" si="0"/>
        <v>=WEEKNUM(C2)</v>
      </c>
      <c r="H8" s="12">
        <f>WEEKNUM(C2)</f>
        <v>3</v>
      </c>
      <c r="I8" s="2">
        <v>3</v>
      </c>
      <c r="K8" s="12" t="s">
        <v>79</v>
      </c>
      <c r="L8" s="2" t="s">
        <v>80</v>
      </c>
      <c r="M8" s="12">
        <f>MONTH(C2)</f>
        <v>1</v>
      </c>
    </row>
    <row r="9" spans="1:13" ht="28.8">
      <c r="A9" s="2">
        <v>108</v>
      </c>
      <c r="B9" s="2" t="s">
        <v>32</v>
      </c>
      <c r="C9" s="8">
        <v>44825</v>
      </c>
      <c r="D9" s="8">
        <v>46402</v>
      </c>
      <c r="E9" s="8">
        <v>34272</v>
      </c>
      <c r="F9" s="2" t="s">
        <v>33</v>
      </c>
      <c r="G9" s="2" t="str">
        <f t="shared" ca="1" si="0"/>
        <v>=TEXT(C2,"mmmm")</v>
      </c>
      <c r="H9" s="12" t="str">
        <f>TEXT(C2,"mmmm")</f>
        <v>January</v>
      </c>
      <c r="I9" s="2" t="s">
        <v>34</v>
      </c>
      <c r="K9" s="12" t="s">
        <v>81</v>
      </c>
      <c r="L9" s="2" t="s">
        <v>82</v>
      </c>
      <c r="M9" s="12">
        <f>YEAR(C2)</f>
        <v>2024</v>
      </c>
    </row>
    <row r="10" spans="1:13" ht="43.2">
      <c r="A10" s="2">
        <v>109</v>
      </c>
      <c r="B10" s="2" t="s">
        <v>35</v>
      </c>
      <c r="C10" s="8">
        <v>45567</v>
      </c>
      <c r="D10" s="8">
        <v>46443</v>
      </c>
      <c r="E10" s="8">
        <v>35597</v>
      </c>
      <c r="F10" s="2" t="s">
        <v>36</v>
      </c>
      <c r="G10" s="2" t="str">
        <f t="shared" ca="1" si="0"/>
        <v>=TEXT(C2,"dddd")</v>
      </c>
      <c r="H10" s="12" t="str">
        <f>TEXT(C2,"dddd")</f>
        <v>Monday</v>
      </c>
      <c r="I10" s="2" t="s">
        <v>37</v>
      </c>
      <c r="K10" s="12" t="s">
        <v>83</v>
      </c>
      <c r="L10" s="2" t="s">
        <v>84</v>
      </c>
      <c r="M10" s="12">
        <f>WEEKDAY(C2)</f>
        <v>2</v>
      </c>
    </row>
    <row r="11" spans="1:13" ht="43.2">
      <c r="A11" s="2">
        <v>110</v>
      </c>
      <c r="B11" s="2" t="s">
        <v>38</v>
      </c>
      <c r="C11" s="8">
        <v>45248</v>
      </c>
      <c r="D11" s="8">
        <v>46489</v>
      </c>
      <c r="E11" s="8">
        <v>36262</v>
      </c>
      <c r="F11" s="2" t="s">
        <v>39</v>
      </c>
      <c r="G11" s="2" t="str">
        <f t="shared" ca="1" si="0"/>
        <v>=DATE(2026,12,25)</v>
      </c>
      <c r="H11" s="9">
        <f>DATE(2026,12,25)</f>
        <v>46381</v>
      </c>
      <c r="I11" s="8">
        <v>46381</v>
      </c>
      <c r="K11" s="12" t="s">
        <v>85</v>
      </c>
      <c r="L11" s="2" t="s">
        <v>86</v>
      </c>
      <c r="M11" s="12">
        <f>WEEKNUM(C2)</f>
        <v>3</v>
      </c>
    </row>
    <row r="12" spans="1:13" ht="28.8">
      <c r="A12" s="2">
        <v>111</v>
      </c>
      <c r="B12" s="2" t="s">
        <v>40</v>
      </c>
      <c r="C12" s="8">
        <v>44920</v>
      </c>
      <c r="D12" s="8">
        <v>46537</v>
      </c>
      <c r="E12" s="8">
        <v>36047</v>
      </c>
      <c r="F12" s="2" t="s">
        <v>41</v>
      </c>
      <c r="G12" s="2" t="str">
        <f t="shared" ca="1" si="0"/>
        <v>=EOMONTH(C2,0)</v>
      </c>
      <c r="H12" s="9">
        <f>EOMONTH(C2,0)</f>
        <v>45322</v>
      </c>
      <c r="I12" s="8">
        <v>45322</v>
      </c>
      <c r="K12" s="12" t="s">
        <v>87</v>
      </c>
      <c r="L12" s="2" t="s">
        <v>88</v>
      </c>
      <c r="M12" s="2" t="s">
        <v>37</v>
      </c>
    </row>
    <row r="13" spans="1:13" ht="28.8">
      <c r="A13" s="2">
        <v>112</v>
      </c>
      <c r="B13" s="2" t="s">
        <v>42</v>
      </c>
      <c r="C13" s="8">
        <v>45662</v>
      </c>
      <c r="D13" s="8">
        <v>46553</v>
      </c>
      <c r="E13" s="8">
        <v>35273</v>
      </c>
      <c r="F13" s="2" t="s">
        <v>43</v>
      </c>
      <c r="G13" s="2" t="str">
        <f t="shared" ca="1" si="0"/>
        <v>=EOMONTH(C2,2)</v>
      </c>
      <c r="H13" s="12">
        <f>EOMONTH(C2,2)</f>
        <v>45382</v>
      </c>
      <c r="I13" s="8">
        <v>45382</v>
      </c>
      <c r="K13" s="12" t="s">
        <v>89</v>
      </c>
      <c r="L13" s="2" t="s">
        <v>90</v>
      </c>
      <c r="M13" s="2" t="s">
        <v>34</v>
      </c>
    </row>
    <row r="14" spans="1:13" ht="57.6">
      <c r="A14" s="2">
        <v>113</v>
      </c>
      <c r="B14" s="2" t="s">
        <v>44</v>
      </c>
      <c r="C14" s="8">
        <v>45338</v>
      </c>
      <c r="D14" s="8">
        <v>46596</v>
      </c>
      <c r="E14" s="8">
        <v>34710</v>
      </c>
      <c r="F14" s="2" t="s">
        <v>45</v>
      </c>
      <c r="G14" s="2" t="str">
        <f t="shared" ca="1" si="0"/>
        <v>=D2-C2</v>
      </c>
      <c r="H14" s="12">
        <f>D2-C2</f>
        <v>919</v>
      </c>
      <c r="I14" s="2" t="s">
        <v>46</v>
      </c>
      <c r="K14" s="12" t="s">
        <v>91</v>
      </c>
      <c r="L14" s="2" t="s">
        <v>92</v>
      </c>
      <c r="M14" s="12">
        <f>EDATE(C2,6)</f>
        <v>45488</v>
      </c>
    </row>
    <row r="15" spans="1:13" ht="86.4">
      <c r="A15" s="2">
        <v>114</v>
      </c>
      <c r="B15" s="2" t="s">
        <v>47</v>
      </c>
      <c r="C15" s="8">
        <v>44327</v>
      </c>
      <c r="D15" s="8">
        <v>46608</v>
      </c>
      <c r="E15" s="8">
        <v>33881</v>
      </c>
      <c r="F15" s="2" t="s">
        <v>48</v>
      </c>
      <c r="G15" s="2" t="str">
        <f t="shared" ca="1" si="0"/>
        <v>=NETWORKDAYS(C2,D2)</v>
      </c>
      <c r="H15" s="12">
        <f>NETWORKDAYS(C2,D2)</f>
        <v>658</v>
      </c>
      <c r="I15" s="2" t="s">
        <v>49</v>
      </c>
      <c r="K15" s="12" t="s">
        <v>93</v>
      </c>
      <c r="L15" s="2" t="s">
        <v>94</v>
      </c>
      <c r="M15" s="12">
        <f>EOMONTH(C2,2)</f>
        <v>45382</v>
      </c>
    </row>
    <row r="16" spans="1:13" ht="57.6">
      <c r="A16" s="2">
        <v>115</v>
      </c>
      <c r="B16" s="2" t="s">
        <v>50</v>
      </c>
      <c r="C16" s="8">
        <v>45116</v>
      </c>
      <c r="D16" s="8">
        <v>46645</v>
      </c>
      <c r="E16" s="8">
        <v>35932</v>
      </c>
      <c r="F16" s="2" t="s">
        <v>51</v>
      </c>
      <c r="G16" s="2" t="str">
        <f t="shared" ca="1" si="0"/>
        <v>=WORKDAY(C2,30)</v>
      </c>
      <c r="H16" s="12">
        <f>WORKDAY(C2,30)</f>
        <v>45348</v>
      </c>
      <c r="I16" s="2" t="s">
        <v>52</v>
      </c>
      <c r="K16" s="12" t="s">
        <v>95</v>
      </c>
      <c r="L16" s="2" t="s">
        <v>96</v>
      </c>
      <c r="M16" s="2" t="s">
        <v>97</v>
      </c>
    </row>
    <row r="17" spans="1:13" ht="72">
      <c r="A17" s="2">
        <v>116</v>
      </c>
      <c r="B17" s="2" t="s">
        <v>53</v>
      </c>
      <c r="C17" s="8">
        <v>44787</v>
      </c>
      <c r="D17" s="8">
        <v>46680</v>
      </c>
      <c r="E17" s="8">
        <v>34019</v>
      </c>
      <c r="F17" s="2" t="s">
        <v>54</v>
      </c>
      <c r="G17" s="2" t="str">
        <f t="shared" ca="1" si="0"/>
        <v>=EDATE(C2,6)</v>
      </c>
      <c r="H17" s="9">
        <f>EDATE(C2,6)</f>
        <v>45488</v>
      </c>
      <c r="I17" s="8">
        <v>45488</v>
      </c>
      <c r="K17" s="12" t="s">
        <v>98</v>
      </c>
      <c r="L17" s="2" t="s">
        <v>99</v>
      </c>
      <c r="M17" s="2" t="s">
        <v>100</v>
      </c>
    </row>
    <row r="18" spans="1:13" ht="57.6">
      <c r="A18" s="2">
        <v>117</v>
      </c>
      <c r="B18" s="2" t="s">
        <v>55</v>
      </c>
      <c r="C18" s="8">
        <v>45536</v>
      </c>
      <c r="D18" s="8">
        <v>46696</v>
      </c>
      <c r="E18" s="8">
        <v>35548</v>
      </c>
      <c r="F18" s="2" t="s">
        <v>56</v>
      </c>
      <c r="G18" s="2" t="str">
        <f t="shared" ca="1" si="0"/>
        <v>=DATEDIF(E2,TODAY(),"Y")</v>
      </c>
      <c r="H18" s="12">
        <f ca="1">DATEDIF(E2,TODAY(),"Y")</f>
        <v>28</v>
      </c>
      <c r="I18" s="2" t="s">
        <v>57</v>
      </c>
      <c r="K18" s="12" t="s">
        <v>101</v>
      </c>
      <c r="L18" s="2" t="s">
        <v>102</v>
      </c>
      <c r="M18" s="2" t="s">
        <v>103</v>
      </c>
    </row>
    <row r="19" spans="1:13" ht="28.8">
      <c r="A19" s="2">
        <v>118</v>
      </c>
      <c r="B19" s="2" t="s">
        <v>58</v>
      </c>
      <c r="C19" s="8">
        <v>44114</v>
      </c>
      <c r="D19" s="8">
        <v>46736</v>
      </c>
      <c r="E19" s="8">
        <v>35048</v>
      </c>
      <c r="F19" s="2" t="s">
        <v>59</v>
      </c>
      <c r="G19" s="2" t="str">
        <f t="shared" ca="1" si="0"/>
        <v>=DATEDIF(E2,TODAY(),"YM")</v>
      </c>
      <c r="H19" s="12">
        <f ca="1">DATEDIF(E2,TODAY(),"YM")</f>
        <v>2</v>
      </c>
      <c r="I19" s="2" t="s">
        <v>60</v>
      </c>
      <c r="K19" s="12" t="s">
        <v>104</v>
      </c>
      <c r="L19" s="2" t="s">
        <v>105</v>
      </c>
      <c r="M19" s="2" t="s">
        <v>106</v>
      </c>
    </row>
    <row r="20" spans="1:13" ht="86.4">
      <c r="A20" s="2">
        <v>119</v>
      </c>
      <c r="B20" s="2" t="s">
        <v>61</v>
      </c>
      <c r="C20" s="8">
        <v>45242</v>
      </c>
      <c r="D20" s="8">
        <v>46770</v>
      </c>
      <c r="E20" s="8">
        <v>36316</v>
      </c>
      <c r="F20" s="2" t="s">
        <v>62</v>
      </c>
      <c r="G20" s="2" t="str">
        <f t="shared" ca="1" si="0"/>
        <v>=DATEDIF(E2,TODAY(),"MD")</v>
      </c>
      <c r="H20" s="12">
        <f ca="1">DATEDIF(E2,TODAY(),"MD")</f>
        <v>15</v>
      </c>
      <c r="I20" s="2" t="s">
        <v>62</v>
      </c>
      <c r="J20">
        <f ca="1">DATEDIF(E2,TODAY(),"MD")</f>
        <v>15</v>
      </c>
      <c r="K20" s="12" t="s">
        <v>107</v>
      </c>
      <c r="L20" s="2" t="s">
        <v>108</v>
      </c>
      <c r="M20" s="2" t="s">
        <v>109</v>
      </c>
    </row>
    <row r="21" spans="1:13" ht="57.6">
      <c r="A21" s="2">
        <v>120</v>
      </c>
      <c r="B21" s="2" t="s">
        <v>63</v>
      </c>
      <c r="C21" s="8">
        <v>44560</v>
      </c>
      <c r="D21" s="8">
        <v>46811</v>
      </c>
      <c r="E21" s="8">
        <v>35298</v>
      </c>
      <c r="F21" s="2" t="s">
        <v>64</v>
      </c>
      <c r="G21" s="2" t="str">
        <f t="shared" ca="1" si="0"/>
        <v>=YEARFRAC(C2,D2)</v>
      </c>
      <c r="H21" s="12">
        <f>YEARFRAC(C2,D2)</f>
        <v>2.5194444444444444</v>
      </c>
      <c r="I21" s="2" t="s">
        <v>65</v>
      </c>
      <c r="K21" s="12" t="s">
        <v>110</v>
      </c>
      <c r="L21" s="2" t="s">
        <v>111</v>
      </c>
      <c r="M21" s="2" t="s">
        <v>112</v>
      </c>
    </row>
  </sheetData>
  <mergeCells count="1">
    <mergeCell ref="K1:M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0CB30-5C6B-4798-B2DF-0A21E86F6020}">
  <dimension ref="A1:K38"/>
  <sheetViews>
    <sheetView workbookViewId="0">
      <selection activeCell="E6" sqref="E6"/>
    </sheetView>
  </sheetViews>
  <sheetFormatPr defaultRowHeight="14.4"/>
  <cols>
    <col min="2" max="2" width="10.109375" bestFit="1" customWidth="1"/>
    <col min="3" max="3" width="9.5546875" bestFit="1" customWidth="1"/>
    <col min="4" max="4" width="9.77734375" bestFit="1" customWidth="1"/>
    <col min="5" max="6" width="9.5546875" bestFit="1" customWidth="1"/>
    <col min="7" max="8" width="10.5546875" bestFit="1" customWidth="1"/>
    <col min="10" max="10" width="17.21875" customWidth="1"/>
    <col min="11" max="11" width="14.44140625" bestFit="1" customWidth="1"/>
  </cols>
  <sheetData>
    <row r="1" spans="1:11" ht="31.2">
      <c r="A1" s="14" t="s">
        <v>113</v>
      </c>
    </row>
    <row r="3" spans="1:11" ht="23.4">
      <c r="A3" s="13" t="s">
        <v>114</v>
      </c>
      <c r="J3" t="s">
        <v>209</v>
      </c>
      <c r="K3" t="s">
        <v>210</v>
      </c>
    </row>
    <row r="5" spans="1:11" ht="28.8">
      <c r="A5" s="4" t="s">
        <v>10</v>
      </c>
      <c r="B5" s="4" t="s">
        <v>11</v>
      </c>
      <c r="C5" s="4" t="s">
        <v>12</v>
      </c>
      <c r="D5" s="4" t="s">
        <v>14</v>
      </c>
      <c r="E5" s="3" t="s">
        <v>57</v>
      </c>
      <c r="F5" s="3" t="s">
        <v>205</v>
      </c>
      <c r="G5" s="3" t="s">
        <v>206</v>
      </c>
      <c r="H5" s="3" t="s">
        <v>207</v>
      </c>
      <c r="I5" s="3" t="s">
        <v>211</v>
      </c>
      <c r="J5" s="3" t="s">
        <v>208</v>
      </c>
    </row>
    <row r="6" spans="1:11">
      <c r="A6" s="2">
        <v>101</v>
      </c>
      <c r="B6" s="2" t="s">
        <v>18</v>
      </c>
      <c r="C6" s="8">
        <v>44211</v>
      </c>
      <c r="D6" s="8">
        <v>35925</v>
      </c>
      <c r="E6" s="23">
        <f ca="1">DATEDIF(D6,TODAY(),"Y")</f>
        <v>28</v>
      </c>
      <c r="F6" s="23">
        <f>MONTH(D6)</f>
        <v>5</v>
      </c>
      <c r="G6" s="28">
        <f>EDATE(C6,35*12)</f>
        <v>56994</v>
      </c>
      <c r="H6" s="23">
        <f>MONTH(G6)</f>
        <v>1</v>
      </c>
      <c r="I6" s="23" t="str">
        <f>TEXT(C6,"dddd")</f>
        <v>Friday</v>
      </c>
      <c r="J6" s="23">
        <f ca="1">DATEDIF(C6,TODAY(),"Y")</f>
        <v>5</v>
      </c>
    </row>
    <row r="7" spans="1:11">
      <c r="A7" s="2">
        <v>102</v>
      </c>
      <c r="B7" s="2" t="s">
        <v>20</v>
      </c>
      <c r="C7" s="8">
        <v>43889</v>
      </c>
      <c r="D7" s="8">
        <v>36482</v>
      </c>
      <c r="E7" s="23">
        <f t="shared" ref="E7:E10" ca="1" si="0">DATEDIF(D7,TODAY(),"Y")</f>
        <v>26</v>
      </c>
      <c r="F7" s="23">
        <f t="shared" ref="F7:F10" si="1">MONTH(D7)</f>
        <v>11</v>
      </c>
      <c r="G7" s="28">
        <f t="shared" ref="G7:G10" si="2">EDATE(C7,35*12)</f>
        <v>56673</v>
      </c>
      <c r="H7" s="23">
        <f t="shared" ref="H7:H10" si="3">MONTH(G7)</f>
        <v>2</v>
      </c>
      <c r="I7" s="23" t="str">
        <f t="shared" ref="I7:I10" si="4">TEXT(C7,"dddd")</f>
        <v>Friday</v>
      </c>
      <c r="J7" s="23">
        <f t="shared" ref="J7:J10" ca="1" si="5">DATEDIF(C7,TODAY(),"Y")</f>
        <v>6</v>
      </c>
    </row>
    <row r="8" spans="1:11">
      <c r="A8" s="2">
        <v>103</v>
      </c>
      <c r="B8" s="2" t="s">
        <v>22</v>
      </c>
      <c r="C8" s="8">
        <v>43529</v>
      </c>
      <c r="D8" s="8">
        <v>35789</v>
      </c>
      <c r="E8" s="23">
        <f t="shared" ca="1" si="0"/>
        <v>28</v>
      </c>
      <c r="F8" s="23">
        <f t="shared" si="1"/>
        <v>12</v>
      </c>
      <c r="G8" s="28">
        <f t="shared" si="2"/>
        <v>56313</v>
      </c>
      <c r="H8" s="23">
        <f t="shared" si="3"/>
        <v>3</v>
      </c>
      <c r="I8" s="23" t="str">
        <f t="shared" si="4"/>
        <v>Tuesday</v>
      </c>
      <c r="J8" s="23">
        <f t="shared" ca="1" si="5"/>
        <v>7</v>
      </c>
    </row>
    <row r="9" spans="1:11">
      <c r="A9" s="2">
        <v>104</v>
      </c>
      <c r="B9" s="2" t="s">
        <v>24</v>
      </c>
      <c r="C9" s="8">
        <v>44668</v>
      </c>
      <c r="D9" s="8">
        <v>35103</v>
      </c>
      <c r="E9" s="23">
        <f t="shared" ca="1" si="0"/>
        <v>30</v>
      </c>
      <c r="F9" s="23">
        <f t="shared" si="1"/>
        <v>2</v>
      </c>
      <c r="G9" s="28">
        <f t="shared" si="2"/>
        <v>57452</v>
      </c>
      <c r="H9" s="23">
        <f t="shared" si="3"/>
        <v>4</v>
      </c>
      <c r="I9" s="23" t="str">
        <f t="shared" si="4"/>
        <v>Sunday</v>
      </c>
      <c r="J9" s="23">
        <f t="shared" ca="1" si="5"/>
        <v>4</v>
      </c>
    </row>
    <row r="10" spans="1:11">
      <c r="A10" s="2">
        <v>105</v>
      </c>
      <c r="B10" s="2" t="s">
        <v>26</v>
      </c>
      <c r="C10" s="8">
        <v>43280</v>
      </c>
      <c r="D10" s="8">
        <v>34925</v>
      </c>
      <c r="E10" s="23">
        <f t="shared" ca="1" si="0"/>
        <v>30</v>
      </c>
      <c r="F10" s="23">
        <f t="shared" si="1"/>
        <v>8</v>
      </c>
      <c r="G10" s="28">
        <f t="shared" si="2"/>
        <v>56064</v>
      </c>
      <c r="H10" s="23">
        <f t="shared" si="3"/>
        <v>6</v>
      </c>
      <c r="I10" s="23" t="str">
        <f t="shared" si="4"/>
        <v>Friday</v>
      </c>
      <c r="J10" s="23">
        <f t="shared" ca="1" si="5"/>
        <v>8</v>
      </c>
    </row>
    <row r="12" spans="1:11" ht="18">
      <c r="A12" s="15" t="s">
        <v>115</v>
      </c>
    </row>
    <row r="13" spans="1:11">
      <c r="A13" s="16"/>
    </row>
    <row r="14" spans="1:11">
      <c r="A14" s="16" t="s">
        <v>116</v>
      </c>
      <c r="F14" s="26">
        <f ca="1">TODAY()</f>
        <v>46228</v>
      </c>
    </row>
    <row r="15" spans="1:11">
      <c r="A15" s="16" t="s">
        <v>117</v>
      </c>
    </row>
    <row r="16" spans="1:11">
      <c r="A16" s="16" t="s">
        <v>118</v>
      </c>
    </row>
    <row r="17" spans="1:2">
      <c r="A17" s="16" t="s">
        <v>119</v>
      </c>
    </row>
    <row r="18" spans="1:2">
      <c r="A18" s="16" t="s">
        <v>120</v>
      </c>
    </row>
    <row r="19" spans="1:2">
      <c r="A19" s="16" t="s">
        <v>121</v>
      </c>
    </row>
    <row r="20" spans="1:2">
      <c r="A20" s="16" t="s">
        <v>122</v>
      </c>
    </row>
    <row r="22" spans="1:2">
      <c r="A22" s="17"/>
    </row>
    <row r="23" spans="1:2">
      <c r="A23" s="16"/>
    </row>
    <row r="24" spans="1:2">
      <c r="A24" s="16"/>
    </row>
    <row r="25" spans="1:2">
      <c r="A25" s="16"/>
    </row>
    <row r="26" spans="1:2">
      <c r="A26" s="16"/>
    </row>
    <row r="27" spans="1:2">
      <c r="A27" s="16"/>
    </row>
    <row r="28" spans="1:2">
      <c r="A28" s="16"/>
    </row>
    <row r="31" spans="1:2">
      <c r="A31" s="5"/>
      <c r="B31" s="5"/>
    </row>
    <row r="32" spans="1:2">
      <c r="A32" s="1"/>
      <c r="B32" s="6"/>
    </row>
    <row r="33" spans="1:2">
      <c r="A33" s="1"/>
      <c r="B33" s="7"/>
    </row>
    <row r="34" spans="1:2">
      <c r="A34" s="1"/>
      <c r="B34" s="7"/>
    </row>
    <row r="35" spans="1:2">
      <c r="A35" s="1"/>
      <c r="B35" s="7"/>
    </row>
    <row r="36" spans="1:2">
      <c r="A36" s="1"/>
      <c r="B36" s="7"/>
    </row>
    <row r="37" spans="1:2">
      <c r="A37" s="1"/>
      <c r="B37" s="7"/>
    </row>
    <row r="38" spans="1:2">
      <c r="A38" s="1"/>
      <c r="B38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2DCC1-8ED5-42B7-B182-90C462B3926A}">
  <dimension ref="A1:H24"/>
  <sheetViews>
    <sheetView workbookViewId="0">
      <selection activeCell="G6" sqref="G6"/>
    </sheetView>
  </sheetViews>
  <sheetFormatPr defaultRowHeight="14.4"/>
  <cols>
    <col min="9" max="9" width="11.109375" bestFit="1" customWidth="1"/>
  </cols>
  <sheetData>
    <row r="1" spans="1:8" ht="31.2">
      <c r="A1" s="14" t="s">
        <v>123</v>
      </c>
    </row>
    <row r="3" spans="1:8" ht="23.4">
      <c r="A3" s="13" t="s">
        <v>114</v>
      </c>
    </row>
    <row r="5" spans="1:8" ht="43.2">
      <c r="A5" s="4" t="s">
        <v>124</v>
      </c>
      <c r="B5" s="4" t="s">
        <v>125</v>
      </c>
      <c r="C5" s="4" t="s">
        <v>13</v>
      </c>
      <c r="D5" s="4" t="s">
        <v>212</v>
      </c>
      <c r="E5" s="4" t="s">
        <v>213</v>
      </c>
      <c r="F5" s="4" t="s">
        <v>214</v>
      </c>
      <c r="G5" s="4" t="s">
        <v>215</v>
      </c>
      <c r="H5" s="4" t="s">
        <v>216</v>
      </c>
    </row>
    <row r="6" spans="1:8">
      <c r="A6" s="2" t="s">
        <v>126</v>
      </c>
      <c r="B6" s="8">
        <v>46218</v>
      </c>
      <c r="C6" s="8">
        <v>46224</v>
      </c>
      <c r="D6" s="27">
        <f>_xlfn.DAYS(C6,B6)</f>
        <v>6</v>
      </c>
      <c r="E6" s="27">
        <f>NETWORKDAYS(B6,C6)</f>
        <v>5</v>
      </c>
      <c r="F6" s="27">
        <f>MONTH(C6)</f>
        <v>7</v>
      </c>
      <c r="G6" s="27">
        <f>WEEKDAY(C6,2)</f>
        <v>2</v>
      </c>
      <c r="H6" s="27" t="str">
        <f>TEXT(G6,"dddd")</f>
        <v>Monday</v>
      </c>
    </row>
    <row r="7" spans="1:8">
      <c r="A7" s="2" t="s">
        <v>127</v>
      </c>
      <c r="B7" s="8">
        <v>46219</v>
      </c>
      <c r="C7" s="8">
        <v>46227</v>
      </c>
      <c r="D7" s="27">
        <f t="shared" ref="D7:D10" si="0">_xlfn.DAYS(C7,B7)</f>
        <v>8</v>
      </c>
      <c r="E7" s="27">
        <f t="shared" ref="E7:E10" si="1">NETWORKDAYS(B7,C7)</f>
        <v>7</v>
      </c>
      <c r="F7" s="27">
        <f t="shared" ref="F7:F10" si="2">MONTH(C7)</f>
        <v>7</v>
      </c>
      <c r="G7" s="27">
        <f t="shared" ref="G7:G10" si="3">WEEKDAY(C7,2)</f>
        <v>5</v>
      </c>
      <c r="H7" s="27" t="str">
        <f t="shared" ref="H7:H10" si="4">TEXT(G7,"dddd")</f>
        <v>Thursday</v>
      </c>
    </row>
    <row r="8" spans="1:8">
      <c r="A8" s="2" t="s">
        <v>128</v>
      </c>
      <c r="B8" s="8">
        <v>46221</v>
      </c>
      <c r="C8" s="8">
        <v>46231</v>
      </c>
      <c r="D8" s="27">
        <f t="shared" si="0"/>
        <v>10</v>
      </c>
      <c r="E8" s="27">
        <f t="shared" si="1"/>
        <v>7</v>
      </c>
      <c r="F8" s="27">
        <f t="shared" si="2"/>
        <v>7</v>
      </c>
      <c r="G8" s="27">
        <f t="shared" si="3"/>
        <v>2</v>
      </c>
      <c r="H8" s="27" t="str">
        <f t="shared" si="4"/>
        <v>Monday</v>
      </c>
    </row>
    <row r="9" spans="1:8">
      <c r="A9" s="2" t="s">
        <v>129</v>
      </c>
      <c r="B9" s="8">
        <v>46223</v>
      </c>
      <c r="C9" s="8">
        <v>46228</v>
      </c>
      <c r="D9" s="27">
        <f t="shared" si="0"/>
        <v>5</v>
      </c>
      <c r="E9" s="27">
        <f t="shared" si="1"/>
        <v>5</v>
      </c>
      <c r="F9" s="27">
        <f t="shared" si="2"/>
        <v>7</v>
      </c>
      <c r="G9" s="27">
        <f t="shared" si="3"/>
        <v>6</v>
      </c>
      <c r="H9" s="27" t="str">
        <f t="shared" si="4"/>
        <v>Friday</v>
      </c>
    </row>
    <row r="10" spans="1:8">
      <c r="A10" s="2" t="s">
        <v>130</v>
      </c>
      <c r="B10" s="8">
        <v>46225</v>
      </c>
      <c r="C10" s="8">
        <v>46232</v>
      </c>
      <c r="D10" s="27">
        <f t="shared" si="0"/>
        <v>7</v>
      </c>
      <c r="E10" s="27">
        <f t="shared" si="1"/>
        <v>6</v>
      </c>
      <c r="F10" s="27">
        <f t="shared" si="2"/>
        <v>7</v>
      </c>
      <c r="G10" s="27">
        <f t="shared" si="3"/>
        <v>3</v>
      </c>
      <c r="H10" s="27" t="str">
        <f t="shared" si="4"/>
        <v>Tuesday</v>
      </c>
    </row>
    <row r="12" spans="1:8" ht="18">
      <c r="A12" s="15" t="s">
        <v>115</v>
      </c>
    </row>
    <row r="13" spans="1:8">
      <c r="A13" s="16"/>
    </row>
    <row r="14" spans="1:8">
      <c r="A14" s="16" t="s">
        <v>131</v>
      </c>
    </row>
    <row r="15" spans="1:8">
      <c r="A15" s="16" t="s">
        <v>132</v>
      </c>
    </row>
    <row r="16" spans="1:8">
      <c r="A16" s="16" t="s">
        <v>133</v>
      </c>
    </row>
    <row r="17" spans="1:1">
      <c r="A17" s="16" t="s">
        <v>134</v>
      </c>
    </row>
    <row r="19" spans="1:1">
      <c r="A19" s="17"/>
    </row>
    <row r="20" spans="1:1">
      <c r="A20" s="16"/>
    </row>
    <row r="21" spans="1:1">
      <c r="A21" s="16"/>
    </row>
    <row r="22" spans="1:1">
      <c r="A22" s="16"/>
    </row>
    <row r="23" spans="1:1">
      <c r="A23" s="16"/>
    </row>
    <row r="24" spans="1:1">
      <c r="A24" s="1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BC578-FC8A-4D71-8F72-C14B9A00D085}">
  <dimension ref="A1:H18"/>
  <sheetViews>
    <sheetView tabSelected="1" zoomScale="88" workbookViewId="0">
      <selection activeCell="E6" sqref="E6"/>
    </sheetView>
  </sheetViews>
  <sheetFormatPr defaultRowHeight="14.4"/>
  <cols>
    <col min="2" max="2" width="9.77734375" bestFit="1" customWidth="1"/>
    <col min="4" max="4" width="10.77734375" bestFit="1" customWidth="1"/>
    <col min="5" max="5" width="8.44140625" bestFit="1" customWidth="1"/>
    <col min="6" max="6" width="12.88671875" bestFit="1" customWidth="1"/>
    <col min="7" max="7" width="16.33203125" bestFit="1" customWidth="1"/>
    <col min="8" max="8" width="10.44140625" bestFit="1" customWidth="1"/>
  </cols>
  <sheetData>
    <row r="1" spans="1:8" ht="31.2">
      <c r="A1" s="14" t="s">
        <v>135</v>
      </c>
    </row>
    <row r="3" spans="1:8" ht="23.4">
      <c r="A3" s="13" t="s">
        <v>114</v>
      </c>
    </row>
    <row r="5" spans="1:8">
      <c r="A5" s="4" t="s">
        <v>136</v>
      </c>
      <c r="B5" s="4" t="s">
        <v>137</v>
      </c>
      <c r="C5" s="23" t="s">
        <v>57</v>
      </c>
      <c r="D5" s="23" t="s">
        <v>217</v>
      </c>
      <c r="E5" s="23" t="s">
        <v>218</v>
      </c>
      <c r="F5" s="23" t="s">
        <v>219</v>
      </c>
      <c r="G5" s="23" t="s">
        <v>220</v>
      </c>
    </row>
    <row r="6" spans="1:8">
      <c r="A6" s="2" t="s">
        <v>138</v>
      </c>
      <c r="B6" s="8">
        <v>38064</v>
      </c>
      <c r="C6" s="23">
        <f ca="1">DATEDIF(B6,TODAY(),"Y")</f>
        <v>22</v>
      </c>
      <c r="D6" s="23">
        <f>MONTH(B6)</f>
        <v>3</v>
      </c>
      <c r="E6" s="23">
        <f>DAY(B6)</f>
        <v>18</v>
      </c>
      <c r="F6" s="23">
        <f>WEEKDAY(B6,2)</f>
        <v>4</v>
      </c>
      <c r="G6" s="28">
        <f>EDATE(B6,12)</f>
        <v>38429</v>
      </c>
      <c r="H6">
        <f>YEAR(G6)</f>
        <v>2005</v>
      </c>
    </row>
    <row r="7" spans="1:8">
      <c r="A7" s="2" t="s">
        <v>28</v>
      </c>
      <c r="B7" s="8">
        <v>38362</v>
      </c>
      <c r="C7" s="23">
        <f t="shared" ref="C7:C10" ca="1" si="0">DATEDIF(B7,TODAY(),"Y")</f>
        <v>21</v>
      </c>
      <c r="D7" s="23">
        <f t="shared" ref="D7:D10" si="1">MONTH(B7)</f>
        <v>1</v>
      </c>
      <c r="E7" s="23">
        <f t="shared" ref="E7:E10" si="2">DAY(B7)</f>
        <v>10</v>
      </c>
      <c r="F7" s="23">
        <f t="shared" ref="F7:F10" si="3">WEEKDAY(B7,2)</f>
        <v>1</v>
      </c>
      <c r="G7" s="28">
        <f t="shared" ref="G7:G10" si="4">EDATE(B7,12)</f>
        <v>38727</v>
      </c>
      <c r="H7">
        <f t="shared" ref="H7:H10" si="5">YEAR(G7)</f>
        <v>2006</v>
      </c>
    </row>
    <row r="8" spans="1:8">
      <c r="A8" s="2" t="s">
        <v>30</v>
      </c>
      <c r="B8" s="8">
        <v>37947</v>
      </c>
      <c r="C8" s="23">
        <f t="shared" ca="1" si="0"/>
        <v>22</v>
      </c>
      <c r="D8" s="23">
        <f t="shared" si="1"/>
        <v>11</v>
      </c>
      <c r="E8" s="23">
        <f t="shared" si="2"/>
        <v>22</v>
      </c>
      <c r="F8" s="23">
        <f t="shared" si="3"/>
        <v>6</v>
      </c>
      <c r="G8" s="28">
        <f t="shared" si="4"/>
        <v>38313</v>
      </c>
      <c r="H8">
        <f t="shared" si="5"/>
        <v>2004</v>
      </c>
    </row>
    <row r="9" spans="1:8">
      <c r="A9" s="2" t="s">
        <v>40</v>
      </c>
      <c r="B9" s="8">
        <v>38183</v>
      </c>
      <c r="C9" s="23">
        <f t="shared" ca="1" si="0"/>
        <v>22</v>
      </c>
      <c r="D9" s="23">
        <f t="shared" si="1"/>
        <v>7</v>
      </c>
      <c r="E9" s="23">
        <f t="shared" si="2"/>
        <v>15</v>
      </c>
      <c r="F9" s="23">
        <f t="shared" si="3"/>
        <v>4</v>
      </c>
      <c r="G9" s="28">
        <f t="shared" si="4"/>
        <v>38548</v>
      </c>
      <c r="H9">
        <f t="shared" si="5"/>
        <v>2005</v>
      </c>
    </row>
    <row r="10" spans="1:8">
      <c r="A10" s="2" t="s">
        <v>24</v>
      </c>
      <c r="B10" s="8">
        <v>38845</v>
      </c>
      <c r="C10" s="23">
        <f t="shared" ca="1" si="0"/>
        <v>20</v>
      </c>
      <c r="D10" s="23">
        <f t="shared" si="1"/>
        <v>5</v>
      </c>
      <c r="E10" s="23">
        <f t="shared" si="2"/>
        <v>8</v>
      </c>
      <c r="F10" s="23">
        <f t="shared" si="3"/>
        <v>1</v>
      </c>
      <c r="G10" s="28">
        <f t="shared" si="4"/>
        <v>39210</v>
      </c>
      <c r="H10">
        <f t="shared" si="5"/>
        <v>2007</v>
      </c>
    </row>
    <row r="12" spans="1:8" ht="18">
      <c r="A12" s="15" t="s">
        <v>115</v>
      </c>
    </row>
    <row r="13" spans="1:8">
      <c r="A13" s="16"/>
    </row>
    <row r="14" spans="1:8">
      <c r="A14" s="16" t="s">
        <v>139</v>
      </c>
    </row>
    <row r="15" spans="1:8">
      <c r="A15" s="16" t="s">
        <v>140</v>
      </c>
    </row>
    <row r="16" spans="1:8">
      <c r="A16" s="16" t="s">
        <v>141</v>
      </c>
    </row>
    <row r="17" spans="1:1">
      <c r="A17" s="16" t="s">
        <v>142</v>
      </c>
    </row>
    <row r="18" spans="1:1">
      <c r="A18" s="16" t="s">
        <v>143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E36C9-95BE-4A6B-B22B-AED59651CE42}">
  <dimension ref="A1:C17"/>
  <sheetViews>
    <sheetView workbookViewId="0">
      <selection activeCell="I9" sqref="I9"/>
    </sheetView>
  </sheetViews>
  <sheetFormatPr defaultRowHeight="14.4"/>
  <cols>
    <col min="8" max="8" width="18.5546875" customWidth="1"/>
    <col min="9" max="9" width="17" bestFit="1" customWidth="1"/>
  </cols>
  <sheetData>
    <row r="1" spans="1:3" ht="31.2">
      <c r="A1" s="14" t="s">
        <v>144</v>
      </c>
    </row>
    <row r="3" spans="1:3" ht="23.4">
      <c r="A3" s="13" t="s">
        <v>114</v>
      </c>
    </row>
    <row r="5" spans="1:3" ht="43.2">
      <c r="A5" s="4" t="s">
        <v>145</v>
      </c>
      <c r="B5" s="4" t="s">
        <v>146</v>
      </c>
      <c r="C5" s="4" t="s">
        <v>147</v>
      </c>
    </row>
    <row r="6" spans="1:3">
      <c r="A6" s="2" t="s">
        <v>148</v>
      </c>
      <c r="B6" s="8">
        <v>46218</v>
      </c>
      <c r="C6" s="2">
        <v>45</v>
      </c>
    </row>
    <row r="7" spans="1:3">
      <c r="A7" s="2" t="s">
        <v>149</v>
      </c>
      <c r="B7" s="8">
        <v>46223</v>
      </c>
      <c r="C7" s="2">
        <v>30</v>
      </c>
    </row>
    <row r="8" spans="1:3">
      <c r="A8" s="2" t="s">
        <v>150</v>
      </c>
      <c r="B8" s="8">
        <v>46228</v>
      </c>
      <c r="C8" s="2">
        <v>60</v>
      </c>
    </row>
    <row r="9" spans="1:3" ht="28.8">
      <c r="A9" s="2" t="s">
        <v>151</v>
      </c>
      <c r="B9" s="8">
        <v>46231</v>
      </c>
      <c r="C9" s="2">
        <v>50</v>
      </c>
    </row>
    <row r="10" spans="1:3" ht="28.8">
      <c r="A10" s="2" t="s">
        <v>152</v>
      </c>
      <c r="B10" s="8">
        <v>46233</v>
      </c>
      <c r="C10" s="2">
        <v>25</v>
      </c>
    </row>
    <row r="12" spans="1:3" ht="18">
      <c r="A12" s="15" t="s">
        <v>115</v>
      </c>
    </row>
    <row r="13" spans="1:3">
      <c r="A13" s="16"/>
    </row>
    <row r="14" spans="1:3">
      <c r="A14" s="16" t="s">
        <v>153</v>
      </c>
    </row>
    <row r="15" spans="1:3">
      <c r="A15" s="16" t="s">
        <v>154</v>
      </c>
    </row>
    <row r="16" spans="1:3">
      <c r="A16" s="16" t="s">
        <v>155</v>
      </c>
    </row>
    <row r="17" spans="1:1">
      <c r="A17" s="16" t="s">
        <v>156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32BF8-75B1-4B7E-BB13-589F75BA747C}">
  <dimension ref="A1:C17"/>
  <sheetViews>
    <sheetView workbookViewId="0">
      <selection activeCell="I17" sqref="I17"/>
    </sheetView>
  </sheetViews>
  <sheetFormatPr defaultRowHeight="14.4"/>
  <cols>
    <col min="1" max="1" width="12" customWidth="1"/>
    <col min="2" max="2" width="9.5546875" bestFit="1" customWidth="1"/>
    <col min="3" max="3" width="17.77734375" customWidth="1"/>
    <col min="9" max="9" width="14.44140625" bestFit="1" customWidth="1"/>
  </cols>
  <sheetData>
    <row r="1" spans="1:3" ht="31.2">
      <c r="A1" s="14" t="s">
        <v>157</v>
      </c>
    </row>
    <row r="3" spans="1:3" ht="23.4">
      <c r="A3" s="13" t="s">
        <v>114</v>
      </c>
    </row>
    <row r="5" spans="1:3" ht="28.8">
      <c r="A5" s="4" t="s">
        <v>158</v>
      </c>
      <c r="B5" s="4" t="s">
        <v>159</v>
      </c>
      <c r="C5" s="4" t="s">
        <v>160</v>
      </c>
    </row>
    <row r="6" spans="1:3">
      <c r="A6" s="2" t="s">
        <v>18</v>
      </c>
      <c r="B6" s="8">
        <v>45303</v>
      </c>
      <c r="C6" s="2">
        <v>24</v>
      </c>
    </row>
    <row r="7" spans="1:3">
      <c r="A7" s="2" t="s">
        <v>22</v>
      </c>
      <c r="B7" s="8">
        <v>45003</v>
      </c>
      <c r="C7" s="2">
        <v>36</v>
      </c>
    </row>
    <row r="8" spans="1:3">
      <c r="A8" s="2" t="s">
        <v>20</v>
      </c>
      <c r="B8" s="8">
        <v>45833</v>
      </c>
      <c r="C8" s="2">
        <v>18</v>
      </c>
    </row>
    <row r="9" spans="1:3">
      <c r="A9" s="2" t="s">
        <v>24</v>
      </c>
      <c r="B9" s="8">
        <v>44600</v>
      </c>
      <c r="C9" s="2">
        <v>48</v>
      </c>
    </row>
    <row r="10" spans="1:3">
      <c r="A10" s="2" t="s">
        <v>30</v>
      </c>
      <c r="B10" s="8">
        <v>45610</v>
      </c>
      <c r="C10" s="2">
        <v>12</v>
      </c>
    </row>
    <row r="12" spans="1:3" ht="18">
      <c r="A12" s="15" t="s">
        <v>115</v>
      </c>
    </row>
    <row r="13" spans="1:3">
      <c r="A13" s="16"/>
    </row>
    <row r="14" spans="1:3">
      <c r="A14" s="16" t="s">
        <v>161</v>
      </c>
    </row>
    <row r="15" spans="1:3">
      <c r="A15" s="16" t="s">
        <v>162</v>
      </c>
    </row>
    <row r="16" spans="1:3">
      <c r="A16" s="16" t="s">
        <v>163</v>
      </c>
    </row>
    <row r="17" spans="1:1">
      <c r="A17" s="16" t="s">
        <v>164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288AA-CC7F-4C0F-AE9A-27205926F7C7}">
  <dimension ref="A1:C20"/>
  <sheetViews>
    <sheetView workbookViewId="0">
      <selection activeCell="J20" sqref="J20"/>
    </sheetView>
  </sheetViews>
  <sheetFormatPr defaultRowHeight="14.4"/>
  <cols>
    <col min="8" max="8" width="11.109375" bestFit="1" customWidth="1"/>
  </cols>
  <sheetData>
    <row r="1" spans="1:3" ht="31.2">
      <c r="A1" s="14" t="s">
        <v>165</v>
      </c>
    </row>
    <row r="3" spans="1:3" ht="23.4">
      <c r="A3" s="13" t="s">
        <v>114</v>
      </c>
    </row>
    <row r="5" spans="1:3" ht="28.8">
      <c r="A5" s="4" t="s">
        <v>166</v>
      </c>
      <c r="B5" s="4" t="s">
        <v>167</v>
      </c>
      <c r="C5" s="4" t="s">
        <v>168</v>
      </c>
    </row>
    <row r="6" spans="1:3">
      <c r="A6" s="2" t="s">
        <v>169</v>
      </c>
      <c r="B6" s="8">
        <v>46213</v>
      </c>
      <c r="C6" s="2">
        <v>15</v>
      </c>
    </row>
    <row r="7" spans="1:3">
      <c r="A7" s="2" t="s">
        <v>170</v>
      </c>
      <c r="B7" s="8">
        <v>46215</v>
      </c>
      <c r="C7" s="2">
        <v>30</v>
      </c>
    </row>
    <row r="8" spans="1:3">
      <c r="A8" s="2" t="s">
        <v>171</v>
      </c>
      <c r="B8" s="8">
        <v>46218</v>
      </c>
      <c r="C8" s="2">
        <v>45</v>
      </c>
    </row>
    <row r="9" spans="1:3">
      <c r="A9" s="2" t="s">
        <v>172</v>
      </c>
      <c r="B9" s="8">
        <v>46223</v>
      </c>
      <c r="C9" s="2">
        <v>60</v>
      </c>
    </row>
    <row r="10" spans="1:3">
      <c r="A10" s="2" t="s">
        <v>173</v>
      </c>
      <c r="B10" s="8">
        <v>46228</v>
      </c>
      <c r="C10" s="2">
        <v>90</v>
      </c>
    </row>
    <row r="12" spans="1:3" ht="18">
      <c r="A12" s="15" t="s">
        <v>115</v>
      </c>
    </row>
    <row r="13" spans="1:3">
      <c r="A13" s="16"/>
    </row>
    <row r="14" spans="1:3">
      <c r="A14" s="16" t="s">
        <v>174</v>
      </c>
    </row>
    <row r="15" spans="1:3">
      <c r="A15" s="16" t="s">
        <v>175</v>
      </c>
    </row>
    <row r="16" spans="1:3">
      <c r="A16" s="16" t="s">
        <v>176</v>
      </c>
    </row>
    <row r="17" spans="1:1">
      <c r="A17" s="16" t="s">
        <v>177</v>
      </c>
    </row>
    <row r="20" spans="1:1">
      <c r="A20" s="16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54E17-3538-4364-B945-A76B3F1DB769}">
  <dimension ref="A1:B18"/>
  <sheetViews>
    <sheetView topLeftCell="A6" workbookViewId="0">
      <selection activeCell="A20" activeCellId="1" sqref="F5:G10 A20:A25"/>
    </sheetView>
  </sheetViews>
  <sheetFormatPr defaultRowHeight="14.4"/>
  <cols>
    <col min="2" max="2" width="9.33203125" bestFit="1" customWidth="1"/>
    <col min="6" max="6" width="15.109375" customWidth="1"/>
    <col min="7" max="7" width="24.21875" customWidth="1"/>
  </cols>
  <sheetData>
    <row r="1" spans="1:2" ht="31.2">
      <c r="A1" s="14" t="s">
        <v>178</v>
      </c>
    </row>
    <row r="3" spans="1:2" ht="23.4">
      <c r="A3" s="13" t="s">
        <v>114</v>
      </c>
    </row>
    <row r="5" spans="1:2" ht="28.8">
      <c r="A5" s="4" t="s">
        <v>179</v>
      </c>
      <c r="B5" s="4" t="s">
        <v>180</v>
      </c>
    </row>
    <row r="6" spans="1:2">
      <c r="A6" s="2" t="s">
        <v>181</v>
      </c>
      <c r="B6" s="8">
        <v>46249</v>
      </c>
    </row>
    <row r="7" spans="1:2" ht="28.8">
      <c r="A7" s="2" t="s">
        <v>182</v>
      </c>
      <c r="B7" s="8">
        <v>46262</v>
      </c>
    </row>
    <row r="8" spans="1:2" ht="28.8">
      <c r="A8" s="2" t="s">
        <v>183</v>
      </c>
      <c r="B8" s="8">
        <v>46277</v>
      </c>
    </row>
    <row r="9" spans="1:2" ht="28.8">
      <c r="A9" s="2" t="s">
        <v>184</v>
      </c>
      <c r="B9" s="8">
        <v>46320</v>
      </c>
    </row>
    <row r="10" spans="1:2" ht="28.8">
      <c r="A10" s="2" t="s">
        <v>185</v>
      </c>
      <c r="B10" s="8">
        <v>46344</v>
      </c>
    </row>
    <row r="12" spans="1:2" ht="18">
      <c r="A12" s="15" t="s">
        <v>115</v>
      </c>
    </row>
    <row r="13" spans="1:2">
      <c r="A13" s="16"/>
    </row>
    <row r="14" spans="1:2">
      <c r="A14" s="16" t="s">
        <v>186</v>
      </c>
    </row>
    <row r="15" spans="1:2">
      <c r="A15" s="16" t="s">
        <v>187</v>
      </c>
    </row>
    <row r="16" spans="1:2">
      <c r="A16" s="16" t="s">
        <v>188</v>
      </c>
    </row>
    <row r="17" spans="1:1">
      <c r="A17" s="16" t="s">
        <v>189</v>
      </c>
    </row>
    <row r="18" spans="1:1">
      <c r="A18" s="16" t="s">
        <v>190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15F3F-0BAE-4E23-88D3-307E83662290}">
  <dimension ref="A1:E23"/>
  <sheetViews>
    <sheetView workbookViewId="0">
      <selection activeCell="J26" sqref="J26"/>
    </sheetView>
  </sheetViews>
  <sheetFormatPr defaultRowHeight="14.4"/>
  <cols>
    <col min="1" max="1" width="10.21875" customWidth="1"/>
    <col min="2" max="2" width="9.5546875" bestFit="1" customWidth="1"/>
    <col min="3" max="3" width="9.77734375" bestFit="1" customWidth="1"/>
    <col min="5" max="5" width="9.33203125" bestFit="1" customWidth="1"/>
    <col min="10" max="10" width="20.21875" customWidth="1"/>
    <col min="11" max="11" width="17" bestFit="1" customWidth="1"/>
  </cols>
  <sheetData>
    <row r="1" spans="1:5" ht="31.2">
      <c r="A1" s="14" t="s">
        <v>191</v>
      </c>
    </row>
    <row r="3" spans="1:5" ht="23.4">
      <c r="A3" s="13" t="s">
        <v>114</v>
      </c>
    </row>
    <row r="5" spans="1:5" ht="28.8">
      <c r="A5" s="4" t="s">
        <v>11</v>
      </c>
      <c r="B5" s="4" t="s">
        <v>12</v>
      </c>
      <c r="C5" s="4" t="s">
        <v>137</v>
      </c>
      <c r="D5" s="4" t="s">
        <v>192</v>
      </c>
      <c r="E5" s="4" t="s">
        <v>193</v>
      </c>
    </row>
    <row r="6" spans="1:5">
      <c r="A6" s="2" t="s">
        <v>18</v>
      </c>
      <c r="B6" s="8">
        <v>43845</v>
      </c>
      <c r="C6" s="8">
        <v>35925</v>
      </c>
      <c r="D6" s="8">
        <v>46213</v>
      </c>
      <c r="E6" s="8">
        <v>46280</v>
      </c>
    </row>
    <row r="7" spans="1:5">
      <c r="A7" s="2" t="s">
        <v>20</v>
      </c>
      <c r="B7" s="8">
        <v>44273</v>
      </c>
      <c r="C7" s="8">
        <v>36482</v>
      </c>
      <c r="D7" s="8">
        <v>46218</v>
      </c>
      <c r="E7" s="8">
        <v>46323</v>
      </c>
    </row>
    <row r="8" spans="1:5">
      <c r="A8" s="2" t="s">
        <v>22</v>
      </c>
      <c r="B8" s="8">
        <v>43641</v>
      </c>
      <c r="C8" s="8">
        <v>35789</v>
      </c>
      <c r="D8" s="8">
        <v>46223</v>
      </c>
      <c r="E8" s="8">
        <v>46368</v>
      </c>
    </row>
    <row r="9" spans="1:5">
      <c r="A9" s="2" t="s">
        <v>24</v>
      </c>
      <c r="B9" s="8">
        <v>44604</v>
      </c>
      <c r="C9" s="8">
        <v>35103</v>
      </c>
      <c r="D9" s="8">
        <v>46228</v>
      </c>
      <c r="E9" s="8">
        <v>46344</v>
      </c>
    </row>
    <row r="10" spans="1:5">
      <c r="A10" s="2" t="s">
        <v>26</v>
      </c>
      <c r="B10" s="8">
        <v>43320</v>
      </c>
      <c r="C10" s="8">
        <v>34925</v>
      </c>
      <c r="D10" s="8">
        <v>46233</v>
      </c>
      <c r="E10" s="8">
        <v>46409</v>
      </c>
    </row>
    <row r="12" spans="1:5" ht="18">
      <c r="A12" s="15" t="s">
        <v>115</v>
      </c>
    </row>
    <row r="13" spans="1:5">
      <c r="A13" s="16"/>
    </row>
    <row r="14" spans="1:5">
      <c r="A14" s="16" t="s">
        <v>139</v>
      </c>
    </row>
    <row r="15" spans="1:5">
      <c r="A15" s="16" t="s">
        <v>194</v>
      </c>
    </row>
    <row r="16" spans="1:5">
      <c r="A16" s="16" t="s">
        <v>195</v>
      </c>
    </row>
    <row r="17" spans="1:1">
      <c r="A17" s="16" t="s">
        <v>196</v>
      </c>
    </row>
    <row r="18" spans="1:1">
      <c r="A18" s="16" t="s">
        <v>197</v>
      </c>
    </row>
    <row r="19" spans="1:1">
      <c r="A19" s="16" t="s">
        <v>198</v>
      </c>
    </row>
    <row r="20" spans="1:1">
      <c r="A20" s="16" t="s">
        <v>199</v>
      </c>
    </row>
    <row r="21" spans="1:1">
      <c r="A21" s="16" t="s">
        <v>200</v>
      </c>
    </row>
    <row r="22" spans="1:1">
      <c r="A22" s="16" t="s">
        <v>201</v>
      </c>
    </row>
    <row r="23" spans="1:1">
      <c r="A23" s="16" t="s">
        <v>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10</vt:i4>
      </vt:variant>
    </vt:vector>
  </HeadingPairs>
  <TitlesOfParts>
    <vt:vector size="20" baseType="lpstr">
      <vt:lpstr>Create from selection</vt:lpstr>
      <vt:lpstr>DateFunctions</vt:lpstr>
      <vt:lpstr>Exercise-1</vt:lpstr>
      <vt:lpstr>Exercise-2</vt:lpstr>
      <vt:lpstr>Exercise-3</vt:lpstr>
      <vt:lpstr>Exercise-4</vt:lpstr>
      <vt:lpstr>Exercise-5</vt:lpstr>
      <vt:lpstr>Exercise-6</vt:lpstr>
      <vt:lpstr>Exercise 7</vt:lpstr>
      <vt:lpstr>Exercise-8</vt:lpstr>
      <vt:lpstr>Apr</vt:lpstr>
      <vt:lpstr>Feb</vt:lpstr>
      <vt:lpstr>Jan</vt:lpstr>
      <vt:lpstr>Mar</vt:lpstr>
      <vt:lpstr>Month</vt:lpstr>
      <vt:lpstr>Product_A</vt:lpstr>
      <vt:lpstr>Product_B</vt:lpstr>
      <vt:lpstr>Product_C</vt:lpstr>
      <vt:lpstr>Profit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om supare</cp:lastModifiedBy>
  <dcterms:created xsi:type="dcterms:W3CDTF">2015-06-05T18:17:20Z</dcterms:created>
  <dcterms:modified xsi:type="dcterms:W3CDTF">2026-07-25T03:52:22Z</dcterms:modified>
</cp:coreProperties>
</file>