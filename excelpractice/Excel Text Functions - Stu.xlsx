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sup\Documents\Advanced Excel\excelpractice\"/>
    </mc:Choice>
  </mc:AlternateContent>
  <xr:revisionPtr revIDLastSave="0" documentId="13_ncr:1_{B61598F1-A49D-4310-8D37-1DAB39CD8D0F}" xr6:coauthVersionLast="47" xr6:coauthVersionMax="47" xr10:uidLastSave="{00000000-0000-0000-0000-000000000000}"/>
  <bookViews>
    <workbookView xWindow="-108" yWindow="-108" windowWidth="23256" windowHeight="12456" activeTab="1" xr2:uid="{DD48EB59-D422-440A-B3D8-B7024E933AC0}"/>
  </bookViews>
  <sheets>
    <sheet name="Text to Columns" sheetId="4" r:id="rId1"/>
    <sheet name="Text Functions" sheetId="3" r:id="rId2"/>
  </sheets>
  <externalReferences>
    <externalReference r:id="rId3"/>
  </externalReferences>
  <definedNames>
    <definedName name="comm_pct">[1]Revised!$E$8:$E$13</definedName>
    <definedName name="incr">[1]Calculations!$B$3</definedName>
    <definedName name="sales_brackets">[1]Revised!$B$8:$B$13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3" l="1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" i="3"/>
  <c r="S2" i="3"/>
  <c r="R2" i="3"/>
  <c r="Q2" i="3"/>
  <c r="P2" i="3"/>
  <c r="O2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F2" i="3"/>
  <c r="G2" i="3"/>
  <c r="E2" i="3"/>
  <c r="D2" i="3"/>
</calcChain>
</file>

<file path=xl/sharedStrings.xml><?xml version="1.0" encoding="utf-8"?>
<sst xmlns="http://schemas.openxmlformats.org/spreadsheetml/2006/main" count="1038" uniqueCount="562">
  <si>
    <t>City, State, Zip Code</t>
  </si>
  <si>
    <t>Population</t>
  </si>
  <si>
    <t>Rank</t>
  </si>
  <si>
    <t>LOWER</t>
  </si>
  <si>
    <t>UPPER</t>
  </si>
  <si>
    <t>PROPER</t>
  </si>
  <si>
    <t>LEFT</t>
  </si>
  <si>
    <t>RIGHT</t>
  </si>
  <si>
    <t>LEN</t>
  </si>
  <si>
    <t>TRIM</t>
  </si>
  <si>
    <t>&amp;</t>
  </si>
  <si>
    <t>CONCAT</t>
  </si>
  <si>
    <t>VALUE</t>
  </si>
  <si>
    <t>VALUE+RIGHT</t>
  </si>
  <si>
    <t>FIND</t>
  </si>
  <si>
    <t>SEARCH</t>
  </si>
  <si>
    <t>REPLACE</t>
  </si>
  <si>
    <t>SUBSTITUTE</t>
  </si>
  <si>
    <t>MID</t>
  </si>
  <si>
    <t>City</t>
  </si>
  <si>
    <t>State</t>
  </si>
  <si>
    <t>Zip</t>
  </si>
  <si>
    <t>Birmingham, Alabama  35203</t>
  </si>
  <si>
    <t>Huntsville, Alabama  35813</t>
  </si>
  <si>
    <t>Mobile, Alabama  36601</t>
  </si>
  <si>
    <t>Montgomery, Alabama  36119</t>
  </si>
  <si>
    <t>Anchorage, Alaska  99599</t>
  </si>
  <si>
    <t>Chandler, Arizona  85225</t>
  </si>
  <si>
    <t>Gilbert, Arizona  85296</t>
  </si>
  <si>
    <t>Glendale, Arizona  85302</t>
  </si>
  <si>
    <t>Mesa, Arizona  85201</t>
  </si>
  <si>
    <t>Peoria, Arizona  85381</t>
  </si>
  <si>
    <t>Phoenix, Arizona  85026</t>
  </si>
  <si>
    <t>Scottsdale, Arizona  85251</t>
  </si>
  <si>
    <t>Tempe, Arizona  85282</t>
  </si>
  <si>
    <t>Tucson, Arizona  85726</t>
  </si>
  <si>
    <t>Little Rock, Arkansas  72202</t>
  </si>
  <si>
    <t>Anaheim, California  92803</t>
  </si>
  <si>
    <t>Antioch, California  94509</t>
  </si>
  <si>
    <t>Bakersfield, California  93380</t>
  </si>
  <si>
    <t>Berkeley, California  94704</t>
  </si>
  <si>
    <t>Burbank, California  91505</t>
  </si>
  <si>
    <t>Chula Vista, California  91910</t>
  </si>
  <si>
    <t>Concord, California  94520</t>
  </si>
  <si>
    <t>Corona, California  91718</t>
  </si>
  <si>
    <t>Costa Mesa, California  92628</t>
  </si>
  <si>
    <t>Daly City, California  94015</t>
  </si>
  <si>
    <t>Downey, California  90241</t>
  </si>
  <si>
    <t>El Monte, California  91734</t>
  </si>
  <si>
    <t>Elk Grove, California  95624</t>
  </si>
  <si>
    <t>Escondido, California  92025</t>
  </si>
  <si>
    <t>Fairfield, California  94533</t>
  </si>
  <si>
    <t>Fontana, California  92335</t>
  </si>
  <si>
    <t>Fremont, California  94537</t>
  </si>
  <si>
    <t>Fresno, California  93706</t>
  </si>
  <si>
    <t>Fullerton, California  92834</t>
  </si>
  <si>
    <t>Garden Grove, California  92842</t>
  </si>
  <si>
    <t>Glendale, California  91205</t>
  </si>
  <si>
    <t>Hayward, California  94544</t>
  </si>
  <si>
    <t>Huntington Beach, California  92647</t>
  </si>
  <si>
    <t>Inglewood, California  90301</t>
  </si>
  <si>
    <t>Irvine, California  92619</t>
  </si>
  <si>
    <t>Lancaster, California  93534</t>
  </si>
  <si>
    <t>Long Beach, California  90802</t>
  </si>
  <si>
    <t>Los Angeles, California  90052</t>
  </si>
  <si>
    <t>Modesto, California  95350</t>
  </si>
  <si>
    <t>Moreno Valley, California  92553</t>
  </si>
  <si>
    <t>Norwalk, California  90650</t>
  </si>
  <si>
    <t>Oakland, California  94612</t>
  </si>
  <si>
    <t>Oceanside, California  92054</t>
  </si>
  <si>
    <t>Ontario, California  91761</t>
  </si>
  <si>
    <t>Orange, California  92863</t>
  </si>
  <si>
    <t>Oxnard, California  93030</t>
  </si>
  <si>
    <t>Palmdale, California  93550</t>
  </si>
  <si>
    <t>Pasadena, California  91103</t>
  </si>
  <si>
    <t>Pomona, California  91769</t>
  </si>
  <si>
    <t>Rancho Cucamonga, California  91729</t>
  </si>
  <si>
    <t>Richmond, California  94801</t>
  </si>
  <si>
    <t>Riverside, California  92507</t>
  </si>
  <si>
    <t>Roseville, California  95661</t>
  </si>
  <si>
    <t>Sacramento, California  95813</t>
  </si>
  <si>
    <t>Salinas, California  93907</t>
  </si>
  <si>
    <t>San Bernardino, California  92401</t>
  </si>
  <si>
    <t>Ventura, California  93001</t>
  </si>
  <si>
    <t>San Diego, California  92199</t>
  </si>
  <si>
    <t>San Francisco, California  94188</t>
  </si>
  <si>
    <t>San Jose, California  95101</t>
  </si>
  <si>
    <t>Santa Ana, California  92711</t>
  </si>
  <si>
    <t>Santa Clara, California  95050</t>
  </si>
  <si>
    <t>Santa Clarita, California  91355</t>
  </si>
  <si>
    <t>Santa Rosa, California  95402</t>
  </si>
  <si>
    <t>Simi Valley, California  93065</t>
  </si>
  <si>
    <t>Stockton, California  95208</t>
  </si>
  <si>
    <t>Sunnyvale, California  94086</t>
  </si>
  <si>
    <t>Thousand Oaks, California  91362</t>
  </si>
  <si>
    <t>Torrance, California  90503</t>
  </si>
  <si>
    <t>Vallejo, California  94590</t>
  </si>
  <si>
    <t>Visalia, California  93277</t>
  </si>
  <si>
    <t>West Covina, California  91793</t>
  </si>
  <si>
    <t>Arvada, Colorado  80004</t>
  </si>
  <si>
    <t>Aurora, Colorado  80017</t>
  </si>
  <si>
    <t>Colorado Springs, Colorado  80903</t>
  </si>
  <si>
    <t>Denver, Colorado  80202</t>
  </si>
  <si>
    <t>Fort Collins, Colorado  80525</t>
  </si>
  <si>
    <t>Lakewood, Colorado  80202</t>
  </si>
  <si>
    <t>Pueblo, Colorado  81003</t>
  </si>
  <si>
    <t>Thornton, Colorado  80221</t>
  </si>
  <si>
    <t>Westminster, Colorado  80030</t>
  </si>
  <si>
    <t>Bridgeport, Connecticut  06602</t>
  </si>
  <si>
    <t>Hartford, Connecticut  06101</t>
  </si>
  <si>
    <t>New Haven, Connecticut  06511</t>
  </si>
  <si>
    <t>Stamford, Connecticut  06904</t>
  </si>
  <si>
    <t>Waterbury, Connecticut  06702</t>
  </si>
  <si>
    <t>Washington, D.C.  20090</t>
  </si>
  <si>
    <t>Cape Coral, Florida  33909</t>
  </si>
  <si>
    <t>Clearwater, Florida  33990</t>
  </si>
  <si>
    <t>Coral Springs, Florida  33075</t>
  </si>
  <si>
    <t>Fort Lauderdale, Florida  33310</t>
  </si>
  <si>
    <t>Gainesville, Florida  32601</t>
  </si>
  <si>
    <t>Hialeah, Florida  33010</t>
  </si>
  <si>
    <t>Hollywood, Florida  33022</t>
  </si>
  <si>
    <t>Jacksonville, Florida  32203</t>
  </si>
  <si>
    <t>Miami, Florida  33152</t>
  </si>
  <si>
    <t>Miramar, Florida  33023</t>
  </si>
  <si>
    <t>Orlando, Florida  32802</t>
  </si>
  <si>
    <t>Pembroke Pines, Florida  33024</t>
  </si>
  <si>
    <t>Pompano Beach, Florida  33060</t>
  </si>
  <si>
    <t>Port St. Lucie, Florida  34952</t>
  </si>
  <si>
    <t>St. Petersburg, Florida  33730</t>
  </si>
  <si>
    <t>Tallahassee, Florida  32301</t>
  </si>
  <si>
    <t>Tampa, Florida  33630</t>
  </si>
  <si>
    <t>Athens, Georgia  30608</t>
  </si>
  <si>
    <t>Atlanta, Georgia  30304</t>
  </si>
  <si>
    <t>Augusta, Georgia  30901</t>
  </si>
  <si>
    <t>Columbus, Georgia  31908</t>
  </si>
  <si>
    <t>Savannah, Georgia  31402</t>
  </si>
  <si>
    <t>Honolulu, Hawaii  96820</t>
  </si>
  <si>
    <t>Boise, Idaho  83708</t>
  </si>
  <si>
    <t>Aurora, Illinois  60505</t>
  </si>
  <si>
    <t>Chicago, Illinois  60607</t>
  </si>
  <si>
    <t>Joliet, Illinois  60436</t>
  </si>
  <si>
    <t>Naperville, Illinois  60540</t>
  </si>
  <si>
    <t>Peoria, Illinois  61601</t>
  </si>
  <si>
    <t>Rockford, Illinois  61125</t>
  </si>
  <si>
    <t>Springfield, Illinois  62703</t>
  </si>
  <si>
    <t>Evansville, Indiana  47708</t>
  </si>
  <si>
    <t>Fort Wayne, Indiana  46802</t>
  </si>
  <si>
    <t>Indianapolis, Indiana  46206</t>
  </si>
  <si>
    <t>South Bend, Indiana  46624</t>
  </si>
  <si>
    <t>Cedar Rapids, Iowa  52401</t>
  </si>
  <si>
    <t>Des Moines, Iowa  50318</t>
  </si>
  <si>
    <t>Kansas City, Kansas  66106</t>
  </si>
  <si>
    <t>Olathe, Kansas  66051</t>
  </si>
  <si>
    <t>Overland Park, Kansas  66204</t>
  </si>
  <si>
    <t>Topeka, Kansas  66603</t>
  </si>
  <si>
    <t>Wichita, Kansas  67276</t>
  </si>
  <si>
    <t>Lexington, Kentucky  40511</t>
  </si>
  <si>
    <t>Louisville, Kentucky  40231</t>
  </si>
  <si>
    <t>Baton Rouge, Louisiana  70826</t>
  </si>
  <si>
    <t>Lafayette, Louisiana  70509</t>
  </si>
  <si>
    <t>New Orleans, Louisiana  70113</t>
  </si>
  <si>
    <t>Shreveport, Louisiana  71102</t>
  </si>
  <si>
    <t>Baltimore, Maryland  21202</t>
  </si>
  <si>
    <t>Boston, Massachusetts  02205</t>
  </si>
  <si>
    <t>Cambridge, Massachusetts  02139</t>
  </si>
  <si>
    <t>Lowell, Massachusetts  01853</t>
  </si>
  <si>
    <t>Springfield, Massachusetts  01101</t>
  </si>
  <si>
    <t>Worcester, Massachusetts  01613</t>
  </si>
  <si>
    <t>Ann Arbor, Michigan  48104</t>
  </si>
  <si>
    <t>Detroit, Michigan  48233</t>
  </si>
  <si>
    <t>Flint, Michigan  48502</t>
  </si>
  <si>
    <t>Grand Rapids, Michigan  49501</t>
  </si>
  <si>
    <t>Lansing, Michigan  48924</t>
  </si>
  <si>
    <t>Sterling Heights, Michigan  48311</t>
  </si>
  <si>
    <t>Warren, Michigan  48090</t>
  </si>
  <si>
    <t>Minneapolis, Minnesota  55401</t>
  </si>
  <si>
    <t>St. Paul, Minnesota  55109</t>
  </si>
  <si>
    <t>Jackson, Mississippi  39205</t>
  </si>
  <si>
    <t>Independence, Missouri  64052</t>
  </si>
  <si>
    <t>Kansas City, Missouri  64108</t>
  </si>
  <si>
    <t>Springfield, Missouri  65801</t>
  </si>
  <si>
    <t>St. Louis, Missouri  63155</t>
  </si>
  <si>
    <t>Lincoln, Nebraska  68501</t>
  </si>
  <si>
    <t>Omaha, Nebraska  68108</t>
  </si>
  <si>
    <t>Henderson, Nevada  89015</t>
  </si>
  <si>
    <t>Las Vegas, Nevada  89199</t>
  </si>
  <si>
    <t>North Las Vegas, Nevada  89030</t>
  </si>
  <si>
    <t>Reno, Nevada  89510</t>
  </si>
  <si>
    <t>Manchester, New Hampshire  03103</t>
  </si>
  <si>
    <t>Elizabeth, New Jersey  07208</t>
  </si>
  <si>
    <t>Jersey City, New Jersey  07302</t>
  </si>
  <si>
    <t>Newark, New Jersey  07102</t>
  </si>
  <si>
    <t>Paterson, New Jersey  07510</t>
  </si>
  <si>
    <t>Albuquerque, New Mexico  87101</t>
  </si>
  <si>
    <t>Buffalo, New York   14240</t>
  </si>
  <si>
    <t>New York, New York   10199</t>
  </si>
  <si>
    <t>Rochester, New York   14692</t>
  </si>
  <si>
    <t>Syracuse, New York   13220</t>
  </si>
  <si>
    <t>Yonkers, New York   10701</t>
  </si>
  <si>
    <t>Cary, North Carolina  27511</t>
  </si>
  <si>
    <t>Charlotte, North Carolina  28228</t>
  </si>
  <si>
    <t>Durham, North Carolina  27701</t>
  </si>
  <si>
    <t>Fayetteville, North Carolina  28302</t>
  </si>
  <si>
    <t>Greensboro, North Carolina  27420</t>
  </si>
  <si>
    <t>Raleigh, North Carolina  27613</t>
  </si>
  <si>
    <t>Winston, North Carolina  27102</t>
  </si>
  <si>
    <t>Akron, Ohio  44309</t>
  </si>
  <si>
    <t>Cincinnati, Ohio  45225</t>
  </si>
  <si>
    <t>Cleveland, Ohio  44101</t>
  </si>
  <si>
    <t>Columbus, Ohio  43216</t>
  </si>
  <si>
    <t>Dayton, Ohio  45401</t>
  </si>
  <si>
    <t>Toledo, Ohio  43601</t>
  </si>
  <si>
    <t>Norman, Oklahoma  73019</t>
  </si>
  <si>
    <t>Oklahoma City, Oklahoma  73125</t>
  </si>
  <si>
    <t>Tulsa, Oklahoma  74107</t>
  </si>
  <si>
    <t>Eugene, Oregon  97401</t>
  </si>
  <si>
    <t>Portland, Oregon  97208</t>
  </si>
  <si>
    <t>Salem, Oregon  97309</t>
  </si>
  <si>
    <t>Allentown, Pennsylvania  18101</t>
  </si>
  <si>
    <t>Erie, Pennsylvania  16515</t>
  </si>
  <si>
    <t>Philadelphia, Pennsylvania  19104</t>
  </si>
  <si>
    <t>Pittsburgh, Pennsylvania  15290</t>
  </si>
  <si>
    <t>Providence, Rhode Island  02904</t>
  </si>
  <si>
    <t>Charleston, South Carolina  29401</t>
  </si>
  <si>
    <t>Columbia, South Carolina  29201</t>
  </si>
  <si>
    <t>Sioux Falls, South Dakota  57104</t>
  </si>
  <si>
    <t>Chattanooga, Tennessee  37421</t>
  </si>
  <si>
    <t>Clarksville, Tennessee  37043</t>
  </si>
  <si>
    <t>Knoxville, Tennessee  37950</t>
  </si>
  <si>
    <t>Memphis, Tennessee  38101</t>
  </si>
  <si>
    <t>Nashville, Tennessee  37230</t>
  </si>
  <si>
    <t>Abilene, Texas  79604</t>
  </si>
  <si>
    <t>Amarillo, Texas  79120</t>
  </si>
  <si>
    <t>Arlington, Texas  76004</t>
  </si>
  <si>
    <t>Austin, Texas  78710</t>
  </si>
  <si>
    <t>Beaumont, Texas  77707</t>
  </si>
  <si>
    <t>Brownsville, Texas  78520</t>
  </si>
  <si>
    <t>Carrollton, Texas  75006</t>
  </si>
  <si>
    <t>Corpus Christi, Texas  78469</t>
  </si>
  <si>
    <t>Dallas, Texas  75260</t>
  </si>
  <si>
    <t>Denton, Texas  76201</t>
  </si>
  <si>
    <t>El Paso, Texas  79910</t>
  </si>
  <si>
    <t>Fort Worth, Texas  76161</t>
  </si>
  <si>
    <t>Garland, Texas  75040</t>
  </si>
  <si>
    <t>Grand Prairie, Texas  75051</t>
  </si>
  <si>
    <t>Houston, Texas  77201</t>
  </si>
  <si>
    <t>Irving, Texas  75061</t>
  </si>
  <si>
    <t>Killeen, Texas  76541</t>
  </si>
  <si>
    <t>Laredo, Texas  78041</t>
  </si>
  <si>
    <t>Lubbock, Texas  79402</t>
  </si>
  <si>
    <t>McAllen, Texas  78501</t>
  </si>
  <si>
    <t>Mesquite, Texas  75149</t>
  </si>
  <si>
    <t>Pasadena, Texas  77501</t>
  </si>
  <si>
    <t>Plano, Texas  75074</t>
  </si>
  <si>
    <t>San Antonio, Texas  78284</t>
  </si>
  <si>
    <t>Waco, Texas  76702</t>
  </si>
  <si>
    <t>Salt Lake City, Utah  84199</t>
  </si>
  <si>
    <t>West Valley City, Utah  84199</t>
  </si>
  <si>
    <t>Alexandria, Virginia  22314</t>
  </si>
  <si>
    <t>Arlington CDP, Virginia  23320</t>
  </si>
  <si>
    <t>Chesapeake, Virginia  23670</t>
  </si>
  <si>
    <t>Hampton, Virginia  23607</t>
  </si>
  <si>
    <t>Newport News, Virginia  23501</t>
  </si>
  <si>
    <t>Norfolk, Virginia  23707</t>
  </si>
  <si>
    <t>Portsmouth, Virginia  23702</t>
  </si>
  <si>
    <t>Richmond, Virginia  23232</t>
  </si>
  <si>
    <t>Virginia Beach, Virginia  23450</t>
  </si>
  <si>
    <t>Bellevue, Washington  98009</t>
  </si>
  <si>
    <t>Seattle, Washington  98108</t>
  </si>
  <si>
    <t>Spokane, Washington  99201</t>
  </si>
  <si>
    <t>Tacoma, Washington  98413</t>
  </si>
  <si>
    <t>Vancouver, Washington  98668</t>
  </si>
  <si>
    <t>Green Bay, Wisconsin  54303</t>
  </si>
  <si>
    <t>Madison, Wisconsin  53714</t>
  </si>
  <si>
    <t>Milwaukee, Wisconsin  53203</t>
  </si>
  <si>
    <t>TEXT JOIN</t>
  </si>
  <si>
    <t>Birmingham</t>
  </si>
  <si>
    <t>Huntsville</t>
  </si>
  <si>
    <t>Mobile</t>
  </si>
  <si>
    <t>Montgomery</t>
  </si>
  <si>
    <t>Anchorage</t>
  </si>
  <si>
    <t>Chandler</t>
  </si>
  <si>
    <t>Gilbert</t>
  </si>
  <si>
    <t>Glendale</t>
  </si>
  <si>
    <t>Mesa</t>
  </si>
  <si>
    <t>Peoria</t>
  </si>
  <si>
    <t>Phoenix</t>
  </si>
  <si>
    <t>Scottsdale</t>
  </si>
  <si>
    <t>Tempe</t>
  </si>
  <si>
    <t>Tucson</t>
  </si>
  <si>
    <t>Little Rock</t>
  </si>
  <si>
    <t>Anaheim</t>
  </si>
  <si>
    <t>Antioch</t>
  </si>
  <si>
    <t>Bakersfield</t>
  </si>
  <si>
    <t>Berkeley</t>
  </si>
  <si>
    <t>Burbank</t>
  </si>
  <si>
    <t>Chula Vista</t>
  </si>
  <si>
    <t>Concord</t>
  </si>
  <si>
    <t>Corona</t>
  </si>
  <si>
    <t>Costa Mesa</t>
  </si>
  <si>
    <t>Daly City</t>
  </si>
  <si>
    <t>Downey</t>
  </si>
  <si>
    <t>El Monte</t>
  </si>
  <si>
    <t>Elk Grove</t>
  </si>
  <si>
    <t>Escondido</t>
  </si>
  <si>
    <t>Fairfield</t>
  </si>
  <si>
    <t>Fontana</t>
  </si>
  <si>
    <t>Fremont</t>
  </si>
  <si>
    <t>Fresno</t>
  </si>
  <si>
    <t>Fullerton</t>
  </si>
  <si>
    <t>Garden Grove</t>
  </si>
  <si>
    <t>Hayward</t>
  </si>
  <si>
    <t>Huntington Beach</t>
  </si>
  <si>
    <t>Inglewood</t>
  </si>
  <si>
    <t>Irvine</t>
  </si>
  <si>
    <t>Lancaster</t>
  </si>
  <si>
    <t>Long Beach</t>
  </si>
  <si>
    <t>Los Angeles</t>
  </si>
  <si>
    <t>Modesto</t>
  </si>
  <si>
    <t>Moreno Valley</t>
  </si>
  <si>
    <t>Norwalk</t>
  </si>
  <si>
    <t>Oakland</t>
  </si>
  <si>
    <t>Oceanside</t>
  </si>
  <si>
    <t>Ontario</t>
  </si>
  <si>
    <t>Orange</t>
  </si>
  <si>
    <t>Oxnard</t>
  </si>
  <si>
    <t>Palmdale</t>
  </si>
  <si>
    <t>Pasadena</t>
  </si>
  <si>
    <t>Pomona</t>
  </si>
  <si>
    <t>Rancho Cucamonga</t>
  </si>
  <si>
    <t>Richmond</t>
  </si>
  <si>
    <t>Riverside</t>
  </si>
  <si>
    <t>Roseville</t>
  </si>
  <si>
    <t>Sacramento</t>
  </si>
  <si>
    <t>Salinas</t>
  </si>
  <si>
    <t>San Bernardino</t>
  </si>
  <si>
    <t>Ventura</t>
  </si>
  <si>
    <t>San Diego</t>
  </si>
  <si>
    <t>San Francisco</t>
  </si>
  <si>
    <t>San Jose</t>
  </si>
  <si>
    <t>Santa Ana</t>
  </si>
  <si>
    <t>Santa Clara</t>
  </si>
  <si>
    <t>Santa Clarita</t>
  </si>
  <si>
    <t>Santa Rosa</t>
  </si>
  <si>
    <t>Simi Valley</t>
  </si>
  <si>
    <t>Stockton</t>
  </si>
  <si>
    <t>Sunnyvale</t>
  </si>
  <si>
    <t>Thousand Oaks</t>
  </si>
  <si>
    <t>Torrance</t>
  </si>
  <si>
    <t>Vallejo</t>
  </si>
  <si>
    <t>Visalia</t>
  </si>
  <si>
    <t>West Covina</t>
  </si>
  <si>
    <t>Arvada</t>
  </si>
  <si>
    <t>Aurora</t>
  </si>
  <si>
    <t>Colorado Springs</t>
  </si>
  <si>
    <t>Denver</t>
  </si>
  <si>
    <t>Fort Collins</t>
  </si>
  <si>
    <t>Lakewood</t>
  </si>
  <si>
    <t>Pueblo</t>
  </si>
  <si>
    <t>Thornton</t>
  </si>
  <si>
    <t>Westminster</t>
  </si>
  <si>
    <t>Bridgeport</t>
  </si>
  <si>
    <t>Hartford</t>
  </si>
  <si>
    <t>New Haven</t>
  </si>
  <si>
    <t>Stamford</t>
  </si>
  <si>
    <t>Waterbury</t>
  </si>
  <si>
    <t>Washington</t>
  </si>
  <si>
    <t>Cape Coral</t>
  </si>
  <si>
    <t>Clearwater</t>
  </si>
  <si>
    <t>Coral Springs</t>
  </si>
  <si>
    <t>Fort Lauderdale</t>
  </si>
  <si>
    <t>Gainesville</t>
  </si>
  <si>
    <t>Hialeah</t>
  </si>
  <si>
    <t>Hollywood</t>
  </si>
  <si>
    <t>Jacksonville</t>
  </si>
  <si>
    <t>Miami</t>
  </si>
  <si>
    <t>Miramar</t>
  </si>
  <si>
    <t>Orlando</t>
  </si>
  <si>
    <t>Pembroke Pines</t>
  </si>
  <si>
    <t>Pompano Beach</t>
  </si>
  <si>
    <t>Port St. Lucie</t>
  </si>
  <si>
    <t>St. Petersburg</t>
  </si>
  <si>
    <t>Tallahassee</t>
  </si>
  <si>
    <t>Tampa</t>
  </si>
  <si>
    <t>Athens</t>
  </si>
  <si>
    <t>Atlanta</t>
  </si>
  <si>
    <t>Augusta</t>
  </si>
  <si>
    <t>Columbus</t>
  </si>
  <si>
    <t>Savannah</t>
  </si>
  <si>
    <t>Honolulu</t>
  </si>
  <si>
    <t>Boise</t>
  </si>
  <si>
    <t>Chicago</t>
  </si>
  <si>
    <t>Joliet</t>
  </si>
  <si>
    <t>Naperville</t>
  </si>
  <si>
    <t>Rockford</t>
  </si>
  <si>
    <t>Springfield</t>
  </si>
  <si>
    <t>Evansville</t>
  </si>
  <si>
    <t>Fort Wayne</t>
  </si>
  <si>
    <t>Indianapolis</t>
  </si>
  <si>
    <t>South Bend</t>
  </si>
  <si>
    <t>Cedar Rapids</t>
  </si>
  <si>
    <t>Des Moines</t>
  </si>
  <si>
    <t>Kansas City</t>
  </si>
  <si>
    <t>Olathe</t>
  </si>
  <si>
    <t>Overland Park</t>
  </si>
  <si>
    <t>Topeka</t>
  </si>
  <si>
    <t>Wichita</t>
  </si>
  <si>
    <t>Lexington</t>
  </si>
  <si>
    <t>Louisville</t>
  </si>
  <si>
    <t>Baton Rouge</t>
  </si>
  <si>
    <t>Lafayette</t>
  </si>
  <si>
    <t>New Orleans</t>
  </si>
  <si>
    <t>Shreveport</t>
  </si>
  <si>
    <t>Baltimore</t>
  </si>
  <si>
    <t>Boston</t>
  </si>
  <si>
    <t>Cambridge</t>
  </si>
  <si>
    <t>Lowell</t>
  </si>
  <si>
    <t>Worcester</t>
  </si>
  <si>
    <t>Ann Arbor</t>
  </si>
  <si>
    <t>Detroit</t>
  </si>
  <si>
    <t>Flint</t>
  </si>
  <si>
    <t>Grand Rapids</t>
  </si>
  <si>
    <t>Lansing</t>
  </si>
  <si>
    <t>Sterling Heights</t>
  </si>
  <si>
    <t>Warren</t>
  </si>
  <si>
    <t>Minneapolis</t>
  </si>
  <si>
    <t>St. Paul</t>
  </si>
  <si>
    <t>Jackson</t>
  </si>
  <si>
    <t>Independence</t>
  </si>
  <si>
    <t>St. Louis</t>
  </si>
  <si>
    <t>Lincoln</t>
  </si>
  <si>
    <t>Omaha</t>
  </si>
  <si>
    <t>Henderson</t>
  </si>
  <si>
    <t>Las Vegas</t>
  </si>
  <si>
    <t>North Las Vegas</t>
  </si>
  <si>
    <t>Reno</t>
  </si>
  <si>
    <t>Manchester</t>
  </si>
  <si>
    <t>Elizabeth</t>
  </si>
  <si>
    <t>Jersey City</t>
  </si>
  <si>
    <t>Newark</t>
  </si>
  <si>
    <t>Paterson</t>
  </si>
  <si>
    <t>Albuquerque</t>
  </si>
  <si>
    <t>Buffalo</t>
  </si>
  <si>
    <t>New York</t>
  </si>
  <si>
    <t>Rochester</t>
  </si>
  <si>
    <t>Syracuse</t>
  </si>
  <si>
    <t>Yonkers</t>
  </si>
  <si>
    <t>Cary</t>
  </si>
  <si>
    <t>Charlotte</t>
  </si>
  <si>
    <t>Durham</t>
  </si>
  <si>
    <t>Fayetteville</t>
  </si>
  <si>
    <t>Greensboro</t>
  </si>
  <si>
    <t>Raleigh</t>
  </si>
  <si>
    <t>Winston</t>
  </si>
  <si>
    <t>Akron</t>
  </si>
  <si>
    <t>Cincinnati</t>
  </si>
  <si>
    <t>Cleveland</t>
  </si>
  <si>
    <t>Dayton</t>
  </si>
  <si>
    <t>Toledo</t>
  </si>
  <si>
    <t>Norman</t>
  </si>
  <si>
    <t>Oklahoma City</t>
  </si>
  <si>
    <t>Tulsa</t>
  </si>
  <si>
    <t>Eugene</t>
  </si>
  <si>
    <t>Portland</t>
  </si>
  <si>
    <t>Salem</t>
  </si>
  <si>
    <t>Allentown</t>
  </si>
  <si>
    <t>Erie</t>
  </si>
  <si>
    <t>Philadelphia</t>
  </si>
  <si>
    <t>Pittsburgh</t>
  </si>
  <si>
    <t>Providence</t>
  </si>
  <si>
    <t>Charleston</t>
  </si>
  <si>
    <t>Columbia</t>
  </si>
  <si>
    <t>Sioux Falls</t>
  </si>
  <si>
    <t>Chattanooga</t>
  </si>
  <si>
    <t>Clarksville</t>
  </si>
  <si>
    <t>Knoxville</t>
  </si>
  <si>
    <t>Memphis</t>
  </si>
  <si>
    <t>Nashville</t>
  </si>
  <si>
    <t>Abilene</t>
  </si>
  <si>
    <t>Amarillo</t>
  </si>
  <si>
    <t>Arlington</t>
  </si>
  <si>
    <t>Austin</t>
  </si>
  <si>
    <t>Beaumont</t>
  </si>
  <si>
    <t>Brownsville</t>
  </si>
  <si>
    <t>Carrollton</t>
  </si>
  <si>
    <t>Corpus Christi</t>
  </si>
  <si>
    <t>Dallas</t>
  </si>
  <si>
    <t>Denton</t>
  </si>
  <si>
    <t>El Paso</t>
  </si>
  <si>
    <t>Fort Worth</t>
  </si>
  <si>
    <t>Garland</t>
  </si>
  <si>
    <t>Grand Prairie</t>
  </si>
  <si>
    <t>Houston</t>
  </si>
  <si>
    <t>Irving</t>
  </si>
  <si>
    <t>Killeen</t>
  </si>
  <si>
    <t>Laredo</t>
  </si>
  <si>
    <t>Lubbock</t>
  </si>
  <si>
    <t>McAllen</t>
  </si>
  <si>
    <t>Mesquite</t>
  </si>
  <si>
    <t>Plano</t>
  </si>
  <si>
    <t>San Antonio</t>
  </si>
  <si>
    <t>Waco</t>
  </si>
  <si>
    <t>Salt Lake City</t>
  </si>
  <si>
    <t>West Valley City</t>
  </si>
  <si>
    <t>Alexandria</t>
  </si>
  <si>
    <t>Arlington CDP</t>
  </si>
  <si>
    <t>Chesapeake</t>
  </si>
  <si>
    <t>Hampton</t>
  </si>
  <si>
    <t>Newport News</t>
  </si>
  <si>
    <t>Norfolk</t>
  </si>
  <si>
    <t>Portsmouth</t>
  </si>
  <si>
    <t>Virginia Beach</t>
  </si>
  <si>
    <t>Bellevue</t>
  </si>
  <si>
    <t>Seattle</t>
  </si>
  <si>
    <t>Spokane</t>
  </si>
  <si>
    <t>Tacoma</t>
  </si>
  <si>
    <t>Vancouver</t>
  </si>
  <si>
    <t>Green Bay</t>
  </si>
  <si>
    <t>Madison</t>
  </si>
  <si>
    <t>Milwaukee</t>
  </si>
  <si>
    <t>Alabama</t>
  </si>
  <si>
    <t>Alaska</t>
  </si>
  <si>
    <t>Arizona</t>
  </si>
  <si>
    <t>Arkansas</t>
  </si>
  <si>
    <t>California</t>
  </si>
  <si>
    <t>Colorado</t>
  </si>
  <si>
    <t>Connecticut</t>
  </si>
  <si>
    <t>D.C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</si>
  <si>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</si>
  <si>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</si>
  <si>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</si>
  <si>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</si>
  <si>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</si>
  <si>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</si>
  <si>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</si>
  <si>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</si>
  <si>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</si>
  <si>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</si>
  <si>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</si>
  <si>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</si>
  <si>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</si>
  <si>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</si>
  <si>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</si>
  <si>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</si>
  <si>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</si>
  <si>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</si>
  <si>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</si>
  <si>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</si>
  <si>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</si>
  <si>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</si>
  <si>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</si>
  <si>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</si>
  <si>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</si>
  <si>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</si>
  <si>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</si>
  <si>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</si>
  <si>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</si>
  <si>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</si>
  <si>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</si>
  <si>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</si>
  <si>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Virginia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</si>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</sst>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byui-my.sharepoint.com/personal/kbp209_byui_edu/Documents/BA215/Commission%20Model%20-%20k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al"/>
      <sheetName val="Revised"/>
      <sheetName val="Calculations"/>
      <sheetName val="Plan"/>
    </sheetNames>
    <sheetDataSet>
      <sheetData sheetId="0">
        <row r="4">
          <cell r="J4" t="str">
            <v>Commissions</v>
          </cell>
        </row>
      </sheetData>
      <sheetData sheetId="1">
        <row r="8">
          <cell r="B8">
            <v>0</v>
          </cell>
          <cell r="E8">
            <v>0.01</v>
          </cell>
        </row>
        <row r="9">
          <cell r="B9">
            <v>600000</v>
          </cell>
          <cell r="E9">
            <v>1.4999999999999999E-2</v>
          </cell>
        </row>
        <row r="10">
          <cell r="B10">
            <v>750000</v>
          </cell>
          <cell r="E10">
            <v>0.02</v>
          </cell>
        </row>
        <row r="11">
          <cell r="B11">
            <v>1000000</v>
          </cell>
          <cell r="E11">
            <v>2.5000000000000001E-2</v>
          </cell>
        </row>
        <row r="12">
          <cell r="B12">
            <v>1500000</v>
          </cell>
          <cell r="E12">
            <v>0.03</v>
          </cell>
        </row>
        <row r="13">
          <cell r="B13">
            <v>2000000</v>
          </cell>
          <cell r="E13">
            <v>0.05</v>
          </cell>
        </row>
      </sheetData>
      <sheetData sheetId="2">
        <row r="3">
          <cell r="B3">
            <v>500000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YUI Colors">
      <a:dk1>
        <a:sysClr val="windowText" lastClr="000000"/>
      </a:dk1>
      <a:lt1>
        <a:sysClr val="window" lastClr="FFFFFF"/>
      </a:lt1>
      <a:dk2>
        <a:srgbClr val="006EB6"/>
      </a:dk2>
      <a:lt2>
        <a:srgbClr val="8DD3EE"/>
      </a:lt2>
      <a:accent1>
        <a:srgbClr val="80C140"/>
      </a:accent1>
      <a:accent2>
        <a:srgbClr val="A5216F"/>
      </a:accent2>
      <a:accent3>
        <a:srgbClr val="E42226"/>
      </a:accent3>
      <a:accent4>
        <a:srgbClr val="F7941D"/>
      </a:accent4>
      <a:accent5>
        <a:srgbClr val="FFE066"/>
      </a:accent5>
      <a:accent6>
        <a:srgbClr val="ADADAD"/>
      </a:accent6>
      <a:hlink>
        <a:srgbClr val="006EB6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09E7-4C3C-4662-93E5-538B26B063F3}">
  <sheetPr codeName="Sheet21"/>
  <dimension ref="B2:D255"/>
  <sheetViews>
    <sheetView workbookViewId="0"/>
  </sheetViews>
  <sheetFormatPr defaultColWidth="10.59765625" defaultRowHeight="20.100000000000001" customHeight="1" x14ac:dyDescent="0.25"/>
  <cols>
    <col min="1" max="1" width="10.59765625" style="1"/>
    <col min="2" max="2" width="32.19921875" style="1" bestFit="1" customWidth="1"/>
    <col min="3" max="16384" width="10.59765625" style="1"/>
  </cols>
  <sheetData>
    <row r="2" spans="2:4" ht="20.100000000000001" customHeight="1" x14ac:dyDescent="0.25">
      <c r="B2" s="1" t="s">
        <v>0</v>
      </c>
      <c r="C2" s="1" t="s">
        <v>1</v>
      </c>
      <c r="D2" s="1" t="s">
        <v>2</v>
      </c>
    </row>
    <row r="3" spans="2:4" ht="20.100000000000001" customHeight="1" x14ac:dyDescent="0.25">
      <c r="B3" s="1" t="s">
        <v>22</v>
      </c>
      <c r="C3" s="1">
        <v>231483</v>
      </c>
      <c r="D3" s="1">
        <v>79</v>
      </c>
    </row>
    <row r="4" spans="2:4" ht="20.100000000000001" customHeight="1" x14ac:dyDescent="0.25">
      <c r="B4" s="1" t="s">
        <v>23</v>
      </c>
      <c r="C4" s="1">
        <v>166313</v>
      </c>
      <c r="D4" s="1">
        <v>134</v>
      </c>
    </row>
    <row r="5" spans="2:4" ht="20.100000000000001" customHeight="1" x14ac:dyDescent="0.25">
      <c r="B5" s="1" t="s">
        <v>24</v>
      </c>
      <c r="C5" s="1">
        <v>191544</v>
      </c>
      <c r="D5" s="1">
        <v>112</v>
      </c>
    </row>
    <row r="6" spans="2:4" ht="20.100000000000001" customHeight="1" x14ac:dyDescent="0.25">
      <c r="B6" s="1" t="s">
        <v>25</v>
      </c>
      <c r="C6" s="1">
        <v>200127</v>
      </c>
      <c r="D6" s="1">
        <v>97</v>
      </c>
    </row>
    <row r="7" spans="2:4" ht="20.100000000000001" customHeight="1" x14ac:dyDescent="0.25">
      <c r="B7" s="1" t="s">
        <v>26</v>
      </c>
      <c r="C7" s="1">
        <v>275043</v>
      </c>
      <c r="D7" s="1">
        <v>68</v>
      </c>
    </row>
    <row r="8" spans="2:4" ht="20.100000000000001" customHeight="1" x14ac:dyDescent="0.25">
      <c r="B8" s="1" t="s">
        <v>27</v>
      </c>
      <c r="C8" s="1">
        <v>234939</v>
      </c>
      <c r="D8" s="1">
        <v>75</v>
      </c>
    </row>
    <row r="9" spans="2:4" ht="20.100000000000001" customHeight="1" x14ac:dyDescent="0.25">
      <c r="B9" s="1" t="s">
        <v>28</v>
      </c>
      <c r="C9" s="1">
        <v>173989</v>
      </c>
      <c r="D9" s="1">
        <v>127</v>
      </c>
    </row>
    <row r="10" spans="2:4" ht="20.100000000000001" customHeight="1" x14ac:dyDescent="0.25">
      <c r="B10" s="1" t="s">
        <v>29</v>
      </c>
      <c r="C10" s="1">
        <v>239435</v>
      </c>
      <c r="D10" s="1">
        <v>73</v>
      </c>
    </row>
    <row r="11" spans="2:4" ht="20.100000000000001" customHeight="1" x14ac:dyDescent="0.25">
      <c r="B11" s="1" t="s">
        <v>30</v>
      </c>
      <c r="C11" s="1">
        <v>442780</v>
      </c>
      <c r="D11" s="1">
        <v>41</v>
      </c>
    </row>
    <row r="12" spans="2:4" ht="20.100000000000001" customHeight="1" x14ac:dyDescent="0.25">
      <c r="B12" s="1" t="s">
        <v>31</v>
      </c>
      <c r="C12" s="1">
        <v>138200</v>
      </c>
      <c r="D12" s="1">
        <v>169</v>
      </c>
    </row>
    <row r="13" spans="2:4" ht="20.100000000000001" customHeight="1" x14ac:dyDescent="0.25">
      <c r="B13" s="1" t="s">
        <v>32</v>
      </c>
      <c r="C13" s="1">
        <v>1461575</v>
      </c>
      <c r="D13" s="1">
        <v>6</v>
      </c>
    </row>
    <row r="14" spans="2:4" ht="20.100000000000001" customHeight="1" x14ac:dyDescent="0.25">
      <c r="B14" s="1" t="s">
        <v>33</v>
      </c>
      <c r="C14" s="1">
        <v>226013</v>
      </c>
      <c r="D14" s="1">
        <v>80</v>
      </c>
    </row>
    <row r="15" spans="2:4" ht="20.100000000000001" customHeight="1" x14ac:dyDescent="0.25">
      <c r="B15" s="1" t="s">
        <v>34</v>
      </c>
      <c r="C15" s="1">
        <v>161143</v>
      </c>
      <c r="D15" s="1">
        <v>139</v>
      </c>
    </row>
    <row r="16" spans="2:4" ht="20.100000000000001" customHeight="1" x14ac:dyDescent="0.25">
      <c r="B16" s="1" t="s">
        <v>35</v>
      </c>
      <c r="C16" s="1">
        <v>515526</v>
      </c>
      <c r="D16" s="1">
        <v>32</v>
      </c>
    </row>
    <row r="17" spans="2:4" ht="20.100000000000001" customHeight="1" x14ac:dyDescent="0.25">
      <c r="B17" s="1" t="s">
        <v>36</v>
      </c>
      <c r="C17" s="1">
        <v>184564</v>
      </c>
      <c r="D17" s="1">
        <v>116</v>
      </c>
    </row>
    <row r="18" spans="2:4" ht="20.100000000000001" customHeight="1" x14ac:dyDescent="0.25">
      <c r="B18" s="1" t="s">
        <v>37</v>
      </c>
      <c r="C18" s="1">
        <v>331804</v>
      </c>
      <c r="D18" s="1">
        <v>55</v>
      </c>
    </row>
    <row r="19" spans="2:4" ht="20.100000000000001" customHeight="1" x14ac:dyDescent="0.25">
      <c r="B19" s="1" t="s">
        <v>38</v>
      </c>
      <c r="C19" s="1">
        <v>100631</v>
      </c>
      <c r="D19" s="1">
        <v>249</v>
      </c>
    </row>
    <row r="20" spans="2:4" ht="20.100000000000001" customHeight="1" x14ac:dyDescent="0.25">
      <c r="B20" s="1" t="s">
        <v>39</v>
      </c>
      <c r="C20" s="1">
        <v>295536</v>
      </c>
      <c r="D20" s="1">
        <v>61</v>
      </c>
    </row>
    <row r="21" spans="2:4" ht="20.100000000000001" customHeight="1" x14ac:dyDescent="0.25">
      <c r="B21" s="1" t="s">
        <v>40</v>
      </c>
      <c r="C21" s="1">
        <v>100744</v>
      </c>
      <c r="D21" s="1">
        <v>248</v>
      </c>
    </row>
    <row r="22" spans="2:4" ht="20.100000000000001" customHeight="1" x14ac:dyDescent="0.25">
      <c r="B22" s="1" t="s">
        <v>41</v>
      </c>
      <c r="C22" s="1">
        <v>104108</v>
      </c>
      <c r="D22" s="1">
        <v>238</v>
      </c>
    </row>
    <row r="23" spans="2:4" ht="20.100000000000001" customHeight="1" x14ac:dyDescent="0.25">
      <c r="B23" s="1" t="s">
        <v>42</v>
      </c>
      <c r="C23" s="1">
        <v>210497</v>
      </c>
      <c r="D23" s="1">
        <v>90</v>
      </c>
    </row>
    <row r="24" spans="2:4" ht="20.100000000000001" customHeight="1" x14ac:dyDescent="0.25">
      <c r="B24" s="1" t="s">
        <v>43</v>
      </c>
      <c r="C24" s="1">
        <v>123252</v>
      </c>
      <c r="D24" s="1">
        <v>191</v>
      </c>
    </row>
    <row r="25" spans="2:4" ht="20.100000000000001" customHeight="1" x14ac:dyDescent="0.25">
      <c r="B25" s="1" t="s">
        <v>44</v>
      </c>
      <c r="C25" s="1">
        <v>149387</v>
      </c>
      <c r="D25" s="1">
        <v>151</v>
      </c>
    </row>
    <row r="26" spans="2:4" ht="20.100000000000001" customHeight="1" x14ac:dyDescent="0.25">
      <c r="B26" s="1" t="s">
        <v>45</v>
      </c>
      <c r="C26" s="1">
        <v>109830</v>
      </c>
      <c r="D26" s="1">
        <v>217</v>
      </c>
    </row>
    <row r="27" spans="2:4" ht="20.100000000000001" customHeight="1" x14ac:dyDescent="0.25">
      <c r="B27" s="1" t="s">
        <v>46</v>
      </c>
      <c r="C27" s="1">
        <v>100339</v>
      </c>
      <c r="D27" s="1">
        <v>250</v>
      </c>
    </row>
    <row r="28" spans="2:4" ht="20.100000000000001" customHeight="1" x14ac:dyDescent="0.25">
      <c r="B28" s="1" t="s">
        <v>47</v>
      </c>
      <c r="C28" s="1">
        <v>109718</v>
      </c>
      <c r="D28" s="1">
        <v>218</v>
      </c>
    </row>
    <row r="29" spans="2:4" ht="20.100000000000001" customHeight="1" x14ac:dyDescent="0.25">
      <c r="B29" s="1" t="s">
        <v>48</v>
      </c>
      <c r="C29" s="1">
        <v>122513</v>
      </c>
      <c r="D29" s="1">
        <v>193</v>
      </c>
    </row>
    <row r="30" spans="2:4" ht="20.100000000000001" customHeight="1" x14ac:dyDescent="0.25">
      <c r="B30" s="1" t="s">
        <v>49</v>
      </c>
      <c r="C30" s="1">
        <v>112338</v>
      </c>
      <c r="D30" s="1">
        <v>212</v>
      </c>
    </row>
    <row r="31" spans="2:4" ht="20.100000000000001" customHeight="1" x14ac:dyDescent="0.25">
      <c r="B31" s="1" t="s">
        <v>50</v>
      </c>
      <c r="C31" s="1">
        <v>134085</v>
      </c>
      <c r="D31" s="1">
        <v>175</v>
      </c>
    </row>
    <row r="32" spans="2:4" ht="20.100000000000001" customHeight="1" x14ac:dyDescent="0.25">
      <c r="B32" s="1" t="s">
        <v>51</v>
      </c>
      <c r="C32" s="1">
        <v>104476</v>
      </c>
      <c r="D32" s="1">
        <v>235</v>
      </c>
    </row>
    <row r="33" spans="2:4" ht="20.100000000000001" customHeight="1" x14ac:dyDescent="0.25">
      <c r="B33" s="1" t="s">
        <v>52</v>
      </c>
      <c r="C33" s="1">
        <v>163860</v>
      </c>
      <c r="D33" s="1">
        <v>138</v>
      </c>
    </row>
    <row r="34" spans="2:4" ht="20.100000000000001" customHeight="1" x14ac:dyDescent="0.25">
      <c r="B34" s="1" t="s">
        <v>53</v>
      </c>
      <c r="C34" s="1">
        <v>200468</v>
      </c>
      <c r="D34" s="1">
        <v>96</v>
      </c>
    </row>
    <row r="35" spans="2:4" ht="20.100000000000001" customHeight="1" x14ac:dyDescent="0.25">
      <c r="B35" s="1" t="s">
        <v>54</v>
      </c>
      <c r="C35" s="1">
        <v>461116</v>
      </c>
      <c r="D35" s="1">
        <v>36</v>
      </c>
    </row>
    <row r="36" spans="2:4" ht="20.100000000000001" customHeight="1" x14ac:dyDescent="0.25">
      <c r="B36" s="1" t="s">
        <v>55</v>
      </c>
      <c r="C36" s="1">
        <v>132787</v>
      </c>
      <c r="D36" s="1">
        <v>177</v>
      </c>
    </row>
    <row r="37" spans="2:4" ht="20.100000000000001" customHeight="1" x14ac:dyDescent="0.25">
      <c r="B37" s="1" t="s">
        <v>56</v>
      </c>
      <c r="C37" s="1">
        <v>166075</v>
      </c>
      <c r="D37" s="1">
        <v>136</v>
      </c>
    </row>
    <row r="38" spans="2:4" ht="20.100000000000001" customHeight="1" x14ac:dyDescent="0.25">
      <c r="B38" s="1" t="s">
        <v>57</v>
      </c>
      <c r="C38" s="1">
        <v>200065</v>
      </c>
      <c r="D38" s="1">
        <v>98</v>
      </c>
    </row>
    <row r="39" spans="2:4" ht="20.100000000000001" customHeight="1" x14ac:dyDescent="0.25">
      <c r="B39" s="1" t="s">
        <v>58</v>
      </c>
      <c r="C39" s="1">
        <v>140293</v>
      </c>
      <c r="D39" s="1">
        <v>165</v>
      </c>
    </row>
    <row r="40" spans="2:4" ht="20.100000000000001" customHeight="1" x14ac:dyDescent="0.25">
      <c r="B40" s="1" t="s">
        <v>59</v>
      </c>
      <c r="C40" s="1">
        <v>194457</v>
      </c>
      <c r="D40" s="1">
        <v>105</v>
      </c>
    </row>
    <row r="41" spans="2:4" ht="20.100000000000001" customHeight="1" x14ac:dyDescent="0.25">
      <c r="B41" s="1" t="s">
        <v>60</v>
      </c>
      <c r="C41" s="1">
        <v>114467</v>
      </c>
      <c r="D41" s="1">
        <v>207</v>
      </c>
    </row>
    <row r="42" spans="2:4" ht="20.100000000000001" customHeight="1" x14ac:dyDescent="0.25">
      <c r="B42" s="1" t="s">
        <v>61</v>
      </c>
      <c r="C42" s="1">
        <v>186852</v>
      </c>
      <c r="D42" s="1">
        <v>114</v>
      </c>
    </row>
    <row r="43" spans="2:4" ht="20.100000000000001" customHeight="1" x14ac:dyDescent="0.25">
      <c r="B43" s="1" t="s">
        <v>62</v>
      </c>
      <c r="C43" s="1">
        <v>134032</v>
      </c>
      <c r="D43" s="1">
        <v>176</v>
      </c>
    </row>
    <row r="44" spans="2:4" ht="20.100000000000001" customHeight="1" x14ac:dyDescent="0.25">
      <c r="B44" s="1" t="s">
        <v>63</v>
      </c>
      <c r="C44" s="1">
        <v>474014</v>
      </c>
      <c r="D44" s="1">
        <v>34</v>
      </c>
    </row>
    <row r="45" spans="2:4" ht="20.100000000000001" customHeight="1" x14ac:dyDescent="0.25">
      <c r="B45" s="1" t="s">
        <v>64</v>
      </c>
      <c r="C45" s="1">
        <v>3844829</v>
      </c>
      <c r="D45" s="1">
        <v>2</v>
      </c>
    </row>
    <row r="46" spans="2:4" ht="20.100000000000001" customHeight="1" x14ac:dyDescent="0.25">
      <c r="B46" s="1" t="s">
        <v>65</v>
      </c>
      <c r="C46" s="1">
        <v>207011</v>
      </c>
      <c r="D46" s="1">
        <v>93</v>
      </c>
    </row>
    <row r="47" spans="2:4" ht="20.100000000000001" customHeight="1" x14ac:dyDescent="0.25">
      <c r="B47" s="1" t="s">
        <v>66</v>
      </c>
      <c r="C47" s="1">
        <v>178367</v>
      </c>
      <c r="D47" s="1">
        <v>121</v>
      </c>
    </row>
    <row r="48" spans="2:4" ht="20.100000000000001" customHeight="1" x14ac:dyDescent="0.25">
      <c r="B48" s="1" t="s">
        <v>67</v>
      </c>
      <c r="C48" s="1">
        <v>105834</v>
      </c>
      <c r="D48" s="1">
        <v>230</v>
      </c>
    </row>
    <row r="49" spans="2:4" ht="20.100000000000001" customHeight="1" x14ac:dyDescent="0.25">
      <c r="B49" s="1" t="s">
        <v>68</v>
      </c>
      <c r="C49" s="1">
        <v>395274</v>
      </c>
      <c r="D49" s="1">
        <v>44</v>
      </c>
    </row>
    <row r="50" spans="2:4" ht="20.100000000000001" customHeight="1" x14ac:dyDescent="0.25">
      <c r="B50" s="1" t="s">
        <v>69</v>
      </c>
      <c r="C50" s="1">
        <v>166108</v>
      </c>
      <c r="D50" s="1">
        <v>135</v>
      </c>
    </row>
    <row r="51" spans="2:4" ht="20.100000000000001" customHeight="1" x14ac:dyDescent="0.25">
      <c r="B51" s="1" t="s">
        <v>70</v>
      </c>
      <c r="C51" s="1">
        <v>172679</v>
      </c>
      <c r="D51" s="1">
        <v>128</v>
      </c>
    </row>
    <row r="52" spans="2:4" ht="20.100000000000001" customHeight="1" x14ac:dyDescent="0.25">
      <c r="B52" s="1" t="s">
        <v>71</v>
      </c>
      <c r="C52" s="1">
        <v>134950</v>
      </c>
      <c r="D52" s="1">
        <v>173</v>
      </c>
    </row>
    <row r="53" spans="2:4" ht="20.100000000000001" customHeight="1" x14ac:dyDescent="0.25">
      <c r="B53" s="1" t="s">
        <v>72</v>
      </c>
      <c r="C53" s="1">
        <v>183628</v>
      </c>
      <c r="D53" s="1">
        <v>117</v>
      </c>
    </row>
    <row r="54" spans="2:4" ht="20.100000000000001" customHeight="1" x14ac:dyDescent="0.25">
      <c r="B54" s="1" t="s">
        <v>73</v>
      </c>
      <c r="C54" s="1">
        <v>134570</v>
      </c>
      <c r="D54" s="1">
        <v>174</v>
      </c>
    </row>
    <row r="55" spans="2:4" ht="20.100000000000001" customHeight="1" x14ac:dyDescent="0.25">
      <c r="B55" s="1" t="s">
        <v>74</v>
      </c>
      <c r="C55" s="1">
        <v>143731</v>
      </c>
      <c r="D55" s="1">
        <v>160</v>
      </c>
    </row>
    <row r="56" spans="2:4" ht="20.100000000000001" customHeight="1" x14ac:dyDescent="0.25">
      <c r="B56" s="1" t="s">
        <v>75</v>
      </c>
      <c r="C56" s="1">
        <v>153787</v>
      </c>
      <c r="D56" s="1">
        <v>144</v>
      </c>
    </row>
    <row r="57" spans="2:4" ht="20.100000000000001" customHeight="1" x14ac:dyDescent="0.25">
      <c r="B57" s="1" t="s">
        <v>76</v>
      </c>
      <c r="C57" s="1">
        <v>169353</v>
      </c>
      <c r="D57" s="1">
        <v>129</v>
      </c>
    </row>
    <row r="58" spans="2:4" ht="20.100000000000001" customHeight="1" x14ac:dyDescent="0.25">
      <c r="B58" s="1" t="s">
        <v>77</v>
      </c>
      <c r="C58" s="1">
        <v>102186</v>
      </c>
      <c r="D58" s="1">
        <v>245</v>
      </c>
    </row>
    <row r="59" spans="2:4" ht="20.100000000000001" customHeight="1" x14ac:dyDescent="0.25">
      <c r="B59" s="1" t="s">
        <v>78</v>
      </c>
      <c r="C59" s="1">
        <v>290086</v>
      </c>
      <c r="D59" s="1">
        <v>62</v>
      </c>
    </row>
    <row r="60" spans="2:4" ht="20.100000000000001" customHeight="1" x14ac:dyDescent="0.25">
      <c r="B60" s="1" t="s">
        <v>79</v>
      </c>
      <c r="C60" s="1">
        <v>105940</v>
      </c>
      <c r="D60" s="1">
        <v>229</v>
      </c>
    </row>
    <row r="61" spans="2:4" ht="20.100000000000001" customHeight="1" x14ac:dyDescent="0.25">
      <c r="B61" s="1" t="s">
        <v>80</v>
      </c>
      <c r="C61" s="1">
        <v>456441</v>
      </c>
      <c r="D61" s="1">
        <v>37</v>
      </c>
    </row>
    <row r="62" spans="2:4" ht="20.100000000000001" customHeight="1" x14ac:dyDescent="0.25">
      <c r="B62" s="1" t="s">
        <v>81</v>
      </c>
      <c r="C62" s="1">
        <v>146431</v>
      </c>
      <c r="D62" s="1">
        <v>153</v>
      </c>
    </row>
    <row r="63" spans="2:4" ht="20.100000000000001" customHeight="1" x14ac:dyDescent="0.25">
      <c r="B63" s="1" t="s">
        <v>82</v>
      </c>
      <c r="C63" s="1">
        <v>198550</v>
      </c>
      <c r="D63" s="1">
        <v>100</v>
      </c>
    </row>
    <row r="64" spans="2:4" ht="20.100000000000001" customHeight="1" x14ac:dyDescent="0.25">
      <c r="B64" s="1" t="s">
        <v>83</v>
      </c>
      <c r="C64" s="1">
        <v>104017</v>
      </c>
      <c r="D64" s="1">
        <v>239</v>
      </c>
    </row>
    <row r="65" spans="2:4" ht="20.100000000000001" customHeight="1" x14ac:dyDescent="0.25">
      <c r="B65" s="1" t="s">
        <v>84</v>
      </c>
      <c r="C65" s="1">
        <v>1255540</v>
      </c>
      <c r="D65" s="1">
        <v>8</v>
      </c>
    </row>
    <row r="66" spans="2:4" ht="20.100000000000001" customHeight="1" x14ac:dyDescent="0.25">
      <c r="B66" s="1" t="s">
        <v>85</v>
      </c>
      <c r="C66" s="1">
        <v>739426</v>
      </c>
      <c r="D66" s="1">
        <v>14</v>
      </c>
    </row>
    <row r="67" spans="2:4" ht="20.100000000000001" customHeight="1" x14ac:dyDescent="0.25">
      <c r="B67" s="1" t="s">
        <v>86</v>
      </c>
      <c r="C67" s="1">
        <v>912332</v>
      </c>
      <c r="D67" s="1">
        <v>10</v>
      </c>
    </row>
    <row r="68" spans="2:4" ht="20.100000000000001" customHeight="1" x14ac:dyDescent="0.25">
      <c r="B68" s="1" t="s">
        <v>87</v>
      </c>
      <c r="C68" s="1">
        <v>340368</v>
      </c>
      <c r="D68" s="1">
        <v>54</v>
      </c>
    </row>
    <row r="69" spans="2:4" ht="20.100000000000001" customHeight="1" x14ac:dyDescent="0.25">
      <c r="B69" s="1" t="s">
        <v>88</v>
      </c>
      <c r="C69" s="1">
        <v>105402</v>
      </c>
      <c r="D69" s="1">
        <v>231</v>
      </c>
    </row>
    <row r="70" spans="2:4" ht="20.100000000000001" customHeight="1" x14ac:dyDescent="0.25">
      <c r="B70" s="1" t="s">
        <v>89</v>
      </c>
      <c r="C70" s="1">
        <v>168253</v>
      </c>
      <c r="D70" s="1">
        <v>130</v>
      </c>
    </row>
    <row r="71" spans="2:4" ht="20.100000000000001" customHeight="1" x14ac:dyDescent="0.25">
      <c r="B71" s="1" t="s">
        <v>90</v>
      </c>
      <c r="C71" s="1">
        <v>153158</v>
      </c>
      <c r="D71" s="1">
        <v>145</v>
      </c>
    </row>
    <row r="72" spans="2:4" ht="20.100000000000001" customHeight="1" x14ac:dyDescent="0.25">
      <c r="B72" s="1" t="s">
        <v>91</v>
      </c>
      <c r="C72" s="1">
        <v>118687</v>
      </c>
      <c r="D72" s="1">
        <v>198</v>
      </c>
    </row>
    <row r="73" spans="2:4" ht="20.100000000000001" customHeight="1" x14ac:dyDescent="0.25">
      <c r="B73" s="1" t="s">
        <v>92</v>
      </c>
      <c r="C73" s="1">
        <v>286926</v>
      </c>
      <c r="D73" s="1">
        <v>63</v>
      </c>
    </row>
    <row r="74" spans="2:4" ht="20.100000000000001" customHeight="1" x14ac:dyDescent="0.25">
      <c r="B74" s="1" t="s">
        <v>93</v>
      </c>
      <c r="C74" s="1">
        <v>128902</v>
      </c>
      <c r="D74" s="1">
        <v>181</v>
      </c>
    </row>
    <row r="75" spans="2:4" ht="20.100000000000001" customHeight="1" x14ac:dyDescent="0.25">
      <c r="B75" s="1" t="s">
        <v>94</v>
      </c>
      <c r="C75" s="1">
        <v>124359</v>
      </c>
      <c r="D75" s="1">
        <v>189</v>
      </c>
    </row>
    <row r="76" spans="2:4" ht="20.100000000000001" customHeight="1" x14ac:dyDescent="0.25">
      <c r="B76" s="1" t="s">
        <v>95</v>
      </c>
      <c r="C76" s="1">
        <v>142384</v>
      </c>
      <c r="D76" s="1">
        <v>161</v>
      </c>
    </row>
    <row r="77" spans="2:4" ht="20.100000000000001" customHeight="1" x14ac:dyDescent="0.25">
      <c r="B77" s="1" t="s">
        <v>96</v>
      </c>
      <c r="C77" s="1">
        <v>117483</v>
      </c>
      <c r="D77" s="1">
        <v>200</v>
      </c>
    </row>
    <row r="78" spans="2:4" ht="20.100000000000001" customHeight="1" x14ac:dyDescent="0.25">
      <c r="B78" s="1" t="s">
        <v>97</v>
      </c>
      <c r="C78" s="1">
        <v>108669</v>
      </c>
      <c r="D78" s="1">
        <v>221</v>
      </c>
    </row>
    <row r="79" spans="2:4" ht="20.100000000000001" customHeight="1" x14ac:dyDescent="0.25">
      <c r="B79" s="1" t="s">
        <v>98</v>
      </c>
      <c r="C79" s="1">
        <v>108185</v>
      </c>
      <c r="D79" s="1">
        <v>222</v>
      </c>
    </row>
    <row r="80" spans="2:4" ht="20.100000000000001" customHeight="1" x14ac:dyDescent="0.25">
      <c r="B80" s="1" t="s">
        <v>99</v>
      </c>
      <c r="C80" s="1">
        <v>103966</v>
      </c>
      <c r="D80" s="1">
        <v>240</v>
      </c>
    </row>
    <row r="81" spans="2:4" ht="20.100000000000001" customHeight="1" x14ac:dyDescent="0.25">
      <c r="B81" s="1" t="s">
        <v>100</v>
      </c>
      <c r="C81" s="1">
        <v>297235</v>
      </c>
      <c r="D81" s="1">
        <v>60</v>
      </c>
    </row>
    <row r="82" spans="2:4" ht="20.100000000000001" customHeight="1" x14ac:dyDescent="0.25">
      <c r="B82" s="1" t="s">
        <v>101</v>
      </c>
      <c r="C82" s="1">
        <v>369815</v>
      </c>
      <c r="D82" s="1">
        <v>49</v>
      </c>
    </row>
    <row r="83" spans="2:4" ht="20.100000000000001" customHeight="1" x14ac:dyDescent="0.25">
      <c r="B83" s="1" t="s">
        <v>102</v>
      </c>
      <c r="C83" s="1">
        <v>557917</v>
      </c>
      <c r="D83" s="1">
        <v>25</v>
      </c>
    </row>
    <row r="84" spans="2:4" ht="20.100000000000001" customHeight="1" x14ac:dyDescent="0.25">
      <c r="B84" s="1" t="s">
        <v>103</v>
      </c>
      <c r="C84" s="1">
        <v>128026</v>
      </c>
      <c r="D84" s="1">
        <v>185</v>
      </c>
    </row>
    <row r="85" spans="2:4" ht="20.100000000000001" customHeight="1" x14ac:dyDescent="0.25">
      <c r="B85" s="1" t="s">
        <v>104</v>
      </c>
      <c r="C85" s="1">
        <v>140671</v>
      </c>
      <c r="D85" s="1">
        <v>164</v>
      </c>
    </row>
    <row r="86" spans="2:4" ht="20.100000000000001" customHeight="1" x14ac:dyDescent="0.25">
      <c r="B86" s="1" t="s">
        <v>105</v>
      </c>
      <c r="C86" s="1">
        <v>103495</v>
      </c>
      <c r="D86" s="1">
        <v>241</v>
      </c>
    </row>
    <row r="87" spans="2:4" ht="20.100000000000001" customHeight="1" x14ac:dyDescent="0.25">
      <c r="B87" s="1" t="s">
        <v>106</v>
      </c>
      <c r="C87" s="1">
        <v>105182</v>
      </c>
      <c r="D87" s="1">
        <v>233</v>
      </c>
    </row>
    <row r="88" spans="2:4" ht="20.100000000000001" customHeight="1" x14ac:dyDescent="0.25">
      <c r="B88" s="1" t="s">
        <v>107</v>
      </c>
      <c r="C88" s="1">
        <v>105084</v>
      </c>
      <c r="D88" s="1">
        <v>234</v>
      </c>
    </row>
    <row r="89" spans="2:4" ht="20.100000000000001" customHeight="1" x14ac:dyDescent="0.25">
      <c r="B89" s="1" t="s">
        <v>108</v>
      </c>
      <c r="C89" s="1">
        <v>139008</v>
      </c>
      <c r="D89" s="1">
        <v>168</v>
      </c>
    </row>
    <row r="90" spans="2:4" ht="20.100000000000001" customHeight="1" x14ac:dyDescent="0.25">
      <c r="B90" s="1" t="s">
        <v>109</v>
      </c>
      <c r="C90" s="1">
        <v>124397</v>
      </c>
      <c r="D90" s="1">
        <v>188</v>
      </c>
    </row>
    <row r="91" spans="2:4" ht="20.100000000000001" customHeight="1" x14ac:dyDescent="0.25">
      <c r="B91" s="1" t="s">
        <v>110</v>
      </c>
      <c r="C91" s="1">
        <v>124791</v>
      </c>
      <c r="D91" s="1">
        <v>187</v>
      </c>
    </row>
    <row r="92" spans="2:4" ht="20.100000000000001" customHeight="1" x14ac:dyDescent="0.25">
      <c r="B92" s="1" t="s">
        <v>111</v>
      </c>
      <c r="C92" s="1">
        <v>120045</v>
      </c>
      <c r="D92" s="1">
        <v>196</v>
      </c>
    </row>
    <row r="93" spans="2:4" ht="20.100000000000001" customHeight="1" x14ac:dyDescent="0.25">
      <c r="B93" s="1" t="s">
        <v>112</v>
      </c>
      <c r="C93" s="1">
        <v>107902</v>
      </c>
      <c r="D93" s="1">
        <v>224</v>
      </c>
    </row>
    <row r="94" spans="2:4" ht="20.100000000000001" customHeight="1" x14ac:dyDescent="0.25">
      <c r="B94" s="1" t="s">
        <v>113</v>
      </c>
      <c r="C94" s="1">
        <v>550521</v>
      </c>
      <c r="D94" s="1">
        <v>27</v>
      </c>
    </row>
    <row r="95" spans="2:4" ht="20.100000000000001" customHeight="1" x14ac:dyDescent="0.25">
      <c r="B95" s="1" t="s">
        <v>114</v>
      </c>
      <c r="C95" s="1">
        <v>140010</v>
      </c>
      <c r="D95" s="1">
        <v>166</v>
      </c>
    </row>
    <row r="96" spans="2:4" ht="20.100000000000001" customHeight="1" x14ac:dyDescent="0.25">
      <c r="B96" s="1" t="s">
        <v>115</v>
      </c>
      <c r="C96" s="1">
        <v>108687</v>
      </c>
      <c r="D96" s="1">
        <v>220</v>
      </c>
    </row>
    <row r="97" spans="2:4" ht="20.100000000000001" customHeight="1" x14ac:dyDescent="0.25">
      <c r="B97" s="1" t="s">
        <v>116</v>
      </c>
      <c r="C97" s="1">
        <v>128804</v>
      </c>
      <c r="D97" s="1">
        <v>182</v>
      </c>
    </row>
    <row r="98" spans="2:4" ht="20.100000000000001" customHeight="1" x14ac:dyDescent="0.25">
      <c r="B98" s="1" t="s">
        <v>117</v>
      </c>
      <c r="C98" s="1">
        <v>167380</v>
      </c>
      <c r="D98" s="1">
        <v>133</v>
      </c>
    </row>
    <row r="99" spans="2:4" ht="20.100000000000001" customHeight="1" x14ac:dyDescent="0.25">
      <c r="B99" s="1" t="s">
        <v>118</v>
      </c>
      <c r="C99" s="1">
        <v>108184</v>
      </c>
      <c r="D99" s="1">
        <v>223</v>
      </c>
    </row>
    <row r="100" spans="2:4" ht="20.100000000000001" customHeight="1" x14ac:dyDescent="0.25">
      <c r="B100" s="1" t="s">
        <v>119</v>
      </c>
      <c r="C100" s="1">
        <v>220485</v>
      </c>
      <c r="D100" s="1">
        <v>84</v>
      </c>
    </row>
    <row r="101" spans="2:4" ht="20.100000000000001" customHeight="1" x14ac:dyDescent="0.25">
      <c r="B101" s="1" t="s">
        <v>120</v>
      </c>
      <c r="C101" s="1">
        <v>145629</v>
      </c>
      <c r="D101" s="1">
        <v>154</v>
      </c>
    </row>
    <row r="102" spans="2:4" ht="20.100000000000001" customHeight="1" x14ac:dyDescent="0.25">
      <c r="B102" s="1" t="s">
        <v>121</v>
      </c>
      <c r="C102" s="1">
        <v>782623</v>
      </c>
      <c r="D102" s="1">
        <v>13</v>
      </c>
    </row>
    <row r="103" spans="2:4" ht="20.100000000000001" customHeight="1" x14ac:dyDescent="0.25">
      <c r="B103" s="1" t="s">
        <v>122</v>
      </c>
      <c r="C103" s="1">
        <v>386417</v>
      </c>
      <c r="D103" s="1">
        <v>45</v>
      </c>
    </row>
    <row r="104" spans="2:4" ht="20.100000000000001" customHeight="1" x14ac:dyDescent="0.25">
      <c r="B104" s="1" t="s">
        <v>123</v>
      </c>
      <c r="C104" s="1">
        <v>106623</v>
      </c>
      <c r="D104" s="1">
        <v>227</v>
      </c>
    </row>
    <row r="105" spans="2:4" ht="20.100000000000001" customHeight="1" x14ac:dyDescent="0.25">
      <c r="B105" s="1" t="s">
        <v>124</v>
      </c>
      <c r="C105" s="1">
        <v>213223</v>
      </c>
      <c r="D105" s="1">
        <v>87</v>
      </c>
    </row>
    <row r="106" spans="2:4" ht="20.100000000000001" customHeight="1" x14ac:dyDescent="0.25">
      <c r="B106" s="1" t="s">
        <v>125</v>
      </c>
      <c r="C106" s="1">
        <v>150380</v>
      </c>
      <c r="D106" s="1">
        <v>148</v>
      </c>
    </row>
    <row r="107" spans="2:4" ht="20.100000000000001" customHeight="1" x14ac:dyDescent="0.25">
      <c r="B107" s="1" t="s">
        <v>126</v>
      </c>
      <c r="C107" s="1">
        <v>104179</v>
      </c>
      <c r="D107" s="1">
        <v>236</v>
      </c>
    </row>
    <row r="108" spans="2:4" ht="20.100000000000001" customHeight="1" x14ac:dyDescent="0.25">
      <c r="B108" s="1" t="s">
        <v>127</v>
      </c>
      <c r="C108" s="1">
        <v>131692</v>
      </c>
      <c r="D108" s="1">
        <v>178</v>
      </c>
    </row>
    <row r="109" spans="2:4" ht="20.100000000000001" customHeight="1" x14ac:dyDescent="0.25">
      <c r="B109" s="1" t="s">
        <v>128</v>
      </c>
      <c r="C109" s="1">
        <v>249079</v>
      </c>
      <c r="D109" s="1">
        <v>71</v>
      </c>
    </row>
    <row r="110" spans="2:4" ht="20.100000000000001" customHeight="1" x14ac:dyDescent="0.25">
      <c r="B110" s="1" t="s">
        <v>129</v>
      </c>
      <c r="C110" s="1">
        <v>158500</v>
      </c>
      <c r="D110" s="1">
        <v>141</v>
      </c>
    </row>
    <row r="111" spans="2:4" ht="20.100000000000001" customHeight="1" x14ac:dyDescent="0.25">
      <c r="B111" s="1" t="s">
        <v>130</v>
      </c>
      <c r="C111" s="1">
        <v>325989</v>
      </c>
      <c r="D111" s="1">
        <v>56</v>
      </c>
    </row>
    <row r="112" spans="2:4" ht="20.100000000000001" customHeight="1" x14ac:dyDescent="0.25">
      <c r="B112" s="1" t="s">
        <v>131</v>
      </c>
      <c r="C112" s="1">
        <v>103238</v>
      </c>
      <c r="D112" s="1">
        <v>242</v>
      </c>
    </row>
    <row r="113" spans="2:4" ht="20.100000000000001" customHeight="1" x14ac:dyDescent="0.25">
      <c r="B113" s="1" t="s">
        <v>132</v>
      </c>
      <c r="C113" s="1">
        <v>470688</v>
      </c>
      <c r="D113" s="1">
        <v>35</v>
      </c>
    </row>
    <row r="114" spans="2:4" ht="20.100000000000001" customHeight="1" x14ac:dyDescent="0.25">
      <c r="B114" s="1" t="s">
        <v>133</v>
      </c>
      <c r="C114" s="1">
        <v>190782</v>
      </c>
      <c r="D114" s="1">
        <v>113</v>
      </c>
    </row>
    <row r="115" spans="2:4" ht="20.100000000000001" customHeight="1" x14ac:dyDescent="0.25">
      <c r="B115" s="1" t="s">
        <v>134</v>
      </c>
      <c r="C115" s="1">
        <v>185271</v>
      </c>
      <c r="D115" s="1">
        <v>115</v>
      </c>
    </row>
    <row r="116" spans="2:4" ht="20.100000000000001" customHeight="1" x14ac:dyDescent="0.25">
      <c r="B116" s="1" t="s">
        <v>135</v>
      </c>
      <c r="C116" s="1">
        <v>128453</v>
      </c>
      <c r="D116" s="1">
        <v>183</v>
      </c>
    </row>
    <row r="117" spans="2:4" ht="20.100000000000001" customHeight="1" x14ac:dyDescent="0.25">
      <c r="B117" s="1" t="s">
        <v>136</v>
      </c>
      <c r="C117" s="1">
        <v>377379</v>
      </c>
      <c r="D117" s="1">
        <v>47</v>
      </c>
    </row>
    <row r="118" spans="2:4" ht="20.100000000000001" customHeight="1" x14ac:dyDescent="0.25">
      <c r="B118" s="1" t="s">
        <v>137</v>
      </c>
      <c r="C118" s="1">
        <v>193161</v>
      </c>
      <c r="D118" s="1">
        <v>111</v>
      </c>
    </row>
    <row r="119" spans="2:4" ht="20.100000000000001" customHeight="1" x14ac:dyDescent="0.25">
      <c r="B119" s="1" t="s">
        <v>138</v>
      </c>
      <c r="C119" s="1">
        <v>168181</v>
      </c>
      <c r="D119" s="1">
        <v>131</v>
      </c>
    </row>
    <row r="120" spans="2:4" ht="20.100000000000001" customHeight="1" x14ac:dyDescent="0.25">
      <c r="B120" s="1" t="s">
        <v>139</v>
      </c>
      <c r="C120" s="1">
        <v>2842518</v>
      </c>
      <c r="D120" s="1">
        <v>3</v>
      </c>
    </row>
    <row r="121" spans="2:4" ht="20.100000000000001" customHeight="1" x14ac:dyDescent="0.25">
      <c r="B121" s="1" t="s">
        <v>140</v>
      </c>
      <c r="C121" s="1">
        <v>136208</v>
      </c>
      <c r="D121" s="1">
        <v>170</v>
      </c>
    </row>
    <row r="122" spans="2:4" ht="20.100000000000001" customHeight="1" x14ac:dyDescent="0.25">
      <c r="B122" s="1" t="s">
        <v>141</v>
      </c>
      <c r="C122" s="1">
        <v>141579</v>
      </c>
      <c r="D122" s="1">
        <v>163</v>
      </c>
    </row>
    <row r="123" spans="2:4" ht="20.100000000000001" customHeight="1" x14ac:dyDescent="0.25">
      <c r="B123" s="1" t="s">
        <v>142</v>
      </c>
      <c r="C123" s="1">
        <v>112685</v>
      </c>
      <c r="D123" s="1">
        <v>211</v>
      </c>
    </row>
    <row r="124" spans="2:4" ht="20.100000000000001" customHeight="1" x14ac:dyDescent="0.25">
      <c r="B124" s="1" t="s">
        <v>143</v>
      </c>
      <c r="C124" s="1">
        <v>152916</v>
      </c>
      <c r="D124" s="1">
        <v>146</v>
      </c>
    </row>
    <row r="125" spans="2:4" ht="20.100000000000001" customHeight="1" x14ac:dyDescent="0.25">
      <c r="B125" s="1" t="s">
        <v>144</v>
      </c>
      <c r="C125" s="1">
        <v>115668</v>
      </c>
      <c r="D125" s="1">
        <v>204</v>
      </c>
    </row>
    <row r="126" spans="2:4" ht="20.100000000000001" customHeight="1" x14ac:dyDescent="0.25">
      <c r="B126" s="1" t="s">
        <v>145</v>
      </c>
      <c r="C126" s="1">
        <v>115918</v>
      </c>
      <c r="D126" s="1">
        <v>203</v>
      </c>
    </row>
    <row r="127" spans="2:4" ht="20.100000000000001" customHeight="1" x14ac:dyDescent="0.25">
      <c r="B127" s="1" t="s">
        <v>146</v>
      </c>
      <c r="C127" s="1">
        <v>223341</v>
      </c>
      <c r="D127" s="1">
        <v>81</v>
      </c>
    </row>
    <row r="128" spans="2:4" ht="20.100000000000001" customHeight="1" x14ac:dyDescent="0.25">
      <c r="B128" s="1" t="s">
        <v>147</v>
      </c>
      <c r="C128" s="1">
        <v>784118</v>
      </c>
      <c r="D128" s="1">
        <v>12</v>
      </c>
    </row>
    <row r="129" spans="2:4" ht="20.100000000000001" customHeight="1" x14ac:dyDescent="0.25">
      <c r="B129" s="1" t="s">
        <v>148</v>
      </c>
      <c r="C129" s="1">
        <v>105262</v>
      </c>
      <c r="D129" s="1">
        <v>232</v>
      </c>
    </row>
    <row r="130" spans="2:4" ht="20.100000000000001" customHeight="1" x14ac:dyDescent="0.25">
      <c r="B130" s="1" t="s">
        <v>149</v>
      </c>
      <c r="C130" s="1">
        <v>123119</v>
      </c>
      <c r="D130" s="1">
        <v>192</v>
      </c>
    </row>
    <row r="131" spans="2:4" ht="20.100000000000001" customHeight="1" x14ac:dyDescent="0.25">
      <c r="B131" s="1" t="s">
        <v>150</v>
      </c>
      <c r="C131" s="1">
        <v>194163</v>
      </c>
      <c r="D131" s="1">
        <v>106</v>
      </c>
    </row>
    <row r="132" spans="2:4" ht="20.100000000000001" customHeight="1" x14ac:dyDescent="0.25">
      <c r="B132" s="1" t="s">
        <v>151</v>
      </c>
      <c r="C132" s="1">
        <v>144210</v>
      </c>
      <c r="D132" s="1">
        <v>158</v>
      </c>
    </row>
    <row r="133" spans="2:4" ht="20.100000000000001" customHeight="1" x14ac:dyDescent="0.25">
      <c r="B133" s="1" t="s">
        <v>152</v>
      </c>
      <c r="C133" s="1">
        <v>111334</v>
      </c>
      <c r="D133" s="1">
        <v>215</v>
      </c>
    </row>
    <row r="134" spans="2:4" ht="20.100000000000001" customHeight="1" x14ac:dyDescent="0.25">
      <c r="B134" s="1" t="s">
        <v>153</v>
      </c>
      <c r="C134" s="1">
        <v>164811</v>
      </c>
      <c r="D134" s="1">
        <v>137</v>
      </c>
    </row>
    <row r="135" spans="2:4" ht="20.100000000000001" customHeight="1" x14ac:dyDescent="0.25">
      <c r="B135" s="1" t="s">
        <v>154</v>
      </c>
      <c r="C135" s="1">
        <v>121946</v>
      </c>
      <c r="D135" s="1">
        <v>194</v>
      </c>
    </row>
    <row r="136" spans="2:4" ht="20.100000000000001" customHeight="1" x14ac:dyDescent="0.25">
      <c r="B136" s="1" t="s">
        <v>155</v>
      </c>
      <c r="C136" s="1">
        <v>354865</v>
      </c>
      <c r="D136" s="1">
        <v>51</v>
      </c>
    </row>
    <row r="137" spans="2:4" ht="20.100000000000001" customHeight="1" x14ac:dyDescent="0.25">
      <c r="B137" s="1" t="s">
        <v>156</v>
      </c>
      <c r="C137" s="1">
        <v>268080</v>
      </c>
      <c r="D137" s="1">
        <v>69</v>
      </c>
    </row>
    <row r="138" spans="2:4" ht="20.100000000000001" customHeight="1" x14ac:dyDescent="0.25">
      <c r="B138" s="1" t="s">
        <v>157</v>
      </c>
      <c r="C138" s="1">
        <v>556429</v>
      </c>
      <c r="D138" s="1">
        <v>26</v>
      </c>
    </row>
    <row r="139" spans="2:4" ht="20.100000000000001" customHeight="1" x14ac:dyDescent="0.25">
      <c r="B139" s="1" t="s">
        <v>158</v>
      </c>
      <c r="C139" s="1">
        <v>222064</v>
      </c>
      <c r="D139" s="1">
        <v>82</v>
      </c>
    </row>
    <row r="140" spans="2:4" ht="20.100000000000001" customHeight="1" x14ac:dyDescent="0.25">
      <c r="B140" s="1" t="s">
        <v>159</v>
      </c>
      <c r="C140" s="1">
        <v>112030</v>
      </c>
      <c r="D140" s="1">
        <v>213</v>
      </c>
    </row>
    <row r="141" spans="2:4" ht="20.100000000000001" customHeight="1" x14ac:dyDescent="0.25">
      <c r="B141" s="1" t="s">
        <v>160</v>
      </c>
      <c r="C141" s="1">
        <v>454863</v>
      </c>
      <c r="D141" s="1">
        <v>38</v>
      </c>
    </row>
    <row r="142" spans="2:4" ht="20.100000000000001" customHeight="1" x14ac:dyDescent="0.25">
      <c r="B142" s="1" t="s">
        <v>161</v>
      </c>
      <c r="C142" s="1">
        <v>198874</v>
      </c>
      <c r="D142" s="1">
        <v>99</v>
      </c>
    </row>
    <row r="143" spans="2:4" ht="20.100000000000001" customHeight="1" x14ac:dyDescent="0.25">
      <c r="B143" s="1" t="s">
        <v>162</v>
      </c>
      <c r="C143" s="1">
        <v>635815</v>
      </c>
      <c r="D143" s="1">
        <v>18</v>
      </c>
    </row>
    <row r="144" spans="2:4" ht="20.100000000000001" customHeight="1" x14ac:dyDescent="0.25">
      <c r="B144" s="1" t="s">
        <v>163</v>
      </c>
      <c r="C144" s="1">
        <v>559034</v>
      </c>
      <c r="D144" s="1">
        <v>24</v>
      </c>
    </row>
    <row r="145" spans="2:4" ht="20.100000000000001" customHeight="1" x14ac:dyDescent="0.25">
      <c r="B145" s="1" t="s">
        <v>164</v>
      </c>
      <c r="C145" s="1">
        <v>100135</v>
      </c>
      <c r="D145" s="1">
        <v>253</v>
      </c>
    </row>
    <row r="146" spans="2:4" ht="20.100000000000001" customHeight="1" x14ac:dyDescent="0.25">
      <c r="B146" s="1" t="s">
        <v>165</v>
      </c>
      <c r="C146" s="1">
        <v>103111</v>
      </c>
      <c r="D146" s="1">
        <v>243</v>
      </c>
    </row>
    <row r="147" spans="2:4" ht="20.100000000000001" customHeight="1" x14ac:dyDescent="0.25">
      <c r="B147" s="1" t="s">
        <v>166</v>
      </c>
      <c r="C147" s="1">
        <v>151732</v>
      </c>
      <c r="D147" s="1">
        <v>147</v>
      </c>
    </row>
    <row r="148" spans="2:4" ht="20.100000000000001" customHeight="1" x14ac:dyDescent="0.25">
      <c r="B148" s="1" t="s">
        <v>167</v>
      </c>
      <c r="C148" s="1">
        <v>175898</v>
      </c>
      <c r="D148" s="1">
        <v>126</v>
      </c>
    </row>
    <row r="149" spans="2:4" ht="20.100000000000001" customHeight="1" x14ac:dyDescent="0.25">
      <c r="B149" s="1" t="s">
        <v>168</v>
      </c>
      <c r="C149" s="1">
        <v>113271</v>
      </c>
      <c r="D149" s="1">
        <v>209</v>
      </c>
    </row>
    <row r="150" spans="2:4" ht="20.100000000000001" customHeight="1" x14ac:dyDescent="0.25">
      <c r="B150" s="1" t="s">
        <v>169</v>
      </c>
      <c r="C150" s="1">
        <v>886671</v>
      </c>
      <c r="D150" s="1">
        <v>11</v>
      </c>
    </row>
    <row r="151" spans="2:4" ht="20.100000000000001" customHeight="1" x14ac:dyDescent="0.25">
      <c r="B151" s="1" t="s">
        <v>170</v>
      </c>
      <c r="C151" s="1">
        <v>118551</v>
      </c>
      <c r="D151" s="1">
        <v>199</v>
      </c>
    </row>
    <row r="152" spans="2:4" ht="20.100000000000001" customHeight="1" x14ac:dyDescent="0.25">
      <c r="B152" s="1" t="s">
        <v>171</v>
      </c>
      <c r="C152" s="1">
        <v>193780</v>
      </c>
      <c r="D152" s="1">
        <v>107</v>
      </c>
    </row>
    <row r="153" spans="2:4" ht="20.100000000000001" customHeight="1" x14ac:dyDescent="0.25">
      <c r="B153" s="1" t="s">
        <v>172</v>
      </c>
      <c r="C153" s="1">
        <v>115518</v>
      </c>
      <c r="D153" s="1">
        <v>205</v>
      </c>
    </row>
    <row r="154" spans="2:4" ht="20.100000000000001" customHeight="1" x14ac:dyDescent="0.25">
      <c r="B154" s="1" t="s">
        <v>173</v>
      </c>
      <c r="C154" s="1">
        <v>128034</v>
      </c>
      <c r="D154" s="1">
        <v>184</v>
      </c>
    </row>
    <row r="155" spans="2:4" ht="20.100000000000001" customHeight="1" x14ac:dyDescent="0.25">
      <c r="B155" s="1" t="s">
        <v>174</v>
      </c>
      <c r="C155" s="1">
        <v>135311</v>
      </c>
      <c r="D155" s="1">
        <v>172</v>
      </c>
    </row>
    <row r="156" spans="2:4" ht="20.100000000000001" customHeight="1" x14ac:dyDescent="0.25">
      <c r="B156" s="1" t="s">
        <v>175</v>
      </c>
      <c r="C156" s="1">
        <v>372811</v>
      </c>
      <c r="D156" s="1">
        <v>48</v>
      </c>
    </row>
    <row r="157" spans="2:4" ht="20.100000000000001" customHeight="1" x14ac:dyDescent="0.25">
      <c r="B157" s="1" t="s">
        <v>176</v>
      </c>
      <c r="C157" s="1">
        <v>275150</v>
      </c>
      <c r="D157" s="1">
        <v>67</v>
      </c>
    </row>
    <row r="158" spans="2:4" ht="20.100000000000001" customHeight="1" x14ac:dyDescent="0.25">
      <c r="B158" s="1" t="s">
        <v>177</v>
      </c>
      <c r="C158" s="1">
        <v>177977</v>
      </c>
      <c r="D158" s="1">
        <v>123</v>
      </c>
    </row>
    <row r="159" spans="2:4" ht="20.100000000000001" customHeight="1" x14ac:dyDescent="0.25">
      <c r="B159" s="1" t="s">
        <v>178</v>
      </c>
      <c r="C159" s="1">
        <v>110208</v>
      </c>
      <c r="D159" s="1">
        <v>216</v>
      </c>
    </row>
    <row r="160" spans="2:4" ht="20.100000000000001" customHeight="1" x14ac:dyDescent="0.25">
      <c r="B160" s="1" t="s">
        <v>179</v>
      </c>
      <c r="C160" s="1">
        <v>444965</v>
      </c>
      <c r="D160" s="1">
        <v>40</v>
      </c>
    </row>
    <row r="161" spans="2:4" ht="20.100000000000001" customHeight="1" x14ac:dyDescent="0.25">
      <c r="B161" s="1" t="s">
        <v>180</v>
      </c>
      <c r="C161" s="1">
        <v>150298</v>
      </c>
      <c r="D161" s="1">
        <v>149</v>
      </c>
    </row>
    <row r="162" spans="2:4" ht="20.100000000000001" customHeight="1" x14ac:dyDescent="0.25">
      <c r="B162" s="1" t="s">
        <v>181</v>
      </c>
      <c r="C162" s="1">
        <v>344362</v>
      </c>
      <c r="D162" s="1">
        <v>52</v>
      </c>
    </row>
    <row r="163" spans="2:4" ht="20.100000000000001" customHeight="1" x14ac:dyDescent="0.25">
      <c r="B163" s="1" t="s">
        <v>182</v>
      </c>
      <c r="C163" s="1">
        <v>239213</v>
      </c>
      <c r="D163" s="1">
        <v>74</v>
      </c>
    </row>
    <row r="164" spans="2:4" ht="20.100000000000001" customHeight="1" x14ac:dyDescent="0.25">
      <c r="B164" s="1" t="s">
        <v>183</v>
      </c>
      <c r="C164" s="1">
        <v>414521</v>
      </c>
      <c r="D164" s="1">
        <v>43</v>
      </c>
    </row>
    <row r="165" spans="2:4" ht="20.100000000000001" customHeight="1" x14ac:dyDescent="0.25">
      <c r="B165" s="1" t="s">
        <v>184</v>
      </c>
      <c r="C165" s="1">
        <v>232146</v>
      </c>
      <c r="D165" s="1">
        <v>76</v>
      </c>
    </row>
    <row r="166" spans="2:4" ht="20.100000000000001" customHeight="1" x14ac:dyDescent="0.25">
      <c r="B166" s="1" t="s">
        <v>185</v>
      </c>
      <c r="C166" s="1">
        <v>545147</v>
      </c>
      <c r="D166" s="1">
        <v>29</v>
      </c>
    </row>
    <row r="167" spans="2:4" ht="20.100000000000001" customHeight="1" x14ac:dyDescent="0.25">
      <c r="B167" s="1" t="s">
        <v>186</v>
      </c>
      <c r="C167" s="1">
        <v>176635</v>
      </c>
      <c r="D167" s="1">
        <v>125</v>
      </c>
    </row>
    <row r="168" spans="2:4" ht="20.100000000000001" customHeight="1" x14ac:dyDescent="0.25">
      <c r="B168" s="1" t="s">
        <v>187</v>
      </c>
      <c r="C168" s="1">
        <v>203550</v>
      </c>
      <c r="D168" s="1">
        <v>95</v>
      </c>
    </row>
    <row r="169" spans="2:4" ht="20.100000000000001" customHeight="1" x14ac:dyDescent="0.25">
      <c r="B169" s="1" t="s">
        <v>188</v>
      </c>
      <c r="C169" s="1">
        <v>109691</v>
      </c>
      <c r="D169" s="1">
        <v>219</v>
      </c>
    </row>
    <row r="170" spans="2:4" ht="20.100000000000001" customHeight="1" x14ac:dyDescent="0.25">
      <c r="B170" s="1" t="s">
        <v>189</v>
      </c>
      <c r="C170" s="1">
        <v>125809</v>
      </c>
      <c r="D170" s="1">
        <v>186</v>
      </c>
    </row>
    <row r="171" spans="2:4" ht="20.100000000000001" customHeight="1" x14ac:dyDescent="0.25">
      <c r="B171" s="1" t="s">
        <v>190</v>
      </c>
      <c r="C171" s="1">
        <v>239614</v>
      </c>
      <c r="D171" s="1">
        <v>72</v>
      </c>
    </row>
    <row r="172" spans="2:4" ht="20.100000000000001" customHeight="1" x14ac:dyDescent="0.25">
      <c r="B172" s="1" t="s">
        <v>191</v>
      </c>
      <c r="C172" s="1">
        <v>280666</v>
      </c>
      <c r="D172" s="1">
        <v>65</v>
      </c>
    </row>
    <row r="173" spans="2:4" ht="20.100000000000001" customHeight="1" x14ac:dyDescent="0.25">
      <c r="B173" s="1" t="s">
        <v>192</v>
      </c>
      <c r="C173" s="1">
        <v>149843</v>
      </c>
      <c r="D173" s="1">
        <v>150</v>
      </c>
    </row>
    <row r="174" spans="2:4" ht="20.100000000000001" customHeight="1" x14ac:dyDescent="0.25">
      <c r="B174" s="1" t="s">
        <v>193</v>
      </c>
      <c r="C174" s="1">
        <v>494236</v>
      </c>
      <c r="D174" s="1">
        <v>33</v>
      </c>
    </row>
    <row r="175" spans="2:4" ht="20.100000000000001" customHeight="1" x14ac:dyDescent="0.25">
      <c r="B175" s="1" t="s">
        <v>194</v>
      </c>
      <c r="C175" s="1">
        <v>279745</v>
      </c>
      <c r="D175" s="1">
        <v>66</v>
      </c>
    </row>
    <row r="176" spans="2:4" ht="20.100000000000001" customHeight="1" x14ac:dyDescent="0.25">
      <c r="B176" s="1" t="s">
        <v>195</v>
      </c>
      <c r="C176" s="1">
        <v>8143197</v>
      </c>
      <c r="D176" s="1">
        <v>1</v>
      </c>
    </row>
    <row r="177" spans="2:4" ht="20.100000000000001" customHeight="1" x14ac:dyDescent="0.25">
      <c r="B177" s="1" t="s">
        <v>196</v>
      </c>
      <c r="C177" s="1">
        <v>211091</v>
      </c>
      <c r="D177" s="1">
        <v>88</v>
      </c>
    </row>
    <row r="178" spans="2:4" ht="20.100000000000001" customHeight="1" x14ac:dyDescent="0.25">
      <c r="B178" s="1" t="s">
        <v>197</v>
      </c>
      <c r="C178" s="1">
        <v>141683</v>
      </c>
      <c r="D178" s="1">
        <v>162</v>
      </c>
    </row>
    <row r="179" spans="2:4" ht="20.100000000000001" customHeight="1" x14ac:dyDescent="0.25">
      <c r="B179" s="1" t="s">
        <v>198</v>
      </c>
      <c r="C179" s="1">
        <v>196425</v>
      </c>
      <c r="D179" s="1">
        <v>102</v>
      </c>
    </row>
    <row r="180" spans="2:4" ht="20.100000000000001" customHeight="1" x14ac:dyDescent="0.25">
      <c r="B180" s="1" t="s">
        <v>199</v>
      </c>
      <c r="C180" s="1">
        <v>106439</v>
      </c>
      <c r="D180" s="1">
        <v>228</v>
      </c>
    </row>
    <row r="181" spans="2:4" ht="20.100000000000001" customHeight="1" x14ac:dyDescent="0.25">
      <c r="B181" s="1" t="s">
        <v>200</v>
      </c>
      <c r="C181" s="1">
        <v>610949</v>
      </c>
      <c r="D181" s="1">
        <v>20</v>
      </c>
    </row>
    <row r="182" spans="2:4" ht="20.100000000000001" customHeight="1" x14ac:dyDescent="0.25">
      <c r="B182" s="1" t="s">
        <v>201</v>
      </c>
      <c r="C182" s="1">
        <v>204845</v>
      </c>
      <c r="D182" s="1">
        <v>94</v>
      </c>
    </row>
    <row r="183" spans="2:4" ht="20.100000000000001" customHeight="1" x14ac:dyDescent="0.25">
      <c r="B183" s="1" t="s">
        <v>202</v>
      </c>
      <c r="C183" s="1">
        <v>129928</v>
      </c>
      <c r="D183" s="1">
        <v>179</v>
      </c>
    </row>
    <row r="184" spans="2:4" ht="20.100000000000001" customHeight="1" x14ac:dyDescent="0.25">
      <c r="B184" s="1" t="s">
        <v>203</v>
      </c>
      <c r="C184" s="1">
        <v>231962</v>
      </c>
      <c r="D184" s="1">
        <v>77</v>
      </c>
    </row>
    <row r="185" spans="2:4" ht="20.100000000000001" customHeight="1" x14ac:dyDescent="0.25">
      <c r="B185" s="1" t="s">
        <v>204</v>
      </c>
      <c r="C185" s="1">
        <v>341530</v>
      </c>
      <c r="D185" s="1">
        <v>53</v>
      </c>
    </row>
    <row r="186" spans="2:4" ht="20.100000000000001" customHeight="1" x14ac:dyDescent="0.25">
      <c r="B186" s="1" t="s">
        <v>205</v>
      </c>
      <c r="C186" s="1">
        <v>193755</v>
      </c>
      <c r="D186" s="1">
        <v>109</v>
      </c>
    </row>
    <row r="187" spans="2:4" ht="20.100000000000001" customHeight="1" x14ac:dyDescent="0.25">
      <c r="B187" s="1" t="s">
        <v>206</v>
      </c>
      <c r="C187" s="1">
        <v>210795</v>
      </c>
      <c r="D187" s="1">
        <v>89</v>
      </c>
    </row>
    <row r="188" spans="2:4" ht="20.100000000000001" customHeight="1" x14ac:dyDescent="0.25">
      <c r="B188" s="1" t="s">
        <v>207</v>
      </c>
      <c r="C188" s="1">
        <v>308728</v>
      </c>
      <c r="D188" s="1">
        <v>58</v>
      </c>
    </row>
    <row r="189" spans="2:4" ht="20.100000000000001" customHeight="1" x14ac:dyDescent="0.25">
      <c r="B189" s="1" t="s">
        <v>208</v>
      </c>
      <c r="C189" s="1">
        <v>452208</v>
      </c>
      <c r="D189" s="1">
        <v>39</v>
      </c>
    </row>
    <row r="190" spans="2:4" ht="20.100000000000001" customHeight="1" x14ac:dyDescent="0.25">
      <c r="B190" s="1" t="s">
        <v>209</v>
      </c>
      <c r="C190" s="1">
        <v>730657</v>
      </c>
      <c r="D190" s="1">
        <v>15</v>
      </c>
    </row>
    <row r="191" spans="2:4" ht="20.100000000000001" customHeight="1" x14ac:dyDescent="0.25">
      <c r="B191" s="1" t="s">
        <v>210</v>
      </c>
      <c r="C191" s="1">
        <v>158873</v>
      </c>
      <c r="D191" s="1">
        <v>140</v>
      </c>
    </row>
    <row r="192" spans="2:4" ht="20.100000000000001" customHeight="1" x14ac:dyDescent="0.25">
      <c r="B192" s="1" t="s">
        <v>211</v>
      </c>
      <c r="C192" s="1">
        <v>301285</v>
      </c>
      <c r="D192" s="1">
        <v>59</v>
      </c>
    </row>
    <row r="193" spans="2:4" ht="20.100000000000001" customHeight="1" x14ac:dyDescent="0.25">
      <c r="B193" s="1" t="s">
        <v>212</v>
      </c>
      <c r="C193" s="1">
        <v>101719</v>
      </c>
      <c r="D193" s="1">
        <v>246</v>
      </c>
    </row>
    <row r="194" spans="2:4" ht="20.100000000000001" customHeight="1" x14ac:dyDescent="0.25">
      <c r="B194" s="1" t="s">
        <v>213</v>
      </c>
      <c r="C194" s="1">
        <v>531324</v>
      </c>
      <c r="D194" s="1">
        <v>31</v>
      </c>
    </row>
    <row r="195" spans="2:4" ht="20.100000000000001" customHeight="1" x14ac:dyDescent="0.25">
      <c r="B195" s="1" t="s">
        <v>214</v>
      </c>
      <c r="C195" s="1">
        <v>382457</v>
      </c>
      <c r="D195" s="1">
        <v>46</v>
      </c>
    </row>
    <row r="196" spans="2:4" ht="20.100000000000001" customHeight="1" x14ac:dyDescent="0.25">
      <c r="B196" s="1" t="s">
        <v>215</v>
      </c>
      <c r="C196" s="1">
        <v>144515</v>
      </c>
      <c r="D196" s="1">
        <v>156</v>
      </c>
    </row>
    <row r="197" spans="2:4" ht="20.100000000000001" customHeight="1" x14ac:dyDescent="0.25">
      <c r="B197" s="1" t="s">
        <v>216</v>
      </c>
      <c r="C197" s="1">
        <v>533427</v>
      </c>
      <c r="D197" s="1">
        <v>30</v>
      </c>
    </row>
    <row r="198" spans="2:4" ht="20.100000000000001" customHeight="1" x14ac:dyDescent="0.25">
      <c r="B198" s="1" t="s">
        <v>217</v>
      </c>
      <c r="C198" s="1">
        <v>148751</v>
      </c>
      <c r="D198" s="1">
        <v>152</v>
      </c>
    </row>
    <row r="199" spans="2:4" ht="20.100000000000001" customHeight="1" x14ac:dyDescent="0.25">
      <c r="B199" s="1" t="s">
        <v>218</v>
      </c>
      <c r="C199" s="1">
        <v>106992</v>
      </c>
      <c r="D199" s="1">
        <v>225</v>
      </c>
    </row>
    <row r="200" spans="2:4" ht="20.100000000000001" customHeight="1" x14ac:dyDescent="0.25">
      <c r="B200" s="1" t="s">
        <v>219</v>
      </c>
      <c r="C200" s="1">
        <v>102612</v>
      </c>
      <c r="D200" s="1">
        <v>244</v>
      </c>
    </row>
    <row r="201" spans="2:4" ht="20.100000000000001" customHeight="1" x14ac:dyDescent="0.25">
      <c r="B201" s="1" t="s">
        <v>220</v>
      </c>
      <c r="C201" s="1">
        <v>1463281</v>
      </c>
      <c r="D201" s="1">
        <v>5</v>
      </c>
    </row>
    <row r="202" spans="2:4" ht="20.100000000000001" customHeight="1" x14ac:dyDescent="0.25">
      <c r="B202" s="1" t="s">
        <v>221</v>
      </c>
      <c r="C202" s="1">
        <v>316718</v>
      </c>
      <c r="D202" s="1">
        <v>57</v>
      </c>
    </row>
    <row r="203" spans="2:4" ht="20.100000000000001" customHeight="1" x14ac:dyDescent="0.25">
      <c r="B203" s="1" t="s">
        <v>222</v>
      </c>
      <c r="C203" s="1">
        <v>176862</v>
      </c>
      <c r="D203" s="1">
        <v>124</v>
      </c>
    </row>
    <row r="204" spans="2:4" ht="20.100000000000001" customHeight="1" x14ac:dyDescent="0.25">
      <c r="B204" s="1" t="s">
        <v>223</v>
      </c>
      <c r="C204" s="1">
        <v>106712</v>
      </c>
      <c r="D204" s="1">
        <v>226</v>
      </c>
    </row>
    <row r="205" spans="2:4" ht="20.100000000000001" customHeight="1" x14ac:dyDescent="0.25">
      <c r="B205" s="1" t="s">
        <v>224</v>
      </c>
      <c r="C205" s="1">
        <v>117088</v>
      </c>
      <c r="D205" s="1">
        <v>202</v>
      </c>
    </row>
    <row r="206" spans="2:4" ht="20.100000000000001" customHeight="1" x14ac:dyDescent="0.25">
      <c r="B206" s="1" t="s">
        <v>225</v>
      </c>
      <c r="C206" s="1">
        <v>139517</v>
      </c>
      <c r="D206" s="1">
        <v>167</v>
      </c>
    </row>
    <row r="207" spans="2:4" ht="20.100000000000001" customHeight="1" x14ac:dyDescent="0.25">
      <c r="B207" s="1" t="s">
        <v>226</v>
      </c>
      <c r="C207" s="1">
        <v>154762</v>
      </c>
      <c r="D207" s="1">
        <v>143</v>
      </c>
    </row>
    <row r="208" spans="2:4" ht="20.100000000000001" customHeight="1" x14ac:dyDescent="0.25">
      <c r="B208" s="1" t="s">
        <v>227</v>
      </c>
      <c r="C208" s="1">
        <v>112878</v>
      </c>
      <c r="D208" s="1">
        <v>210</v>
      </c>
    </row>
    <row r="209" spans="2:4" ht="20.100000000000001" customHeight="1" x14ac:dyDescent="0.25">
      <c r="B209" s="1" t="s">
        <v>228</v>
      </c>
      <c r="C209" s="1">
        <v>180130</v>
      </c>
      <c r="D209" s="1">
        <v>119</v>
      </c>
    </row>
    <row r="210" spans="2:4" ht="20.100000000000001" customHeight="1" x14ac:dyDescent="0.25">
      <c r="B210" s="1" t="s">
        <v>229</v>
      </c>
      <c r="C210" s="1">
        <v>672277</v>
      </c>
      <c r="D210" s="1">
        <v>17</v>
      </c>
    </row>
    <row r="211" spans="2:4" ht="20.100000000000001" customHeight="1" x14ac:dyDescent="0.25">
      <c r="B211" s="1" t="s">
        <v>230</v>
      </c>
      <c r="C211" s="1">
        <v>549110</v>
      </c>
      <c r="D211" s="1">
        <v>28</v>
      </c>
    </row>
    <row r="212" spans="2:4" ht="20.100000000000001" customHeight="1" x14ac:dyDescent="0.25">
      <c r="B212" s="1" t="s">
        <v>231</v>
      </c>
      <c r="C212" s="1">
        <v>114757</v>
      </c>
      <c r="D212" s="1">
        <v>206</v>
      </c>
    </row>
    <row r="213" spans="2:4" ht="20.100000000000001" customHeight="1" x14ac:dyDescent="0.25">
      <c r="B213" s="1" t="s">
        <v>232</v>
      </c>
      <c r="C213" s="1">
        <v>183021</v>
      </c>
      <c r="D213" s="1">
        <v>118</v>
      </c>
    </row>
    <row r="214" spans="2:4" ht="20.100000000000001" customHeight="1" x14ac:dyDescent="0.25">
      <c r="B214" s="1" t="s">
        <v>233</v>
      </c>
      <c r="C214" s="1">
        <v>362805</v>
      </c>
      <c r="D214" s="1">
        <v>50</v>
      </c>
    </row>
    <row r="215" spans="2:4" ht="20.100000000000001" customHeight="1" x14ac:dyDescent="0.25">
      <c r="B215" s="1" t="s">
        <v>234</v>
      </c>
      <c r="C215" s="1">
        <v>690252</v>
      </c>
      <c r="D215" s="1">
        <v>16</v>
      </c>
    </row>
    <row r="216" spans="2:4" ht="20.100000000000001" customHeight="1" x14ac:dyDescent="0.25">
      <c r="B216" s="1" t="s">
        <v>235</v>
      </c>
      <c r="C216" s="1">
        <v>111799</v>
      </c>
      <c r="D216" s="1">
        <v>214</v>
      </c>
    </row>
    <row r="217" spans="2:4" ht="20.100000000000001" customHeight="1" x14ac:dyDescent="0.25">
      <c r="B217" s="1" t="s">
        <v>236</v>
      </c>
      <c r="C217" s="1">
        <v>167493</v>
      </c>
      <c r="D217" s="1">
        <v>132</v>
      </c>
    </row>
    <row r="218" spans="2:4" ht="20.100000000000001" customHeight="1" x14ac:dyDescent="0.25">
      <c r="B218" s="1" t="s">
        <v>237</v>
      </c>
      <c r="C218" s="1">
        <v>118870</v>
      </c>
      <c r="D218" s="1">
        <v>197</v>
      </c>
    </row>
    <row r="219" spans="2:4" ht="20.100000000000001" customHeight="1" x14ac:dyDescent="0.25">
      <c r="B219" s="1" t="s">
        <v>238</v>
      </c>
      <c r="C219" s="1">
        <v>283474</v>
      </c>
      <c r="D219" s="1">
        <v>64</v>
      </c>
    </row>
    <row r="220" spans="2:4" ht="20.100000000000001" customHeight="1" x14ac:dyDescent="0.25">
      <c r="B220" s="1" t="s">
        <v>239</v>
      </c>
      <c r="C220" s="1">
        <v>1213825</v>
      </c>
      <c r="D220" s="1">
        <v>9</v>
      </c>
    </row>
    <row r="221" spans="2:4" ht="20.100000000000001" customHeight="1" x14ac:dyDescent="0.25">
      <c r="B221" s="1" t="s">
        <v>240</v>
      </c>
      <c r="C221" s="1">
        <v>104153</v>
      </c>
      <c r="D221" s="1">
        <v>237</v>
      </c>
    </row>
    <row r="222" spans="2:4" ht="20.100000000000001" customHeight="1" x14ac:dyDescent="0.25">
      <c r="B222" s="1" t="s">
        <v>241</v>
      </c>
      <c r="C222" s="1">
        <v>598590</v>
      </c>
      <c r="D222" s="1">
        <v>21</v>
      </c>
    </row>
    <row r="223" spans="2:4" ht="20.100000000000001" customHeight="1" x14ac:dyDescent="0.25">
      <c r="B223" s="1" t="s">
        <v>242</v>
      </c>
      <c r="C223" s="1">
        <v>624067</v>
      </c>
      <c r="D223" s="1">
        <v>19</v>
      </c>
    </row>
    <row r="224" spans="2:4" ht="20.100000000000001" customHeight="1" x14ac:dyDescent="0.25">
      <c r="B224" s="1" t="s">
        <v>243</v>
      </c>
      <c r="C224" s="1">
        <v>216346</v>
      </c>
      <c r="D224" s="1">
        <v>86</v>
      </c>
    </row>
    <row r="225" spans="2:4" ht="20.100000000000001" customHeight="1" x14ac:dyDescent="0.25">
      <c r="B225" s="1" t="s">
        <v>244</v>
      </c>
      <c r="C225" s="1">
        <v>144337</v>
      </c>
      <c r="D225" s="1">
        <v>157</v>
      </c>
    </row>
    <row r="226" spans="2:4" ht="20.100000000000001" customHeight="1" x14ac:dyDescent="0.25">
      <c r="B226" s="1" t="s">
        <v>245</v>
      </c>
      <c r="C226" s="1">
        <v>2016582</v>
      </c>
      <c r="D226" s="1">
        <v>4</v>
      </c>
    </row>
    <row r="227" spans="2:4" ht="20.100000000000001" customHeight="1" x14ac:dyDescent="0.25">
      <c r="B227" s="1" t="s">
        <v>246</v>
      </c>
      <c r="C227" s="1">
        <v>193649</v>
      </c>
      <c r="D227" s="1">
        <v>110</v>
      </c>
    </row>
    <row r="228" spans="2:4" ht="20.100000000000001" customHeight="1" x14ac:dyDescent="0.25">
      <c r="B228" s="1" t="s">
        <v>247</v>
      </c>
      <c r="C228" s="1">
        <v>100233</v>
      </c>
      <c r="D228" s="1">
        <v>251</v>
      </c>
    </row>
    <row r="229" spans="2:4" ht="20.100000000000001" customHeight="1" x14ac:dyDescent="0.25">
      <c r="B229" s="1" t="s">
        <v>248</v>
      </c>
      <c r="C229" s="1">
        <v>208754</v>
      </c>
      <c r="D229" s="1">
        <v>92</v>
      </c>
    </row>
    <row r="230" spans="2:4" ht="20.100000000000001" customHeight="1" x14ac:dyDescent="0.25">
      <c r="B230" s="1" t="s">
        <v>249</v>
      </c>
      <c r="C230" s="1">
        <v>209737</v>
      </c>
      <c r="D230" s="1">
        <v>91</v>
      </c>
    </row>
    <row r="231" spans="2:4" ht="20.100000000000001" customHeight="1" x14ac:dyDescent="0.25">
      <c r="B231" s="1" t="s">
        <v>250</v>
      </c>
      <c r="C231" s="1">
        <v>123622</v>
      </c>
      <c r="D231" s="1">
        <v>190</v>
      </c>
    </row>
    <row r="232" spans="2:4" ht="20.100000000000001" customHeight="1" x14ac:dyDescent="0.25">
      <c r="B232" s="1" t="s">
        <v>251</v>
      </c>
      <c r="C232" s="1">
        <v>129902</v>
      </c>
      <c r="D232" s="1">
        <v>180</v>
      </c>
    </row>
    <row r="233" spans="2:4" ht="20.100000000000001" customHeight="1" x14ac:dyDescent="0.25">
      <c r="B233" s="1" t="s">
        <v>252</v>
      </c>
      <c r="C233" s="1">
        <v>143852</v>
      </c>
      <c r="D233" s="1">
        <v>159</v>
      </c>
    </row>
    <row r="234" spans="2:4" ht="20.100000000000001" customHeight="1" x14ac:dyDescent="0.25">
      <c r="B234" s="1" t="s">
        <v>253</v>
      </c>
      <c r="C234" s="1">
        <v>250096</v>
      </c>
      <c r="D234" s="1">
        <v>70</v>
      </c>
    </row>
    <row r="235" spans="2:4" ht="20.100000000000001" customHeight="1" x14ac:dyDescent="0.25">
      <c r="B235" s="1" t="s">
        <v>254</v>
      </c>
      <c r="C235" s="1">
        <v>1256509</v>
      </c>
      <c r="D235" s="1">
        <v>7</v>
      </c>
    </row>
    <row r="236" spans="2:4" ht="20.100000000000001" customHeight="1" x14ac:dyDescent="0.25">
      <c r="B236" s="1" t="s">
        <v>255</v>
      </c>
      <c r="C236" s="1">
        <v>120465</v>
      </c>
      <c r="D236" s="1">
        <v>195</v>
      </c>
    </row>
    <row r="237" spans="2:4" ht="20.100000000000001" customHeight="1" x14ac:dyDescent="0.25">
      <c r="B237" s="1" t="s">
        <v>256</v>
      </c>
      <c r="C237" s="1">
        <v>178097</v>
      </c>
      <c r="D237" s="1">
        <v>122</v>
      </c>
    </row>
    <row r="238" spans="2:4" ht="20.100000000000001" customHeight="1" x14ac:dyDescent="0.25">
      <c r="B238" s="1" t="s">
        <v>257</v>
      </c>
      <c r="C238" s="1">
        <v>113300</v>
      </c>
      <c r="D238" s="1">
        <v>208</v>
      </c>
    </row>
    <row r="239" spans="2:4" ht="20.100000000000001" customHeight="1" x14ac:dyDescent="0.25">
      <c r="B239" s="1" t="s">
        <v>258</v>
      </c>
      <c r="C239" s="1">
        <v>135337</v>
      </c>
      <c r="D239" s="1">
        <v>171</v>
      </c>
    </row>
    <row r="240" spans="2:4" ht="20.100000000000001" customHeight="1" x14ac:dyDescent="0.25">
      <c r="B240" s="1" t="s">
        <v>259</v>
      </c>
      <c r="C240" s="1">
        <v>195965</v>
      </c>
      <c r="D240" s="1">
        <v>103</v>
      </c>
    </row>
    <row r="241" spans="2:4" ht="20.100000000000001" customHeight="1" x14ac:dyDescent="0.25">
      <c r="B241" s="1" t="s">
        <v>260</v>
      </c>
      <c r="C241" s="1">
        <v>218968</v>
      </c>
      <c r="D241" s="1">
        <v>85</v>
      </c>
    </row>
    <row r="242" spans="2:4" ht="20.100000000000001" customHeight="1" x14ac:dyDescent="0.25">
      <c r="B242" s="1" t="s">
        <v>261</v>
      </c>
      <c r="C242" s="1">
        <v>145579</v>
      </c>
      <c r="D242" s="1">
        <v>155</v>
      </c>
    </row>
    <row r="243" spans="2:4" ht="20.100000000000001" customHeight="1" x14ac:dyDescent="0.25">
      <c r="B243" s="1" t="s">
        <v>262</v>
      </c>
      <c r="C243" s="1">
        <v>179899</v>
      </c>
      <c r="D243" s="1">
        <v>120</v>
      </c>
    </row>
    <row r="244" spans="2:4" ht="20.100000000000001" customHeight="1" x14ac:dyDescent="0.25">
      <c r="B244" s="1" t="s">
        <v>263</v>
      </c>
      <c r="C244" s="1">
        <v>231954</v>
      </c>
      <c r="D244" s="1">
        <v>78</v>
      </c>
    </row>
    <row r="245" spans="2:4" ht="20.100000000000001" customHeight="1" x14ac:dyDescent="0.25">
      <c r="B245" s="1" t="s">
        <v>264</v>
      </c>
      <c r="C245" s="1">
        <v>100169</v>
      </c>
      <c r="D245" s="1">
        <v>252</v>
      </c>
    </row>
    <row r="246" spans="2:4" ht="20.100000000000001" customHeight="1" x14ac:dyDescent="0.25">
      <c r="B246" s="1" t="s">
        <v>265</v>
      </c>
      <c r="C246" s="1">
        <v>193777</v>
      </c>
      <c r="D246" s="1">
        <v>108</v>
      </c>
    </row>
    <row r="247" spans="2:4" ht="20.100000000000001" customHeight="1" x14ac:dyDescent="0.25">
      <c r="B247" s="1" t="s">
        <v>266</v>
      </c>
      <c r="C247" s="1">
        <v>438415</v>
      </c>
      <c r="D247" s="1">
        <v>42</v>
      </c>
    </row>
    <row r="248" spans="2:4" ht="20.100000000000001" customHeight="1" x14ac:dyDescent="0.25">
      <c r="B248" s="1" t="s">
        <v>267</v>
      </c>
      <c r="C248" s="1">
        <v>117137</v>
      </c>
      <c r="D248" s="1">
        <v>201</v>
      </c>
    </row>
    <row r="249" spans="2:4" ht="20.100000000000001" customHeight="1" x14ac:dyDescent="0.25">
      <c r="B249" s="1" t="s">
        <v>268</v>
      </c>
      <c r="C249" s="1">
        <v>573911</v>
      </c>
      <c r="D249" s="1">
        <v>23</v>
      </c>
    </row>
    <row r="250" spans="2:4" ht="20.100000000000001" customHeight="1" x14ac:dyDescent="0.25">
      <c r="B250" s="1" t="s">
        <v>269</v>
      </c>
      <c r="C250" s="1">
        <v>196818</v>
      </c>
      <c r="D250" s="1">
        <v>101</v>
      </c>
    </row>
    <row r="251" spans="2:4" ht="20.100000000000001" customHeight="1" x14ac:dyDescent="0.25">
      <c r="B251" s="1" t="s">
        <v>270</v>
      </c>
      <c r="C251" s="1">
        <v>195898</v>
      </c>
      <c r="D251" s="1">
        <v>104</v>
      </c>
    </row>
    <row r="252" spans="2:4" ht="20.100000000000001" customHeight="1" x14ac:dyDescent="0.25">
      <c r="B252" s="1" t="s">
        <v>271</v>
      </c>
      <c r="C252" s="1">
        <v>157493</v>
      </c>
      <c r="D252" s="1">
        <v>142</v>
      </c>
    </row>
    <row r="253" spans="2:4" ht="20.100000000000001" customHeight="1" x14ac:dyDescent="0.25">
      <c r="B253" s="1" t="s">
        <v>272</v>
      </c>
      <c r="C253" s="1">
        <v>101203</v>
      </c>
      <c r="D253" s="1">
        <v>247</v>
      </c>
    </row>
    <row r="254" spans="2:4" ht="20.100000000000001" customHeight="1" x14ac:dyDescent="0.25">
      <c r="B254" s="1" t="s">
        <v>273</v>
      </c>
      <c r="C254" s="1">
        <v>221551</v>
      </c>
      <c r="D254" s="1">
        <v>83</v>
      </c>
    </row>
    <row r="255" spans="2:4" ht="20.100000000000001" customHeight="1" x14ac:dyDescent="0.25">
      <c r="B255" s="1" t="s">
        <v>274</v>
      </c>
      <c r="C255" s="1">
        <v>578887</v>
      </c>
      <c r="D255" s="1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9CC50-669B-4D1D-B5CC-685823499DFD}">
  <sheetPr codeName="Sheet20"/>
  <dimension ref="A1:X254"/>
  <sheetViews>
    <sheetView tabSelected="1" zoomScale="88" workbookViewId="0">
      <pane xSplit="1" topLeftCell="N1" activePane="topRight" state="frozen"/>
      <selection pane="topRight" activeCell="R7" sqref="R7"/>
    </sheetView>
  </sheetViews>
  <sheetFormatPr defaultColWidth="10.59765625" defaultRowHeight="20.100000000000001" customHeight="1" x14ac:dyDescent="0.25"/>
  <cols>
    <col min="1" max="1" width="32.19921875" style="1" bestFit="1" customWidth="1"/>
    <col min="2" max="3" width="10.59765625" style="1"/>
    <col min="4" max="4" width="24.5" style="1" bestFit="1" customWidth="1"/>
    <col min="5" max="5" width="29" style="1" bestFit="1" customWidth="1"/>
    <col min="6" max="6" width="24.59765625" style="1" bestFit="1" customWidth="1"/>
    <col min="7" max="9" width="10.59765625" style="1"/>
    <col min="10" max="10" width="24.3984375" style="1" bestFit="1" customWidth="1"/>
    <col min="11" max="12" width="10.59765625" style="1"/>
    <col min="13" max="13" width="11.796875" style="1" customWidth="1"/>
    <col min="14" max="14" width="13.69921875" style="1" bestFit="1" customWidth="1"/>
    <col min="15" max="16" width="10.59765625" style="1"/>
    <col min="17" max="17" width="22.3984375" style="1" bestFit="1" customWidth="1"/>
    <col min="18" max="18" width="25.19921875" style="1" bestFit="1" customWidth="1"/>
    <col min="19" max="19" width="10.59765625" style="1"/>
    <col min="20" max="20" width="11" style="1" bestFit="1" customWidth="1"/>
    <col min="21" max="21" width="20.69921875" style="1" bestFit="1" customWidth="1"/>
    <col min="22" max="23" width="10.59765625" style="1"/>
    <col min="24" max="24" width="14.796875" style="1" bestFit="1" customWidth="1"/>
    <col min="25" max="16384" width="10.59765625" style="1"/>
  </cols>
  <sheetData>
    <row r="1" spans="1:24" ht="20.10000000000000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275</v>
      </c>
    </row>
    <row r="2" spans="1:24" ht="20.100000000000001" customHeight="1" x14ac:dyDescent="0.25">
      <c r="A2" s="3" t="s">
        <v>22</v>
      </c>
      <c r="B2" s="3">
        <v>231483</v>
      </c>
      <c r="C2" s="3">
        <v>79</v>
      </c>
      <c r="D2" s="3" t="str">
        <f>LOWER(A2)</f>
        <v>birmingham, alabama  35203</v>
      </c>
      <c r="E2" s="3" t="str">
        <f>UPPER(A2)</f>
        <v>BIRMINGHAM, ALABAMA  35203</v>
      </c>
      <c r="F2" s="3" t="str">
        <f>PROPER(D2)</f>
        <v>Birmingham, Alabama  35203</v>
      </c>
      <c r="G2" s="3" t="str">
        <f>LEFT(A2,10)</f>
        <v>Birmingham</v>
      </c>
      <c r="H2" s="3" t="str">
        <f>RIGHT(A2,5)</f>
        <v>35203</v>
      </c>
      <c r="I2" s="3">
        <f>LEN(A2)</f>
        <v>26</v>
      </c>
      <c r="J2" s="3">
        <f>LEN(TRIM(A2))</f>
        <v>25</v>
      </c>
      <c r="K2" s="3" t="str">
        <f>B2&amp;"--"&amp;C2</f>
        <v>231483--79</v>
      </c>
      <c r="L2" s="3" t="str">
        <f>_xlfn.CONCAT(B2,"--",C2)</f>
        <v>231483--79</v>
      </c>
      <c r="M2" s="3">
        <f>VALUE(H2)</f>
        <v>35203</v>
      </c>
      <c r="N2" s="3">
        <f>VALUE(RIGHT(A2,5))</f>
        <v>35203</v>
      </c>
      <c r="O2" s="3">
        <f>FIND("m",A2)</f>
        <v>4</v>
      </c>
      <c r="P2" s="3">
        <f>SEARCH("A",A2)</f>
        <v>9</v>
      </c>
      <c r="Q2" s="3" t="str">
        <f>REPLACE(A2,1,3,"***")</f>
        <v>***mingham, Alabama  35203</v>
      </c>
      <c r="R2" s="3" t="str">
        <f>SUBSTITUTE(A2,"B","#")</f>
        <v>#irmingham, Alabama  35203</v>
      </c>
      <c r="S2" s="3" t="str">
        <f>MID(A2,10,5)</f>
        <v>m, Al</v>
      </c>
      <c r="T2" s="3" t="s">
        <v>276</v>
      </c>
      <c r="U2" s="3" t="s">
        <v>520</v>
      </c>
      <c r="V2" s="3" t="str">
        <f>RIGHT(A2,5)</f>
        <v>35203</v>
      </c>
      <c r="W2" s="3"/>
      <c r="X2" s="1" t="str">
        <f>TRIM(MID(A2,FIND(",",A2)+1,LEN(A2)-FIND(",",A2)-5))</f>
        <v>Alabama</v>
      </c>
    </row>
    <row r="3" spans="1:24" ht="20.100000000000001" customHeight="1" x14ac:dyDescent="0.25">
      <c r="A3" s="3" t="s">
        <v>23</v>
      </c>
      <c r="B3" s="3">
        <v>166313</v>
      </c>
      <c r="C3" s="3">
        <v>134</v>
      </c>
      <c r="D3" s="3" t="str">
        <f t="shared" ref="D3:D66" si="0">LOWER(A3)</f>
        <v>huntsville, alabama  35813</v>
      </c>
      <c r="E3" s="3" t="str">
        <f t="shared" ref="E3:E66" si="1">UPPER(A3)</f>
        <v>HUNTSVILLE, ALABAMA  35813</v>
      </c>
      <c r="F3" s="3" t="str">
        <f t="shared" ref="F3:F66" si="2">PROPER(D3)</f>
        <v>Huntsville, Alabama  35813</v>
      </c>
      <c r="G3" s="3"/>
      <c r="H3" s="3" t="str">
        <f t="shared" ref="H3:H66" si="3">RIGHT(A3,5)</f>
        <v>35813</v>
      </c>
      <c r="I3" s="3">
        <f t="shared" ref="I3:I66" si="4">LEN(A3)</f>
        <v>26</v>
      </c>
      <c r="J3" s="3">
        <f t="shared" ref="J3:J66" si="5">LEN(TRIM(A3))</f>
        <v>25</v>
      </c>
      <c r="K3" s="3" t="str">
        <f t="shared" ref="K3:K66" si="6">B3&amp;"--"&amp;C3</f>
        <v>166313--134</v>
      </c>
      <c r="L3" s="3" t="str">
        <f t="shared" ref="L3:L66" si="7">_xlfn.CONCAT(B3,"--",C3)</f>
        <v>166313--134</v>
      </c>
      <c r="M3" s="3">
        <f t="shared" ref="M3:M66" si="8">VALUE(H3)</f>
        <v>35813</v>
      </c>
      <c r="N3" s="3"/>
      <c r="O3" s="3"/>
      <c r="P3" s="3"/>
      <c r="Q3" s="3"/>
      <c r="R3" s="3"/>
      <c r="S3" s="3"/>
      <c r="T3" s="3" t="s">
        <v>277</v>
      </c>
      <c r="U3" s="3" t="s">
        <v>520</v>
      </c>
      <c r="V3" s="3" t="str">
        <f t="shared" ref="V3:V66" si="9">RIGHT(A3,5)</f>
        <v>35813</v>
      </c>
      <c r="W3" s="3"/>
      <c r="X3" s="1" t="str">
        <f t="shared" ref="X3:X66" si="10">TRIM(MID(A3,FIND(",",A3)+1,LEN(A3)-FIND(",",A3)-5))</f>
        <v>Alabama</v>
      </c>
    </row>
    <row r="4" spans="1:24" ht="20.100000000000001" customHeight="1" x14ac:dyDescent="0.25">
      <c r="A4" s="3" t="s">
        <v>24</v>
      </c>
      <c r="B4" s="3">
        <v>191544</v>
      </c>
      <c r="C4" s="3">
        <v>112</v>
      </c>
      <c r="D4" s="3" t="str">
        <f t="shared" si="0"/>
        <v>mobile, alabama  36601</v>
      </c>
      <c r="E4" s="3" t="str">
        <f t="shared" si="1"/>
        <v>MOBILE, ALABAMA  36601</v>
      </c>
      <c r="F4" s="3" t="str">
        <f t="shared" si="2"/>
        <v>Mobile, Alabama  36601</v>
      </c>
      <c r="G4" s="3"/>
      <c r="H4" s="3" t="str">
        <f t="shared" si="3"/>
        <v>36601</v>
      </c>
      <c r="I4" s="3">
        <f t="shared" si="4"/>
        <v>22</v>
      </c>
      <c r="J4" s="3">
        <f t="shared" si="5"/>
        <v>21</v>
      </c>
      <c r="K4" s="3" t="str">
        <f t="shared" si="6"/>
        <v>191544--112</v>
      </c>
      <c r="L4" s="3" t="str">
        <f t="shared" si="7"/>
        <v>191544--112</v>
      </c>
      <c r="M4" s="3">
        <f t="shared" si="8"/>
        <v>36601</v>
      </c>
      <c r="N4" s="3"/>
      <c r="O4" s="3"/>
      <c r="P4" s="3"/>
      <c r="Q4" s="3"/>
      <c r="R4" s="3"/>
      <c r="S4" s="3"/>
      <c r="T4" s="3" t="s">
        <v>278</v>
      </c>
      <c r="U4" s="3" t="s">
        <v>520</v>
      </c>
      <c r="V4" s="3" t="str">
        <f t="shared" si="9"/>
        <v>36601</v>
      </c>
      <c r="W4" s="3"/>
      <c r="X4" s="1" t="str">
        <f t="shared" si="10"/>
        <v>Alabama</v>
      </c>
    </row>
    <row r="5" spans="1:24" ht="20.100000000000001" customHeight="1" x14ac:dyDescent="0.25">
      <c r="A5" s="3" t="s">
        <v>25</v>
      </c>
      <c r="B5" s="3">
        <v>200127</v>
      </c>
      <c r="C5" s="3">
        <v>97</v>
      </c>
      <c r="D5" s="3" t="str">
        <f t="shared" si="0"/>
        <v>montgomery, alabama  36119</v>
      </c>
      <c r="E5" s="3" t="str">
        <f t="shared" si="1"/>
        <v>MONTGOMERY, ALABAMA  36119</v>
      </c>
      <c r="F5" s="3" t="str">
        <f t="shared" si="2"/>
        <v>Montgomery, Alabama  36119</v>
      </c>
      <c r="G5" s="3"/>
      <c r="H5" s="3" t="str">
        <f t="shared" si="3"/>
        <v>36119</v>
      </c>
      <c r="I5" s="3">
        <f t="shared" si="4"/>
        <v>26</v>
      </c>
      <c r="J5" s="3">
        <f t="shared" si="5"/>
        <v>25</v>
      </c>
      <c r="K5" s="3" t="str">
        <f t="shared" si="6"/>
        <v>200127--97</v>
      </c>
      <c r="L5" s="3" t="str">
        <f t="shared" si="7"/>
        <v>200127--97</v>
      </c>
      <c r="M5" s="3">
        <f t="shared" si="8"/>
        <v>36119</v>
      </c>
      <c r="N5" s="3"/>
      <c r="O5" s="3"/>
      <c r="P5" s="3"/>
      <c r="Q5" s="3"/>
      <c r="R5" s="3"/>
      <c r="S5" s="3"/>
      <c r="T5" s="3" t="s">
        <v>279</v>
      </c>
      <c r="U5" s="3" t="s">
        <v>520</v>
      </c>
      <c r="V5" s="3" t="str">
        <f t="shared" si="9"/>
        <v>36119</v>
      </c>
      <c r="W5" s="3"/>
      <c r="X5" s="1" t="str">
        <f t="shared" si="10"/>
        <v>Alabama</v>
      </c>
    </row>
    <row r="6" spans="1:24" ht="20.100000000000001" customHeight="1" x14ac:dyDescent="0.25">
      <c r="A6" s="3" t="s">
        <v>26</v>
      </c>
      <c r="B6" s="3">
        <v>275043</v>
      </c>
      <c r="C6" s="3">
        <v>68</v>
      </c>
      <c r="D6" s="3" t="str">
        <f t="shared" si="0"/>
        <v>anchorage, alaska  99599</v>
      </c>
      <c r="E6" s="3" t="str">
        <f t="shared" si="1"/>
        <v>ANCHORAGE, ALASKA  99599</v>
      </c>
      <c r="F6" s="3" t="str">
        <f t="shared" si="2"/>
        <v>Anchorage, Alaska  99599</v>
      </c>
      <c r="G6" s="3"/>
      <c r="H6" s="3" t="str">
        <f t="shared" si="3"/>
        <v>99599</v>
      </c>
      <c r="I6" s="3">
        <f t="shared" si="4"/>
        <v>24</v>
      </c>
      <c r="J6" s="3">
        <f t="shared" si="5"/>
        <v>23</v>
      </c>
      <c r="K6" s="3" t="str">
        <f t="shared" si="6"/>
        <v>275043--68</v>
      </c>
      <c r="L6" s="3" t="str">
        <f t="shared" si="7"/>
        <v>275043--68</v>
      </c>
      <c r="M6" s="3">
        <f t="shared" si="8"/>
        <v>99599</v>
      </c>
      <c r="N6" s="3"/>
      <c r="O6" s="3"/>
      <c r="P6" s="3"/>
      <c r="Q6" s="3"/>
      <c r="R6" s="3"/>
      <c r="S6" s="3"/>
      <c r="T6" s="3" t="s">
        <v>280</v>
      </c>
      <c r="U6" s="3" t="s">
        <v>521</v>
      </c>
      <c r="V6" s="3" t="str">
        <f t="shared" si="9"/>
        <v>99599</v>
      </c>
      <c r="W6" s="3"/>
      <c r="X6" s="1" t="str">
        <f t="shared" si="10"/>
        <v>Alaska</v>
      </c>
    </row>
    <row r="7" spans="1:24" ht="20.100000000000001" customHeight="1" x14ac:dyDescent="0.25">
      <c r="A7" s="3" t="s">
        <v>27</v>
      </c>
      <c r="B7" s="3">
        <v>234939</v>
      </c>
      <c r="C7" s="3">
        <v>75</v>
      </c>
      <c r="D7" s="3" t="str">
        <f t="shared" si="0"/>
        <v>chandler, arizona  85225</v>
      </c>
      <c r="E7" s="3" t="str">
        <f t="shared" si="1"/>
        <v>CHANDLER, ARIZONA  85225</v>
      </c>
      <c r="F7" s="3" t="str">
        <f t="shared" si="2"/>
        <v>Chandler, Arizona  85225</v>
      </c>
      <c r="G7" s="3"/>
      <c r="H7" s="3" t="str">
        <f t="shared" si="3"/>
        <v>85225</v>
      </c>
      <c r="I7" s="3">
        <f t="shared" si="4"/>
        <v>24</v>
      </c>
      <c r="J7" s="3">
        <f t="shared" si="5"/>
        <v>23</v>
      </c>
      <c r="K7" s="3" t="str">
        <f t="shared" si="6"/>
        <v>234939--75</v>
      </c>
      <c r="L7" s="3" t="str">
        <f t="shared" si="7"/>
        <v>234939--75</v>
      </c>
      <c r="M7" s="3">
        <f t="shared" si="8"/>
        <v>85225</v>
      </c>
      <c r="N7" s="3"/>
      <c r="O7" s="3"/>
      <c r="P7" s="3"/>
      <c r="Q7" s="3"/>
      <c r="R7" s="3"/>
      <c r="S7" s="3"/>
      <c r="T7" s="3" t="s">
        <v>281</v>
      </c>
      <c r="U7" s="3" t="s">
        <v>522</v>
      </c>
      <c r="V7" s="3" t="str">
        <f t="shared" si="9"/>
        <v>85225</v>
      </c>
      <c r="W7" s="3"/>
      <c r="X7" s="1" t="str">
        <f t="shared" si="10"/>
        <v>Arizona</v>
      </c>
    </row>
    <row r="8" spans="1:24" ht="20.100000000000001" customHeight="1" x14ac:dyDescent="0.25">
      <c r="A8" s="3" t="s">
        <v>28</v>
      </c>
      <c r="B8" s="3">
        <v>173989</v>
      </c>
      <c r="C8" s="3">
        <v>127</v>
      </c>
      <c r="D8" s="3" t="str">
        <f t="shared" si="0"/>
        <v>gilbert, arizona  85296</v>
      </c>
      <c r="E8" s="3" t="str">
        <f t="shared" si="1"/>
        <v>GILBERT, ARIZONA  85296</v>
      </c>
      <c r="F8" s="3" t="str">
        <f t="shared" si="2"/>
        <v>Gilbert, Arizona  85296</v>
      </c>
      <c r="G8" s="3"/>
      <c r="H8" s="3" t="str">
        <f t="shared" si="3"/>
        <v>85296</v>
      </c>
      <c r="I8" s="3">
        <f t="shared" si="4"/>
        <v>23</v>
      </c>
      <c r="J8" s="3">
        <f t="shared" si="5"/>
        <v>22</v>
      </c>
      <c r="K8" s="3" t="str">
        <f t="shared" si="6"/>
        <v>173989--127</v>
      </c>
      <c r="L8" s="3" t="str">
        <f t="shared" si="7"/>
        <v>173989--127</v>
      </c>
      <c r="M8" s="3">
        <f t="shared" si="8"/>
        <v>85296</v>
      </c>
      <c r="N8" s="3"/>
      <c r="O8" s="3"/>
      <c r="P8" s="3"/>
      <c r="Q8" s="3"/>
      <c r="R8" s="3"/>
      <c r="S8" s="3"/>
      <c r="T8" s="3" t="s">
        <v>282</v>
      </c>
      <c r="U8" s="3" t="s">
        <v>522</v>
      </c>
      <c r="V8" s="3" t="str">
        <f t="shared" si="9"/>
        <v>85296</v>
      </c>
      <c r="W8" s="3"/>
      <c r="X8" s="1" t="str">
        <f t="shared" si="10"/>
        <v>Arizona</v>
      </c>
    </row>
    <row r="9" spans="1:24" ht="20.100000000000001" customHeight="1" x14ac:dyDescent="0.25">
      <c r="A9" s="3" t="s">
        <v>29</v>
      </c>
      <c r="B9" s="3">
        <v>239435</v>
      </c>
      <c r="C9" s="3">
        <v>73</v>
      </c>
      <c r="D9" s="3" t="str">
        <f t="shared" si="0"/>
        <v>glendale, arizona  85302</v>
      </c>
      <c r="E9" s="3" t="str">
        <f t="shared" si="1"/>
        <v>GLENDALE, ARIZONA  85302</v>
      </c>
      <c r="F9" s="3" t="str">
        <f t="shared" si="2"/>
        <v>Glendale, Arizona  85302</v>
      </c>
      <c r="G9" s="3"/>
      <c r="H9" s="3" t="str">
        <f t="shared" si="3"/>
        <v>85302</v>
      </c>
      <c r="I9" s="3">
        <f t="shared" si="4"/>
        <v>24</v>
      </c>
      <c r="J9" s="3">
        <f t="shared" si="5"/>
        <v>23</v>
      </c>
      <c r="K9" s="3" t="str">
        <f t="shared" si="6"/>
        <v>239435--73</v>
      </c>
      <c r="L9" s="3" t="str">
        <f t="shared" si="7"/>
        <v>239435--73</v>
      </c>
      <c r="M9" s="3">
        <f t="shared" si="8"/>
        <v>85302</v>
      </c>
      <c r="N9" s="3"/>
      <c r="O9" s="3"/>
      <c r="P9" s="3"/>
      <c r="Q9" s="3"/>
      <c r="R9" s="3"/>
      <c r="S9" s="3"/>
      <c r="T9" s="3" t="s">
        <v>283</v>
      </c>
      <c r="U9" s="3" t="s">
        <v>522</v>
      </c>
      <c r="V9" s="3" t="str">
        <f t="shared" si="9"/>
        <v>85302</v>
      </c>
      <c r="W9" s="3"/>
      <c r="X9" s="1" t="str">
        <f t="shared" si="10"/>
        <v>Arizona</v>
      </c>
    </row>
    <row r="10" spans="1:24" ht="20.100000000000001" customHeight="1" x14ac:dyDescent="0.25">
      <c r="A10" s="3" t="s">
        <v>30</v>
      </c>
      <c r="B10" s="3">
        <v>442780</v>
      </c>
      <c r="C10" s="3">
        <v>41</v>
      </c>
      <c r="D10" s="3" t="str">
        <f t="shared" si="0"/>
        <v>mesa, arizona  85201</v>
      </c>
      <c r="E10" s="3" t="str">
        <f t="shared" si="1"/>
        <v>MESA, ARIZONA  85201</v>
      </c>
      <c r="F10" s="3" t="str">
        <f t="shared" si="2"/>
        <v>Mesa, Arizona  85201</v>
      </c>
      <c r="G10" s="3"/>
      <c r="H10" s="3" t="str">
        <f t="shared" si="3"/>
        <v>85201</v>
      </c>
      <c r="I10" s="3">
        <f t="shared" si="4"/>
        <v>20</v>
      </c>
      <c r="J10" s="3">
        <f t="shared" si="5"/>
        <v>19</v>
      </c>
      <c r="K10" s="3" t="str">
        <f t="shared" si="6"/>
        <v>442780--41</v>
      </c>
      <c r="L10" s="3" t="str">
        <f t="shared" si="7"/>
        <v>442780--41</v>
      </c>
      <c r="M10" s="3">
        <f t="shared" si="8"/>
        <v>85201</v>
      </c>
      <c r="N10" s="3"/>
      <c r="O10" s="3"/>
      <c r="P10" s="3"/>
      <c r="Q10" s="3"/>
      <c r="R10" s="3"/>
      <c r="S10" s="3"/>
      <c r="T10" s="3" t="s">
        <v>284</v>
      </c>
      <c r="U10" s="3" t="s">
        <v>522</v>
      </c>
      <c r="V10" s="3" t="str">
        <f t="shared" si="9"/>
        <v>85201</v>
      </c>
      <c r="W10" s="3"/>
      <c r="X10" s="1" t="str">
        <f t="shared" si="10"/>
        <v>Arizona</v>
      </c>
    </row>
    <row r="11" spans="1:24" ht="20.100000000000001" customHeight="1" x14ac:dyDescent="0.25">
      <c r="A11" s="3" t="s">
        <v>31</v>
      </c>
      <c r="B11" s="3">
        <v>138200</v>
      </c>
      <c r="C11" s="3">
        <v>169</v>
      </c>
      <c r="D11" s="3" t="str">
        <f t="shared" si="0"/>
        <v>peoria, arizona  85381</v>
      </c>
      <c r="E11" s="3" t="str">
        <f t="shared" si="1"/>
        <v>PEORIA, ARIZONA  85381</v>
      </c>
      <c r="F11" s="3" t="str">
        <f t="shared" si="2"/>
        <v>Peoria, Arizona  85381</v>
      </c>
      <c r="G11" s="3"/>
      <c r="H11" s="3" t="str">
        <f t="shared" si="3"/>
        <v>85381</v>
      </c>
      <c r="I11" s="3">
        <f t="shared" si="4"/>
        <v>22</v>
      </c>
      <c r="J11" s="3">
        <f t="shared" si="5"/>
        <v>21</v>
      </c>
      <c r="K11" s="3" t="str">
        <f t="shared" si="6"/>
        <v>138200--169</v>
      </c>
      <c r="L11" s="3" t="str">
        <f t="shared" si="7"/>
        <v>138200--169</v>
      </c>
      <c r="M11" s="3">
        <f t="shared" si="8"/>
        <v>85381</v>
      </c>
      <c r="N11" s="3"/>
      <c r="O11" s="3"/>
      <c r="P11" s="3"/>
      <c r="Q11" s="3"/>
      <c r="R11" s="3"/>
      <c r="S11" s="3"/>
      <c r="T11" s="3" t="s">
        <v>285</v>
      </c>
      <c r="U11" s="3" t="s">
        <v>522</v>
      </c>
      <c r="V11" s="3" t="str">
        <f t="shared" si="9"/>
        <v>85381</v>
      </c>
      <c r="W11" s="3"/>
      <c r="X11" s="1" t="str">
        <f t="shared" si="10"/>
        <v>Arizona</v>
      </c>
    </row>
    <row r="12" spans="1:24" ht="20.100000000000001" customHeight="1" x14ac:dyDescent="0.25">
      <c r="A12" s="3" t="s">
        <v>32</v>
      </c>
      <c r="B12" s="3">
        <v>1461575</v>
      </c>
      <c r="C12" s="3">
        <v>6</v>
      </c>
      <c r="D12" s="3" t="str">
        <f t="shared" si="0"/>
        <v>phoenix, arizona  85026</v>
      </c>
      <c r="E12" s="3" t="str">
        <f t="shared" si="1"/>
        <v>PHOENIX, ARIZONA  85026</v>
      </c>
      <c r="F12" s="3" t="str">
        <f t="shared" si="2"/>
        <v>Phoenix, Arizona  85026</v>
      </c>
      <c r="G12" s="3"/>
      <c r="H12" s="3" t="str">
        <f t="shared" si="3"/>
        <v>85026</v>
      </c>
      <c r="I12" s="3">
        <f t="shared" si="4"/>
        <v>23</v>
      </c>
      <c r="J12" s="3">
        <f t="shared" si="5"/>
        <v>22</v>
      </c>
      <c r="K12" s="3" t="str">
        <f t="shared" si="6"/>
        <v>1461575--6</v>
      </c>
      <c r="L12" s="3" t="str">
        <f t="shared" si="7"/>
        <v>1461575--6</v>
      </c>
      <c r="M12" s="3">
        <f t="shared" si="8"/>
        <v>85026</v>
      </c>
      <c r="N12" s="3"/>
      <c r="O12" s="3"/>
      <c r="P12" s="3"/>
      <c r="Q12" s="3"/>
      <c r="R12" s="3"/>
      <c r="S12" s="3"/>
      <c r="T12" s="3" t="s">
        <v>286</v>
      </c>
      <c r="U12" s="3" t="s">
        <v>522</v>
      </c>
      <c r="V12" s="3" t="str">
        <f t="shared" si="9"/>
        <v>85026</v>
      </c>
      <c r="W12" s="3"/>
      <c r="X12" s="1" t="str">
        <f t="shared" si="10"/>
        <v>Arizona</v>
      </c>
    </row>
    <row r="13" spans="1:24" ht="20.100000000000001" customHeight="1" x14ac:dyDescent="0.25">
      <c r="A13" s="3" t="s">
        <v>33</v>
      </c>
      <c r="B13" s="3">
        <v>226013</v>
      </c>
      <c r="C13" s="3">
        <v>80</v>
      </c>
      <c r="D13" s="3" t="str">
        <f t="shared" si="0"/>
        <v>scottsdale, arizona  85251</v>
      </c>
      <c r="E13" s="3" t="str">
        <f t="shared" si="1"/>
        <v>SCOTTSDALE, ARIZONA  85251</v>
      </c>
      <c r="F13" s="3" t="str">
        <f t="shared" si="2"/>
        <v>Scottsdale, Arizona  85251</v>
      </c>
      <c r="G13" s="3"/>
      <c r="H13" s="3" t="str">
        <f t="shared" si="3"/>
        <v>85251</v>
      </c>
      <c r="I13" s="3">
        <f t="shared" si="4"/>
        <v>26</v>
      </c>
      <c r="J13" s="3">
        <f t="shared" si="5"/>
        <v>25</v>
      </c>
      <c r="K13" s="3" t="str">
        <f t="shared" si="6"/>
        <v>226013--80</v>
      </c>
      <c r="L13" s="3" t="str">
        <f t="shared" si="7"/>
        <v>226013--80</v>
      </c>
      <c r="M13" s="3">
        <f t="shared" si="8"/>
        <v>85251</v>
      </c>
      <c r="N13" s="3"/>
      <c r="O13" s="3"/>
      <c r="P13" s="3"/>
      <c r="Q13" s="3"/>
      <c r="R13" s="3"/>
      <c r="S13" s="3"/>
      <c r="T13" s="3" t="s">
        <v>287</v>
      </c>
      <c r="U13" s="3" t="s">
        <v>522</v>
      </c>
      <c r="V13" s="3" t="str">
        <f t="shared" si="9"/>
        <v>85251</v>
      </c>
      <c r="W13" s="3"/>
      <c r="X13" s="1" t="str">
        <f t="shared" si="10"/>
        <v>Arizona</v>
      </c>
    </row>
    <row r="14" spans="1:24" ht="20.100000000000001" customHeight="1" x14ac:dyDescent="0.25">
      <c r="A14" s="3" t="s">
        <v>34</v>
      </c>
      <c r="B14" s="3">
        <v>161143</v>
      </c>
      <c r="C14" s="3">
        <v>139</v>
      </c>
      <c r="D14" s="3" t="str">
        <f t="shared" si="0"/>
        <v>tempe, arizona  85282</v>
      </c>
      <c r="E14" s="3" t="str">
        <f t="shared" si="1"/>
        <v>TEMPE, ARIZONA  85282</v>
      </c>
      <c r="F14" s="3" t="str">
        <f t="shared" si="2"/>
        <v>Tempe, Arizona  85282</v>
      </c>
      <c r="G14" s="3"/>
      <c r="H14" s="3" t="str">
        <f t="shared" si="3"/>
        <v>85282</v>
      </c>
      <c r="I14" s="3">
        <f t="shared" si="4"/>
        <v>21</v>
      </c>
      <c r="J14" s="3">
        <f t="shared" si="5"/>
        <v>20</v>
      </c>
      <c r="K14" s="3" t="str">
        <f t="shared" si="6"/>
        <v>161143--139</v>
      </c>
      <c r="L14" s="3" t="str">
        <f t="shared" si="7"/>
        <v>161143--139</v>
      </c>
      <c r="M14" s="3">
        <f t="shared" si="8"/>
        <v>85282</v>
      </c>
      <c r="N14" s="3"/>
      <c r="O14" s="3"/>
      <c r="P14" s="3"/>
      <c r="Q14" s="3"/>
      <c r="R14" s="3"/>
      <c r="S14" s="3"/>
      <c r="T14" s="3" t="s">
        <v>288</v>
      </c>
      <c r="U14" s="3" t="s">
        <v>522</v>
      </c>
      <c r="V14" s="3" t="str">
        <f t="shared" si="9"/>
        <v>85282</v>
      </c>
      <c r="W14" s="3"/>
      <c r="X14" s="1" t="str">
        <f t="shared" si="10"/>
        <v>Arizona</v>
      </c>
    </row>
    <row r="15" spans="1:24" ht="20.100000000000001" customHeight="1" x14ac:dyDescent="0.25">
      <c r="A15" s="3" t="s">
        <v>35</v>
      </c>
      <c r="B15" s="3">
        <v>515526</v>
      </c>
      <c r="C15" s="3">
        <v>32</v>
      </c>
      <c r="D15" s="3" t="str">
        <f t="shared" si="0"/>
        <v>tucson, arizona  85726</v>
      </c>
      <c r="E15" s="3" t="str">
        <f t="shared" si="1"/>
        <v>TUCSON, ARIZONA  85726</v>
      </c>
      <c r="F15" s="3" t="str">
        <f t="shared" si="2"/>
        <v>Tucson, Arizona  85726</v>
      </c>
      <c r="G15" s="3"/>
      <c r="H15" s="3" t="str">
        <f t="shared" si="3"/>
        <v>85726</v>
      </c>
      <c r="I15" s="3">
        <f t="shared" si="4"/>
        <v>22</v>
      </c>
      <c r="J15" s="3">
        <f t="shared" si="5"/>
        <v>21</v>
      </c>
      <c r="K15" s="3" t="str">
        <f t="shared" si="6"/>
        <v>515526--32</v>
      </c>
      <c r="L15" s="3" t="str">
        <f t="shared" si="7"/>
        <v>515526--32</v>
      </c>
      <c r="M15" s="3">
        <f t="shared" si="8"/>
        <v>85726</v>
      </c>
      <c r="N15" s="3"/>
      <c r="O15" s="3"/>
      <c r="P15" s="3"/>
      <c r="Q15" s="3"/>
      <c r="R15" s="3"/>
      <c r="S15" s="3"/>
      <c r="T15" s="3" t="s">
        <v>289</v>
      </c>
      <c r="U15" s="3" t="s">
        <v>522</v>
      </c>
      <c r="V15" s="3" t="str">
        <f t="shared" si="9"/>
        <v>85726</v>
      </c>
      <c r="W15" s="3"/>
      <c r="X15" s="1" t="str">
        <f t="shared" si="10"/>
        <v>Arizona</v>
      </c>
    </row>
    <row r="16" spans="1:24" ht="20.100000000000001" customHeight="1" x14ac:dyDescent="0.25">
      <c r="A16" s="3" t="s">
        <v>36</v>
      </c>
      <c r="B16" s="3">
        <v>184564</v>
      </c>
      <c r="C16" s="3">
        <v>116</v>
      </c>
      <c r="D16" s="3" t="str">
        <f t="shared" si="0"/>
        <v>little rock, arkansas  72202</v>
      </c>
      <c r="E16" s="3" t="str">
        <f t="shared" si="1"/>
        <v>LITTLE ROCK, ARKANSAS  72202</v>
      </c>
      <c r="F16" s="3" t="str">
        <f t="shared" si="2"/>
        <v>Little Rock, Arkansas  72202</v>
      </c>
      <c r="G16" s="3"/>
      <c r="H16" s="3" t="str">
        <f t="shared" si="3"/>
        <v>72202</v>
      </c>
      <c r="I16" s="3">
        <f t="shared" si="4"/>
        <v>28</v>
      </c>
      <c r="J16" s="3">
        <f t="shared" si="5"/>
        <v>27</v>
      </c>
      <c r="K16" s="3" t="str">
        <f t="shared" si="6"/>
        <v>184564--116</v>
      </c>
      <c r="L16" s="3" t="str">
        <f t="shared" si="7"/>
        <v>184564--116</v>
      </c>
      <c r="M16" s="3">
        <f t="shared" si="8"/>
        <v>72202</v>
      </c>
      <c r="N16" s="3"/>
      <c r="O16" s="3"/>
      <c r="P16" s="3"/>
      <c r="Q16" s="3"/>
      <c r="R16" s="3"/>
      <c r="S16" s="3"/>
      <c r="T16" s="3" t="s">
        <v>290</v>
      </c>
      <c r="U16" s="3" t="s">
        <v>523</v>
      </c>
      <c r="V16" s="3" t="str">
        <f t="shared" si="9"/>
        <v>72202</v>
      </c>
      <c r="W16" s="3"/>
      <c r="X16" s="1" t="str">
        <f t="shared" si="10"/>
        <v>Arkansas</v>
      </c>
    </row>
    <row r="17" spans="1:24" ht="20.100000000000001" customHeight="1" x14ac:dyDescent="0.25">
      <c r="A17" s="3" t="s">
        <v>37</v>
      </c>
      <c r="B17" s="3">
        <v>331804</v>
      </c>
      <c r="C17" s="3">
        <v>55</v>
      </c>
      <c r="D17" s="3" t="str">
        <f t="shared" si="0"/>
        <v>anaheim, california  92803</v>
      </c>
      <c r="E17" s="3" t="str">
        <f t="shared" si="1"/>
        <v>ANAHEIM, CALIFORNIA  92803</v>
      </c>
      <c r="F17" s="3" t="str">
        <f t="shared" si="2"/>
        <v>Anaheim, California  92803</v>
      </c>
      <c r="G17" s="3"/>
      <c r="H17" s="3" t="str">
        <f t="shared" si="3"/>
        <v>92803</v>
      </c>
      <c r="I17" s="3">
        <f t="shared" si="4"/>
        <v>26</v>
      </c>
      <c r="J17" s="3">
        <f t="shared" si="5"/>
        <v>25</v>
      </c>
      <c r="K17" s="3" t="str">
        <f t="shared" si="6"/>
        <v>331804--55</v>
      </c>
      <c r="L17" s="3" t="str">
        <f t="shared" si="7"/>
        <v>331804--55</v>
      </c>
      <c r="M17" s="3">
        <f t="shared" si="8"/>
        <v>92803</v>
      </c>
      <c r="N17" s="3"/>
      <c r="O17" s="3"/>
      <c r="P17" s="3"/>
      <c r="Q17" s="3"/>
      <c r="R17" s="3"/>
      <c r="S17" s="3"/>
      <c r="T17" s="3" t="s">
        <v>291</v>
      </c>
      <c r="U17" s="3" t="s">
        <v>524</v>
      </c>
      <c r="V17" s="3" t="str">
        <f t="shared" si="9"/>
        <v>92803</v>
      </c>
      <c r="W17" s="3"/>
      <c r="X17" s="1" t="str">
        <f t="shared" si="10"/>
        <v>California</v>
      </c>
    </row>
    <row r="18" spans="1:24" ht="20.100000000000001" customHeight="1" x14ac:dyDescent="0.25">
      <c r="A18" s="3" t="s">
        <v>38</v>
      </c>
      <c r="B18" s="3">
        <v>100631</v>
      </c>
      <c r="C18" s="3">
        <v>249</v>
      </c>
      <c r="D18" s="3" t="str">
        <f t="shared" si="0"/>
        <v>antioch, california  94509</v>
      </c>
      <c r="E18" s="3" t="str">
        <f t="shared" si="1"/>
        <v>ANTIOCH, CALIFORNIA  94509</v>
      </c>
      <c r="F18" s="3" t="str">
        <f t="shared" si="2"/>
        <v>Antioch, California  94509</v>
      </c>
      <c r="G18" s="3"/>
      <c r="H18" s="3" t="str">
        <f t="shared" si="3"/>
        <v>94509</v>
      </c>
      <c r="I18" s="3">
        <f t="shared" si="4"/>
        <v>26</v>
      </c>
      <c r="J18" s="3">
        <f t="shared" si="5"/>
        <v>25</v>
      </c>
      <c r="K18" s="3" t="str">
        <f t="shared" si="6"/>
        <v>100631--249</v>
      </c>
      <c r="L18" s="3" t="str">
        <f t="shared" si="7"/>
        <v>100631--249</v>
      </c>
      <c r="M18" s="3">
        <f t="shared" si="8"/>
        <v>94509</v>
      </c>
      <c r="N18" s="3"/>
      <c r="O18" s="3"/>
      <c r="P18" s="3"/>
      <c r="Q18" s="3"/>
      <c r="R18" s="3"/>
      <c r="S18" s="3"/>
      <c r="T18" s="3" t="s">
        <v>292</v>
      </c>
      <c r="U18" s="3" t="s">
        <v>524</v>
      </c>
      <c r="V18" s="3" t="str">
        <f t="shared" si="9"/>
        <v>94509</v>
      </c>
      <c r="W18" s="3"/>
      <c r="X18" s="1" t="str">
        <f t="shared" si="10"/>
        <v>California</v>
      </c>
    </row>
    <row r="19" spans="1:24" ht="20.100000000000001" customHeight="1" x14ac:dyDescent="0.25">
      <c r="A19" s="3" t="s">
        <v>39</v>
      </c>
      <c r="B19" s="3">
        <v>295536</v>
      </c>
      <c r="C19" s="3">
        <v>61</v>
      </c>
      <c r="D19" s="3" t="str">
        <f t="shared" si="0"/>
        <v>bakersfield, california  93380</v>
      </c>
      <c r="E19" s="3" t="str">
        <f t="shared" si="1"/>
        <v>BAKERSFIELD, CALIFORNIA  93380</v>
      </c>
      <c r="F19" s="3" t="str">
        <f t="shared" si="2"/>
        <v>Bakersfield, California  93380</v>
      </c>
      <c r="G19" s="3"/>
      <c r="H19" s="3" t="str">
        <f t="shared" si="3"/>
        <v>93380</v>
      </c>
      <c r="I19" s="3">
        <f t="shared" si="4"/>
        <v>30</v>
      </c>
      <c r="J19" s="3">
        <f t="shared" si="5"/>
        <v>29</v>
      </c>
      <c r="K19" s="3" t="str">
        <f t="shared" si="6"/>
        <v>295536--61</v>
      </c>
      <c r="L19" s="3" t="str">
        <f t="shared" si="7"/>
        <v>295536--61</v>
      </c>
      <c r="M19" s="3">
        <f t="shared" si="8"/>
        <v>93380</v>
      </c>
      <c r="N19" s="3"/>
      <c r="O19" s="3"/>
      <c r="P19" s="3"/>
      <c r="Q19" s="3"/>
      <c r="R19" s="3"/>
      <c r="S19" s="3"/>
      <c r="T19" s="3" t="s">
        <v>293</v>
      </c>
      <c r="U19" s="3" t="s">
        <v>524</v>
      </c>
      <c r="V19" s="3" t="str">
        <f t="shared" si="9"/>
        <v>93380</v>
      </c>
      <c r="W19" s="3"/>
      <c r="X19" s="1" t="str">
        <f t="shared" si="10"/>
        <v>California</v>
      </c>
    </row>
    <row r="20" spans="1:24" ht="20.100000000000001" customHeight="1" x14ac:dyDescent="0.25">
      <c r="A20" s="3" t="s">
        <v>40</v>
      </c>
      <c r="B20" s="3">
        <v>100744</v>
      </c>
      <c r="C20" s="3">
        <v>248</v>
      </c>
      <c r="D20" s="3" t="str">
        <f t="shared" si="0"/>
        <v>berkeley, california  94704</v>
      </c>
      <c r="E20" s="3" t="str">
        <f t="shared" si="1"/>
        <v>BERKELEY, CALIFORNIA  94704</v>
      </c>
      <c r="F20" s="3" t="str">
        <f t="shared" si="2"/>
        <v>Berkeley, California  94704</v>
      </c>
      <c r="G20" s="3"/>
      <c r="H20" s="3" t="str">
        <f t="shared" si="3"/>
        <v>94704</v>
      </c>
      <c r="I20" s="3">
        <f t="shared" si="4"/>
        <v>27</v>
      </c>
      <c r="J20" s="3">
        <f t="shared" si="5"/>
        <v>26</v>
      </c>
      <c r="K20" s="3" t="str">
        <f t="shared" si="6"/>
        <v>100744--248</v>
      </c>
      <c r="L20" s="3" t="str">
        <f t="shared" si="7"/>
        <v>100744--248</v>
      </c>
      <c r="M20" s="3">
        <f t="shared" si="8"/>
        <v>94704</v>
      </c>
      <c r="N20" s="3"/>
      <c r="O20" s="3"/>
      <c r="P20" s="3"/>
      <c r="Q20" s="3"/>
      <c r="R20" s="3"/>
      <c r="S20" s="3"/>
      <c r="T20" s="3" t="s">
        <v>294</v>
      </c>
      <c r="U20" s="3" t="s">
        <v>524</v>
      </c>
      <c r="V20" s="3" t="str">
        <f t="shared" si="9"/>
        <v>94704</v>
      </c>
      <c r="W20" s="3"/>
      <c r="X20" s="1" t="str">
        <f t="shared" si="10"/>
        <v>California</v>
      </c>
    </row>
    <row r="21" spans="1:24" ht="20.100000000000001" customHeight="1" x14ac:dyDescent="0.25">
      <c r="A21" s="3" t="s">
        <v>41</v>
      </c>
      <c r="B21" s="3">
        <v>104108</v>
      </c>
      <c r="C21" s="3">
        <v>238</v>
      </c>
      <c r="D21" s="3" t="str">
        <f t="shared" si="0"/>
        <v>burbank, california  91505</v>
      </c>
      <c r="E21" s="3" t="str">
        <f t="shared" si="1"/>
        <v>BURBANK, CALIFORNIA  91505</v>
      </c>
      <c r="F21" s="3" t="str">
        <f t="shared" si="2"/>
        <v>Burbank, California  91505</v>
      </c>
      <c r="G21" s="3"/>
      <c r="H21" s="3" t="str">
        <f t="shared" si="3"/>
        <v>91505</v>
      </c>
      <c r="I21" s="3">
        <f t="shared" si="4"/>
        <v>26</v>
      </c>
      <c r="J21" s="3">
        <f t="shared" si="5"/>
        <v>25</v>
      </c>
      <c r="K21" s="3" t="str">
        <f t="shared" si="6"/>
        <v>104108--238</v>
      </c>
      <c r="L21" s="3" t="str">
        <f t="shared" si="7"/>
        <v>104108--238</v>
      </c>
      <c r="M21" s="3">
        <f t="shared" si="8"/>
        <v>91505</v>
      </c>
      <c r="N21" s="3"/>
      <c r="O21" s="3"/>
      <c r="P21" s="3"/>
      <c r="Q21" s="3"/>
      <c r="R21" s="3"/>
      <c r="S21" s="3"/>
      <c r="T21" s="3" t="s">
        <v>295</v>
      </c>
      <c r="U21" s="3" t="s">
        <v>524</v>
      </c>
      <c r="V21" s="3" t="str">
        <f t="shared" si="9"/>
        <v>91505</v>
      </c>
      <c r="W21" s="3"/>
      <c r="X21" s="1" t="str">
        <f t="shared" si="10"/>
        <v>California</v>
      </c>
    </row>
    <row r="22" spans="1:24" ht="20.100000000000001" customHeight="1" x14ac:dyDescent="0.25">
      <c r="A22" s="3" t="s">
        <v>42</v>
      </c>
      <c r="B22" s="3">
        <v>210497</v>
      </c>
      <c r="C22" s="3">
        <v>90</v>
      </c>
      <c r="D22" s="3" t="str">
        <f t="shared" si="0"/>
        <v>chula vista, california  91910</v>
      </c>
      <c r="E22" s="3" t="str">
        <f t="shared" si="1"/>
        <v>CHULA VISTA, CALIFORNIA  91910</v>
      </c>
      <c r="F22" s="3" t="str">
        <f t="shared" si="2"/>
        <v>Chula Vista, California  91910</v>
      </c>
      <c r="G22" s="3"/>
      <c r="H22" s="3" t="str">
        <f t="shared" si="3"/>
        <v>91910</v>
      </c>
      <c r="I22" s="3">
        <f t="shared" si="4"/>
        <v>30</v>
      </c>
      <c r="J22" s="3">
        <f t="shared" si="5"/>
        <v>29</v>
      </c>
      <c r="K22" s="3" t="str">
        <f t="shared" si="6"/>
        <v>210497--90</v>
      </c>
      <c r="L22" s="3" t="str">
        <f t="shared" si="7"/>
        <v>210497--90</v>
      </c>
      <c r="M22" s="3">
        <f t="shared" si="8"/>
        <v>91910</v>
      </c>
      <c r="N22" s="3"/>
      <c r="O22" s="3"/>
      <c r="P22" s="3"/>
      <c r="Q22" s="3"/>
      <c r="R22" s="3"/>
      <c r="S22" s="3"/>
      <c r="T22" s="3" t="s">
        <v>296</v>
      </c>
      <c r="U22" s="3" t="s">
        <v>524</v>
      </c>
      <c r="V22" s="3" t="str">
        <f t="shared" si="9"/>
        <v>91910</v>
      </c>
      <c r="W22" s="3"/>
      <c r="X22" s="1" t="str">
        <f t="shared" si="10"/>
        <v>California</v>
      </c>
    </row>
    <row r="23" spans="1:24" ht="20.100000000000001" customHeight="1" x14ac:dyDescent="0.25">
      <c r="A23" s="3" t="s">
        <v>43</v>
      </c>
      <c r="B23" s="3">
        <v>123252</v>
      </c>
      <c r="C23" s="3">
        <v>191</v>
      </c>
      <c r="D23" s="3" t="str">
        <f t="shared" si="0"/>
        <v>concord, california  94520</v>
      </c>
      <c r="E23" s="3" t="str">
        <f t="shared" si="1"/>
        <v>CONCORD, CALIFORNIA  94520</v>
      </c>
      <c r="F23" s="3" t="str">
        <f t="shared" si="2"/>
        <v>Concord, California  94520</v>
      </c>
      <c r="G23" s="3"/>
      <c r="H23" s="3" t="str">
        <f t="shared" si="3"/>
        <v>94520</v>
      </c>
      <c r="I23" s="3">
        <f t="shared" si="4"/>
        <v>26</v>
      </c>
      <c r="J23" s="3">
        <f t="shared" si="5"/>
        <v>25</v>
      </c>
      <c r="K23" s="3" t="str">
        <f t="shared" si="6"/>
        <v>123252--191</v>
      </c>
      <c r="L23" s="3" t="str">
        <f t="shared" si="7"/>
        <v>123252--191</v>
      </c>
      <c r="M23" s="3">
        <f t="shared" si="8"/>
        <v>94520</v>
      </c>
      <c r="N23" s="3"/>
      <c r="O23" s="3"/>
      <c r="P23" s="3"/>
      <c r="Q23" s="3"/>
      <c r="R23" s="3"/>
      <c r="S23" s="3"/>
      <c r="T23" s="3" t="s">
        <v>297</v>
      </c>
      <c r="U23" s="3" t="s">
        <v>524</v>
      </c>
      <c r="V23" s="3" t="str">
        <f t="shared" si="9"/>
        <v>94520</v>
      </c>
      <c r="W23" s="3"/>
      <c r="X23" s="1" t="str">
        <f t="shared" si="10"/>
        <v>California</v>
      </c>
    </row>
    <row r="24" spans="1:24" ht="20.100000000000001" customHeight="1" x14ac:dyDescent="0.25">
      <c r="A24" s="3" t="s">
        <v>44</v>
      </c>
      <c r="B24" s="3">
        <v>149387</v>
      </c>
      <c r="C24" s="3">
        <v>151</v>
      </c>
      <c r="D24" s="3" t="str">
        <f t="shared" si="0"/>
        <v>corona, california  91718</v>
      </c>
      <c r="E24" s="3" t="str">
        <f t="shared" si="1"/>
        <v>CORONA, CALIFORNIA  91718</v>
      </c>
      <c r="F24" s="3" t="str">
        <f t="shared" si="2"/>
        <v>Corona, California  91718</v>
      </c>
      <c r="G24" s="3"/>
      <c r="H24" s="3" t="str">
        <f t="shared" si="3"/>
        <v>91718</v>
      </c>
      <c r="I24" s="3">
        <f t="shared" si="4"/>
        <v>25</v>
      </c>
      <c r="J24" s="3">
        <f t="shared" si="5"/>
        <v>24</v>
      </c>
      <c r="K24" s="3" t="str">
        <f t="shared" si="6"/>
        <v>149387--151</v>
      </c>
      <c r="L24" s="3" t="str">
        <f t="shared" si="7"/>
        <v>149387--151</v>
      </c>
      <c r="M24" s="3">
        <f t="shared" si="8"/>
        <v>91718</v>
      </c>
      <c r="N24" s="3"/>
      <c r="O24" s="3"/>
      <c r="P24" s="3"/>
      <c r="Q24" s="3"/>
      <c r="R24" s="3"/>
      <c r="S24" s="3"/>
      <c r="T24" s="3" t="s">
        <v>298</v>
      </c>
      <c r="U24" s="3" t="s">
        <v>524</v>
      </c>
      <c r="V24" s="3" t="str">
        <f t="shared" si="9"/>
        <v>91718</v>
      </c>
      <c r="W24" s="3"/>
      <c r="X24" s="1" t="str">
        <f t="shared" si="10"/>
        <v>California</v>
      </c>
    </row>
    <row r="25" spans="1:24" ht="20.100000000000001" customHeight="1" x14ac:dyDescent="0.25">
      <c r="A25" s="3" t="s">
        <v>45</v>
      </c>
      <c r="B25" s="3">
        <v>109830</v>
      </c>
      <c r="C25" s="3">
        <v>217</v>
      </c>
      <c r="D25" s="3" t="str">
        <f t="shared" si="0"/>
        <v>costa mesa, california  92628</v>
      </c>
      <c r="E25" s="3" t="str">
        <f t="shared" si="1"/>
        <v>COSTA MESA, CALIFORNIA  92628</v>
      </c>
      <c r="F25" s="3" t="str">
        <f t="shared" si="2"/>
        <v>Costa Mesa, California  92628</v>
      </c>
      <c r="G25" s="3"/>
      <c r="H25" s="3" t="str">
        <f t="shared" si="3"/>
        <v>92628</v>
      </c>
      <c r="I25" s="3">
        <f t="shared" si="4"/>
        <v>29</v>
      </c>
      <c r="J25" s="3">
        <f t="shared" si="5"/>
        <v>28</v>
      </c>
      <c r="K25" s="3" t="str">
        <f t="shared" si="6"/>
        <v>109830--217</v>
      </c>
      <c r="L25" s="3" t="str">
        <f t="shared" si="7"/>
        <v>109830--217</v>
      </c>
      <c r="M25" s="3">
        <f t="shared" si="8"/>
        <v>92628</v>
      </c>
      <c r="N25" s="3"/>
      <c r="O25" s="3"/>
      <c r="P25" s="3"/>
      <c r="Q25" s="3"/>
      <c r="R25" s="3"/>
      <c r="S25" s="3"/>
      <c r="T25" s="3" t="s">
        <v>299</v>
      </c>
      <c r="U25" s="3" t="s">
        <v>524</v>
      </c>
      <c r="V25" s="3" t="str">
        <f t="shared" si="9"/>
        <v>92628</v>
      </c>
      <c r="W25" s="3"/>
      <c r="X25" s="1" t="str">
        <f t="shared" si="10"/>
        <v>California</v>
      </c>
    </row>
    <row r="26" spans="1:24" ht="20.100000000000001" customHeight="1" x14ac:dyDescent="0.25">
      <c r="A26" s="3" t="s">
        <v>46</v>
      </c>
      <c r="B26" s="3">
        <v>100339</v>
      </c>
      <c r="C26" s="3">
        <v>250</v>
      </c>
      <c r="D26" s="3" t="str">
        <f t="shared" si="0"/>
        <v>daly city, california  94015</v>
      </c>
      <c r="E26" s="3" t="str">
        <f t="shared" si="1"/>
        <v>DALY CITY, CALIFORNIA  94015</v>
      </c>
      <c r="F26" s="3" t="str">
        <f t="shared" si="2"/>
        <v>Daly City, California  94015</v>
      </c>
      <c r="G26" s="3"/>
      <c r="H26" s="3" t="str">
        <f t="shared" si="3"/>
        <v>94015</v>
      </c>
      <c r="I26" s="3">
        <f t="shared" si="4"/>
        <v>28</v>
      </c>
      <c r="J26" s="3">
        <f t="shared" si="5"/>
        <v>27</v>
      </c>
      <c r="K26" s="3" t="str">
        <f t="shared" si="6"/>
        <v>100339--250</v>
      </c>
      <c r="L26" s="3" t="str">
        <f t="shared" si="7"/>
        <v>100339--250</v>
      </c>
      <c r="M26" s="3">
        <f t="shared" si="8"/>
        <v>94015</v>
      </c>
      <c r="N26" s="3"/>
      <c r="O26" s="3"/>
      <c r="P26" s="3"/>
      <c r="Q26" s="3"/>
      <c r="R26" s="3"/>
      <c r="S26" s="3"/>
      <c r="T26" s="3" t="s">
        <v>300</v>
      </c>
      <c r="U26" s="3" t="s">
        <v>524</v>
      </c>
      <c r="V26" s="3" t="str">
        <f t="shared" si="9"/>
        <v>94015</v>
      </c>
      <c r="W26" s="3"/>
      <c r="X26" s="1" t="str">
        <f t="shared" si="10"/>
        <v>California</v>
      </c>
    </row>
    <row r="27" spans="1:24" ht="20.100000000000001" customHeight="1" x14ac:dyDescent="0.25">
      <c r="A27" s="3" t="s">
        <v>47</v>
      </c>
      <c r="B27" s="3">
        <v>109718</v>
      </c>
      <c r="C27" s="3">
        <v>218</v>
      </c>
      <c r="D27" s="3" t="str">
        <f t="shared" si="0"/>
        <v>downey, california  90241</v>
      </c>
      <c r="E27" s="3" t="str">
        <f t="shared" si="1"/>
        <v>DOWNEY, CALIFORNIA  90241</v>
      </c>
      <c r="F27" s="3" t="str">
        <f t="shared" si="2"/>
        <v>Downey, California  90241</v>
      </c>
      <c r="G27" s="3"/>
      <c r="H27" s="3" t="str">
        <f t="shared" si="3"/>
        <v>90241</v>
      </c>
      <c r="I27" s="3">
        <f t="shared" si="4"/>
        <v>25</v>
      </c>
      <c r="J27" s="3">
        <f t="shared" si="5"/>
        <v>24</v>
      </c>
      <c r="K27" s="3" t="str">
        <f t="shared" si="6"/>
        <v>109718--218</v>
      </c>
      <c r="L27" s="3" t="str">
        <f t="shared" si="7"/>
        <v>109718--218</v>
      </c>
      <c r="M27" s="3">
        <f t="shared" si="8"/>
        <v>90241</v>
      </c>
      <c r="N27" s="3"/>
      <c r="O27" s="3"/>
      <c r="P27" s="3"/>
      <c r="Q27" s="3"/>
      <c r="R27" s="3"/>
      <c r="S27" s="3"/>
      <c r="T27" s="3" t="s">
        <v>301</v>
      </c>
      <c r="U27" s="3" t="s">
        <v>524</v>
      </c>
      <c r="V27" s="3" t="str">
        <f t="shared" si="9"/>
        <v>90241</v>
      </c>
      <c r="W27" s="3"/>
      <c r="X27" s="1" t="str">
        <f t="shared" si="10"/>
        <v>California</v>
      </c>
    </row>
    <row r="28" spans="1:24" ht="20.100000000000001" customHeight="1" x14ac:dyDescent="0.25">
      <c r="A28" s="3" t="s">
        <v>48</v>
      </c>
      <c r="B28" s="3">
        <v>122513</v>
      </c>
      <c r="C28" s="3">
        <v>193</v>
      </c>
      <c r="D28" s="3" t="str">
        <f t="shared" si="0"/>
        <v>el monte, california  91734</v>
      </c>
      <c r="E28" s="3" t="str">
        <f t="shared" si="1"/>
        <v>EL MONTE, CALIFORNIA  91734</v>
      </c>
      <c r="F28" s="3" t="str">
        <f t="shared" si="2"/>
        <v>El Monte, California  91734</v>
      </c>
      <c r="G28" s="3"/>
      <c r="H28" s="3" t="str">
        <f t="shared" si="3"/>
        <v>91734</v>
      </c>
      <c r="I28" s="3">
        <f t="shared" si="4"/>
        <v>27</v>
      </c>
      <c r="J28" s="3">
        <f t="shared" si="5"/>
        <v>26</v>
      </c>
      <c r="K28" s="3" t="str">
        <f t="shared" si="6"/>
        <v>122513--193</v>
      </c>
      <c r="L28" s="3" t="str">
        <f t="shared" si="7"/>
        <v>122513--193</v>
      </c>
      <c r="M28" s="3">
        <f t="shared" si="8"/>
        <v>91734</v>
      </c>
      <c r="N28" s="3"/>
      <c r="O28" s="3"/>
      <c r="P28" s="3"/>
      <c r="Q28" s="3"/>
      <c r="R28" s="3"/>
      <c r="S28" s="3"/>
      <c r="T28" s="3" t="s">
        <v>302</v>
      </c>
      <c r="U28" s="3" t="s">
        <v>524</v>
      </c>
      <c r="V28" s="3" t="str">
        <f t="shared" si="9"/>
        <v>91734</v>
      </c>
      <c r="W28" s="3"/>
      <c r="X28" s="1" t="str">
        <f t="shared" si="10"/>
        <v>California</v>
      </c>
    </row>
    <row r="29" spans="1:24" ht="20.100000000000001" customHeight="1" x14ac:dyDescent="0.25">
      <c r="A29" s="3" t="s">
        <v>49</v>
      </c>
      <c r="B29" s="3">
        <v>112338</v>
      </c>
      <c r="C29" s="3">
        <v>212</v>
      </c>
      <c r="D29" s="3" t="str">
        <f t="shared" si="0"/>
        <v>elk grove, california  95624</v>
      </c>
      <c r="E29" s="3" t="str">
        <f t="shared" si="1"/>
        <v>ELK GROVE, CALIFORNIA  95624</v>
      </c>
      <c r="F29" s="3" t="str">
        <f t="shared" si="2"/>
        <v>Elk Grove, California  95624</v>
      </c>
      <c r="G29" s="3"/>
      <c r="H29" s="3" t="str">
        <f t="shared" si="3"/>
        <v>95624</v>
      </c>
      <c r="I29" s="3">
        <f t="shared" si="4"/>
        <v>28</v>
      </c>
      <c r="J29" s="3">
        <f t="shared" si="5"/>
        <v>27</v>
      </c>
      <c r="K29" s="3" t="str">
        <f t="shared" si="6"/>
        <v>112338--212</v>
      </c>
      <c r="L29" s="3" t="str">
        <f t="shared" si="7"/>
        <v>112338--212</v>
      </c>
      <c r="M29" s="3">
        <f t="shared" si="8"/>
        <v>95624</v>
      </c>
      <c r="N29" s="3"/>
      <c r="O29" s="3"/>
      <c r="P29" s="3"/>
      <c r="Q29" s="3"/>
      <c r="R29" s="3"/>
      <c r="S29" s="3"/>
      <c r="T29" s="3" t="s">
        <v>303</v>
      </c>
      <c r="U29" s="3" t="s">
        <v>524</v>
      </c>
      <c r="V29" s="3" t="str">
        <f t="shared" si="9"/>
        <v>95624</v>
      </c>
      <c r="W29" s="3"/>
      <c r="X29" s="1" t="str">
        <f t="shared" si="10"/>
        <v>California</v>
      </c>
    </row>
    <row r="30" spans="1:24" ht="20.100000000000001" customHeight="1" x14ac:dyDescent="0.25">
      <c r="A30" s="3" t="s">
        <v>50</v>
      </c>
      <c r="B30" s="3">
        <v>134085</v>
      </c>
      <c r="C30" s="3">
        <v>175</v>
      </c>
      <c r="D30" s="3" t="str">
        <f t="shared" si="0"/>
        <v>escondido, california  92025</v>
      </c>
      <c r="E30" s="3" t="str">
        <f t="shared" si="1"/>
        <v>ESCONDIDO, CALIFORNIA  92025</v>
      </c>
      <c r="F30" s="3" t="str">
        <f t="shared" si="2"/>
        <v>Escondido, California  92025</v>
      </c>
      <c r="G30" s="3"/>
      <c r="H30" s="3" t="str">
        <f t="shared" si="3"/>
        <v>92025</v>
      </c>
      <c r="I30" s="3">
        <f t="shared" si="4"/>
        <v>28</v>
      </c>
      <c r="J30" s="3">
        <f t="shared" si="5"/>
        <v>27</v>
      </c>
      <c r="K30" s="3" t="str">
        <f t="shared" si="6"/>
        <v>134085--175</v>
      </c>
      <c r="L30" s="3" t="str">
        <f t="shared" si="7"/>
        <v>134085--175</v>
      </c>
      <c r="M30" s="3">
        <f t="shared" si="8"/>
        <v>92025</v>
      </c>
      <c r="N30" s="3"/>
      <c r="O30" s="3"/>
      <c r="P30" s="3"/>
      <c r="Q30" s="3"/>
      <c r="R30" s="3"/>
      <c r="S30" s="3"/>
      <c r="T30" s="3" t="s">
        <v>304</v>
      </c>
      <c r="U30" s="3" t="s">
        <v>524</v>
      </c>
      <c r="V30" s="3" t="str">
        <f t="shared" si="9"/>
        <v>92025</v>
      </c>
      <c r="W30" s="3"/>
      <c r="X30" s="1" t="str">
        <f t="shared" si="10"/>
        <v>California</v>
      </c>
    </row>
    <row r="31" spans="1:24" ht="20.100000000000001" customHeight="1" x14ac:dyDescent="0.25">
      <c r="A31" s="3" t="s">
        <v>51</v>
      </c>
      <c r="B31" s="3">
        <v>104476</v>
      </c>
      <c r="C31" s="3">
        <v>235</v>
      </c>
      <c r="D31" s="3" t="str">
        <f t="shared" si="0"/>
        <v>fairfield, california  94533</v>
      </c>
      <c r="E31" s="3" t="str">
        <f t="shared" si="1"/>
        <v>FAIRFIELD, CALIFORNIA  94533</v>
      </c>
      <c r="F31" s="3" t="str">
        <f t="shared" si="2"/>
        <v>Fairfield, California  94533</v>
      </c>
      <c r="G31" s="3"/>
      <c r="H31" s="3" t="str">
        <f t="shared" si="3"/>
        <v>94533</v>
      </c>
      <c r="I31" s="3">
        <f t="shared" si="4"/>
        <v>28</v>
      </c>
      <c r="J31" s="3">
        <f t="shared" si="5"/>
        <v>27</v>
      </c>
      <c r="K31" s="3" t="str">
        <f t="shared" si="6"/>
        <v>104476--235</v>
      </c>
      <c r="L31" s="3" t="str">
        <f t="shared" si="7"/>
        <v>104476--235</v>
      </c>
      <c r="M31" s="3">
        <f t="shared" si="8"/>
        <v>94533</v>
      </c>
      <c r="N31" s="3"/>
      <c r="O31" s="3"/>
      <c r="P31" s="3"/>
      <c r="Q31" s="3"/>
      <c r="R31" s="3"/>
      <c r="S31" s="3"/>
      <c r="T31" s="3" t="s">
        <v>305</v>
      </c>
      <c r="U31" s="3" t="s">
        <v>524</v>
      </c>
      <c r="V31" s="3" t="str">
        <f t="shared" si="9"/>
        <v>94533</v>
      </c>
      <c r="W31" s="3"/>
      <c r="X31" s="1" t="str">
        <f t="shared" si="10"/>
        <v>California</v>
      </c>
    </row>
    <row r="32" spans="1:24" ht="20.100000000000001" customHeight="1" x14ac:dyDescent="0.25">
      <c r="A32" s="3" t="s">
        <v>52</v>
      </c>
      <c r="B32" s="3">
        <v>163860</v>
      </c>
      <c r="C32" s="3">
        <v>138</v>
      </c>
      <c r="D32" s="3" t="str">
        <f t="shared" si="0"/>
        <v>fontana, california  92335</v>
      </c>
      <c r="E32" s="3" t="str">
        <f t="shared" si="1"/>
        <v>FONTANA, CALIFORNIA  92335</v>
      </c>
      <c r="F32" s="3" t="str">
        <f t="shared" si="2"/>
        <v>Fontana, California  92335</v>
      </c>
      <c r="G32" s="3"/>
      <c r="H32" s="3" t="str">
        <f t="shared" si="3"/>
        <v>92335</v>
      </c>
      <c r="I32" s="3">
        <f t="shared" si="4"/>
        <v>26</v>
      </c>
      <c r="J32" s="3">
        <f t="shared" si="5"/>
        <v>25</v>
      </c>
      <c r="K32" s="3" t="str">
        <f t="shared" si="6"/>
        <v>163860--138</v>
      </c>
      <c r="L32" s="3" t="str">
        <f t="shared" si="7"/>
        <v>163860--138</v>
      </c>
      <c r="M32" s="3">
        <f t="shared" si="8"/>
        <v>92335</v>
      </c>
      <c r="N32" s="3"/>
      <c r="O32" s="3"/>
      <c r="P32" s="3"/>
      <c r="Q32" s="3"/>
      <c r="R32" s="3"/>
      <c r="S32" s="3"/>
      <c r="T32" s="3" t="s">
        <v>306</v>
      </c>
      <c r="U32" s="3" t="s">
        <v>524</v>
      </c>
      <c r="V32" s="3" t="str">
        <f t="shared" si="9"/>
        <v>92335</v>
      </c>
      <c r="W32" s="3"/>
      <c r="X32" s="1" t="str">
        <f t="shared" si="10"/>
        <v>California</v>
      </c>
    </row>
    <row r="33" spans="1:24" ht="20.100000000000001" customHeight="1" x14ac:dyDescent="0.25">
      <c r="A33" s="3" t="s">
        <v>53</v>
      </c>
      <c r="B33" s="3">
        <v>200468</v>
      </c>
      <c r="C33" s="3">
        <v>96</v>
      </c>
      <c r="D33" s="3" t="str">
        <f t="shared" si="0"/>
        <v>fremont, california  94537</v>
      </c>
      <c r="E33" s="3" t="str">
        <f t="shared" si="1"/>
        <v>FREMONT, CALIFORNIA  94537</v>
      </c>
      <c r="F33" s="3" t="str">
        <f t="shared" si="2"/>
        <v>Fremont, California  94537</v>
      </c>
      <c r="G33" s="3"/>
      <c r="H33" s="3" t="str">
        <f t="shared" si="3"/>
        <v>94537</v>
      </c>
      <c r="I33" s="3">
        <f t="shared" si="4"/>
        <v>26</v>
      </c>
      <c r="J33" s="3">
        <f t="shared" si="5"/>
        <v>25</v>
      </c>
      <c r="K33" s="3" t="str">
        <f t="shared" si="6"/>
        <v>200468--96</v>
      </c>
      <c r="L33" s="3" t="str">
        <f t="shared" si="7"/>
        <v>200468--96</v>
      </c>
      <c r="M33" s="3">
        <f t="shared" si="8"/>
        <v>94537</v>
      </c>
      <c r="N33" s="3"/>
      <c r="O33" s="3"/>
      <c r="P33" s="3"/>
      <c r="Q33" s="3"/>
      <c r="R33" s="3"/>
      <c r="S33" s="3"/>
      <c r="T33" s="3" t="s">
        <v>307</v>
      </c>
      <c r="U33" s="3" t="s">
        <v>524</v>
      </c>
      <c r="V33" s="3" t="str">
        <f t="shared" si="9"/>
        <v>94537</v>
      </c>
      <c r="W33" s="3"/>
      <c r="X33" s="1" t="str">
        <f t="shared" si="10"/>
        <v>California</v>
      </c>
    </row>
    <row r="34" spans="1:24" ht="20.100000000000001" customHeight="1" x14ac:dyDescent="0.25">
      <c r="A34" s="3" t="s">
        <v>54</v>
      </c>
      <c r="B34" s="3">
        <v>461116</v>
      </c>
      <c r="C34" s="3">
        <v>36</v>
      </c>
      <c r="D34" s="3" t="str">
        <f t="shared" si="0"/>
        <v>fresno, california  93706</v>
      </c>
      <c r="E34" s="3" t="str">
        <f t="shared" si="1"/>
        <v>FRESNO, CALIFORNIA  93706</v>
      </c>
      <c r="F34" s="3" t="str">
        <f t="shared" si="2"/>
        <v>Fresno, California  93706</v>
      </c>
      <c r="G34" s="3"/>
      <c r="H34" s="3" t="str">
        <f t="shared" si="3"/>
        <v>93706</v>
      </c>
      <c r="I34" s="3">
        <f t="shared" si="4"/>
        <v>25</v>
      </c>
      <c r="J34" s="3">
        <f t="shared" si="5"/>
        <v>24</v>
      </c>
      <c r="K34" s="3" t="str">
        <f t="shared" si="6"/>
        <v>461116--36</v>
      </c>
      <c r="L34" s="3" t="str">
        <f t="shared" si="7"/>
        <v>461116--36</v>
      </c>
      <c r="M34" s="3">
        <f t="shared" si="8"/>
        <v>93706</v>
      </c>
      <c r="N34" s="3"/>
      <c r="O34" s="3"/>
      <c r="P34" s="3"/>
      <c r="Q34" s="3"/>
      <c r="R34" s="3"/>
      <c r="S34" s="3"/>
      <c r="T34" s="3" t="s">
        <v>308</v>
      </c>
      <c r="U34" s="3" t="s">
        <v>524</v>
      </c>
      <c r="V34" s="3" t="str">
        <f t="shared" si="9"/>
        <v>93706</v>
      </c>
      <c r="W34" s="3"/>
      <c r="X34" s="1" t="str">
        <f t="shared" si="10"/>
        <v>California</v>
      </c>
    </row>
    <row r="35" spans="1:24" ht="20.100000000000001" customHeight="1" x14ac:dyDescent="0.25">
      <c r="A35" s="3" t="s">
        <v>55</v>
      </c>
      <c r="B35" s="3">
        <v>132787</v>
      </c>
      <c r="C35" s="3">
        <v>177</v>
      </c>
      <c r="D35" s="3" t="str">
        <f t="shared" si="0"/>
        <v>fullerton, california  92834</v>
      </c>
      <c r="E35" s="3" t="str">
        <f t="shared" si="1"/>
        <v>FULLERTON, CALIFORNIA  92834</v>
      </c>
      <c r="F35" s="3" t="str">
        <f t="shared" si="2"/>
        <v>Fullerton, California  92834</v>
      </c>
      <c r="G35" s="3"/>
      <c r="H35" s="3" t="str">
        <f t="shared" si="3"/>
        <v>92834</v>
      </c>
      <c r="I35" s="3">
        <f t="shared" si="4"/>
        <v>28</v>
      </c>
      <c r="J35" s="3">
        <f t="shared" si="5"/>
        <v>27</v>
      </c>
      <c r="K35" s="3" t="str">
        <f t="shared" si="6"/>
        <v>132787--177</v>
      </c>
      <c r="L35" s="3" t="str">
        <f t="shared" si="7"/>
        <v>132787--177</v>
      </c>
      <c r="M35" s="3">
        <f t="shared" si="8"/>
        <v>92834</v>
      </c>
      <c r="N35" s="3"/>
      <c r="O35" s="3"/>
      <c r="P35" s="3"/>
      <c r="Q35" s="3"/>
      <c r="R35" s="3"/>
      <c r="S35" s="3"/>
      <c r="T35" s="3" t="s">
        <v>309</v>
      </c>
      <c r="U35" s="3" t="s">
        <v>524</v>
      </c>
      <c r="V35" s="3" t="str">
        <f t="shared" si="9"/>
        <v>92834</v>
      </c>
      <c r="W35" s="3"/>
      <c r="X35" s="1" t="str">
        <f t="shared" si="10"/>
        <v>California</v>
      </c>
    </row>
    <row r="36" spans="1:24" ht="20.100000000000001" customHeight="1" x14ac:dyDescent="0.25">
      <c r="A36" s="3" t="s">
        <v>56</v>
      </c>
      <c r="B36" s="3">
        <v>166075</v>
      </c>
      <c r="C36" s="3">
        <v>136</v>
      </c>
      <c r="D36" s="3" t="str">
        <f t="shared" si="0"/>
        <v>garden grove, california  92842</v>
      </c>
      <c r="E36" s="3" t="str">
        <f t="shared" si="1"/>
        <v>GARDEN GROVE, CALIFORNIA  92842</v>
      </c>
      <c r="F36" s="3" t="str">
        <f t="shared" si="2"/>
        <v>Garden Grove, California  92842</v>
      </c>
      <c r="G36" s="3"/>
      <c r="H36" s="3" t="str">
        <f t="shared" si="3"/>
        <v>92842</v>
      </c>
      <c r="I36" s="3">
        <f t="shared" si="4"/>
        <v>31</v>
      </c>
      <c r="J36" s="3">
        <f t="shared" si="5"/>
        <v>30</v>
      </c>
      <c r="K36" s="3" t="str">
        <f t="shared" si="6"/>
        <v>166075--136</v>
      </c>
      <c r="L36" s="3" t="str">
        <f t="shared" si="7"/>
        <v>166075--136</v>
      </c>
      <c r="M36" s="3">
        <f t="shared" si="8"/>
        <v>92842</v>
      </c>
      <c r="N36" s="3"/>
      <c r="O36" s="3"/>
      <c r="P36" s="3"/>
      <c r="Q36" s="3"/>
      <c r="R36" s="3"/>
      <c r="S36" s="3"/>
      <c r="T36" s="3" t="s">
        <v>310</v>
      </c>
      <c r="U36" s="3" t="s">
        <v>524</v>
      </c>
      <c r="V36" s="3" t="str">
        <f t="shared" si="9"/>
        <v>92842</v>
      </c>
      <c r="W36" s="3"/>
      <c r="X36" s="1" t="str">
        <f t="shared" si="10"/>
        <v>California</v>
      </c>
    </row>
    <row r="37" spans="1:24" ht="20.100000000000001" customHeight="1" x14ac:dyDescent="0.25">
      <c r="A37" s="3" t="s">
        <v>57</v>
      </c>
      <c r="B37" s="3">
        <v>200065</v>
      </c>
      <c r="C37" s="3">
        <v>98</v>
      </c>
      <c r="D37" s="3" t="str">
        <f t="shared" si="0"/>
        <v>glendale, california  91205</v>
      </c>
      <c r="E37" s="3" t="str">
        <f t="shared" si="1"/>
        <v>GLENDALE, CALIFORNIA  91205</v>
      </c>
      <c r="F37" s="3" t="str">
        <f t="shared" si="2"/>
        <v>Glendale, California  91205</v>
      </c>
      <c r="G37" s="3"/>
      <c r="H37" s="3" t="str">
        <f t="shared" si="3"/>
        <v>91205</v>
      </c>
      <c r="I37" s="3">
        <f t="shared" si="4"/>
        <v>27</v>
      </c>
      <c r="J37" s="3">
        <f t="shared" si="5"/>
        <v>26</v>
      </c>
      <c r="K37" s="3" t="str">
        <f t="shared" si="6"/>
        <v>200065--98</v>
      </c>
      <c r="L37" s="3" t="str">
        <f t="shared" si="7"/>
        <v>200065--98</v>
      </c>
      <c r="M37" s="3">
        <f t="shared" si="8"/>
        <v>91205</v>
      </c>
      <c r="N37" s="3"/>
      <c r="O37" s="3"/>
      <c r="P37" s="3"/>
      <c r="Q37" s="3"/>
      <c r="R37" s="3"/>
      <c r="S37" s="3"/>
      <c r="T37" s="3" t="s">
        <v>283</v>
      </c>
      <c r="U37" s="3" t="s">
        <v>524</v>
      </c>
      <c r="V37" s="3" t="str">
        <f t="shared" si="9"/>
        <v>91205</v>
      </c>
      <c r="W37" s="3"/>
      <c r="X37" s="1" t="str">
        <f t="shared" si="10"/>
        <v>California</v>
      </c>
    </row>
    <row r="38" spans="1:24" ht="20.100000000000001" customHeight="1" x14ac:dyDescent="0.25">
      <c r="A38" s="3" t="s">
        <v>58</v>
      </c>
      <c r="B38" s="3">
        <v>140293</v>
      </c>
      <c r="C38" s="3">
        <v>165</v>
      </c>
      <c r="D38" s="3" t="str">
        <f t="shared" si="0"/>
        <v>hayward, california  94544</v>
      </c>
      <c r="E38" s="3" t="str">
        <f t="shared" si="1"/>
        <v>HAYWARD, CALIFORNIA  94544</v>
      </c>
      <c r="F38" s="3" t="str">
        <f t="shared" si="2"/>
        <v>Hayward, California  94544</v>
      </c>
      <c r="G38" s="3"/>
      <c r="H38" s="3" t="str">
        <f t="shared" si="3"/>
        <v>94544</v>
      </c>
      <c r="I38" s="3">
        <f t="shared" si="4"/>
        <v>26</v>
      </c>
      <c r="J38" s="3">
        <f t="shared" si="5"/>
        <v>25</v>
      </c>
      <c r="K38" s="3" t="str">
        <f t="shared" si="6"/>
        <v>140293--165</v>
      </c>
      <c r="L38" s="3" t="str">
        <f t="shared" si="7"/>
        <v>140293--165</v>
      </c>
      <c r="M38" s="3">
        <f t="shared" si="8"/>
        <v>94544</v>
      </c>
      <c r="N38" s="3"/>
      <c r="O38" s="3"/>
      <c r="P38" s="3"/>
      <c r="Q38" s="3"/>
      <c r="R38" s="3"/>
      <c r="S38" s="3"/>
      <c r="T38" s="3" t="s">
        <v>311</v>
      </c>
      <c r="U38" s="3" t="s">
        <v>524</v>
      </c>
      <c r="V38" s="3" t="str">
        <f t="shared" si="9"/>
        <v>94544</v>
      </c>
      <c r="W38" s="3"/>
      <c r="X38" s="1" t="str">
        <f t="shared" si="10"/>
        <v>California</v>
      </c>
    </row>
    <row r="39" spans="1:24" ht="20.100000000000001" customHeight="1" x14ac:dyDescent="0.25">
      <c r="A39" s="3" t="s">
        <v>59</v>
      </c>
      <c r="B39" s="3">
        <v>194457</v>
      </c>
      <c r="C39" s="3">
        <v>105</v>
      </c>
      <c r="D39" s="3" t="str">
        <f t="shared" si="0"/>
        <v>huntington beach, california  92647</v>
      </c>
      <c r="E39" s="3" t="str">
        <f t="shared" si="1"/>
        <v>HUNTINGTON BEACH, CALIFORNIA  92647</v>
      </c>
      <c r="F39" s="3" t="str">
        <f t="shared" si="2"/>
        <v>Huntington Beach, California  92647</v>
      </c>
      <c r="G39" s="3"/>
      <c r="H39" s="3" t="str">
        <f t="shared" si="3"/>
        <v>92647</v>
      </c>
      <c r="I39" s="3">
        <f t="shared" si="4"/>
        <v>35</v>
      </c>
      <c r="J39" s="3">
        <f t="shared" si="5"/>
        <v>34</v>
      </c>
      <c r="K39" s="3" t="str">
        <f t="shared" si="6"/>
        <v>194457--105</v>
      </c>
      <c r="L39" s="3" t="str">
        <f t="shared" si="7"/>
        <v>194457--105</v>
      </c>
      <c r="M39" s="3">
        <f t="shared" si="8"/>
        <v>92647</v>
      </c>
      <c r="N39" s="3"/>
      <c r="O39" s="3"/>
      <c r="P39" s="3"/>
      <c r="Q39" s="3"/>
      <c r="R39" s="3"/>
      <c r="S39" s="3"/>
      <c r="T39" s="3" t="s">
        <v>312</v>
      </c>
      <c r="U39" s="3" t="s">
        <v>524</v>
      </c>
      <c r="V39" s="3" t="str">
        <f t="shared" si="9"/>
        <v>92647</v>
      </c>
      <c r="W39" s="3"/>
      <c r="X39" s="1" t="str">
        <f t="shared" si="10"/>
        <v>California</v>
      </c>
    </row>
    <row r="40" spans="1:24" ht="20.100000000000001" customHeight="1" x14ac:dyDescent="0.25">
      <c r="A40" s="3" t="s">
        <v>60</v>
      </c>
      <c r="B40" s="3">
        <v>114467</v>
      </c>
      <c r="C40" s="3">
        <v>207</v>
      </c>
      <c r="D40" s="3" t="str">
        <f t="shared" si="0"/>
        <v>inglewood, california  90301</v>
      </c>
      <c r="E40" s="3" t="str">
        <f t="shared" si="1"/>
        <v>INGLEWOOD, CALIFORNIA  90301</v>
      </c>
      <c r="F40" s="3" t="str">
        <f t="shared" si="2"/>
        <v>Inglewood, California  90301</v>
      </c>
      <c r="G40" s="3"/>
      <c r="H40" s="3" t="str">
        <f t="shared" si="3"/>
        <v>90301</v>
      </c>
      <c r="I40" s="3">
        <f t="shared" si="4"/>
        <v>28</v>
      </c>
      <c r="J40" s="3">
        <f t="shared" si="5"/>
        <v>27</v>
      </c>
      <c r="K40" s="3" t="str">
        <f t="shared" si="6"/>
        <v>114467--207</v>
      </c>
      <c r="L40" s="3" t="str">
        <f t="shared" si="7"/>
        <v>114467--207</v>
      </c>
      <c r="M40" s="3">
        <f t="shared" si="8"/>
        <v>90301</v>
      </c>
      <c r="N40" s="3"/>
      <c r="O40" s="3"/>
      <c r="P40" s="3"/>
      <c r="Q40" s="3"/>
      <c r="R40" s="3"/>
      <c r="S40" s="3"/>
      <c r="T40" s="3" t="s">
        <v>313</v>
      </c>
      <c r="U40" s="3" t="s">
        <v>524</v>
      </c>
      <c r="V40" s="3" t="str">
        <f t="shared" si="9"/>
        <v>90301</v>
      </c>
      <c r="W40" s="3"/>
      <c r="X40" s="1" t="str">
        <f t="shared" si="10"/>
        <v>California</v>
      </c>
    </row>
    <row r="41" spans="1:24" ht="20.100000000000001" customHeight="1" x14ac:dyDescent="0.25">
      <c r="A41" s="3" t="s">
        <v>61</v>
      </c>
      <c r="B41" s="3">
        <v>186852</v>
      </c>
      <c r="C41" s="3">
        <v>114</v>
      </c>
      <c r="D41" s="3" t="str">
        <f t="shared" si="0"/>
        <v>irvine, california  92619</v>
      </c>
      <c r="E41" s="3" t="str">
        <f t="shared" si="1"/>
        <v>IRVINE, CALIFORNIA  92619</v>
      </c>
      <c r="F41" s="3" t="str">
        <f t="shared" si="2"/>
        <v>Irvine, California  92619</v>
      </c>
      <c r="G41" s="3"/>
      <c r="H41" s="3" t="str">
        <f t="shared" si="3"/>
        <v>92619</v>
      </c>
      <c r="I41" s="3">
        <f t="shared" si="4"/>
        <v>25</v>
      </c>
      <c r="J41" s="3">
        <f t="shared" si="5"/>
        <v>24</v>
      </c>
      <c r="K41" s="3" t="str">
        <f t="shared" si="6"/>
        <v>186852--114</v>
      </c>
      <c r="L41" s="3" t="str">
        <f t="shared" si="7"/>
        <v>186852--114</v>
      </c>
      <c r="M41" s="3">
        <f t="shared" si="8"/>
        <v>92619</v>
      </c>
      <c r="N41" s="3"/>
      <c r="O41" s="3"/>
      <c r="P41" s="3"/>
      <c r="Q41" s="3"/>
      <c r="R41" s="3"/>
      <c r="S41" s="3"/>
      <c r="T41" s="3" t="s">
        <v>314</v>
      </c>
      <c r="U41" s="3" t="s">
        <v>524</v>
      </c>
      <c r="V41" s="3" t="str">
        <f t="shared" si="9"/>
        <v>92619</v>
      </c>
      <c r="W41" s="3"/>
      <c r="X41" s="1" t="str">
        <f t="shared" si="10"/>
        <v>California</v>
      </c>
    </row>
    <row r="42" spans="1:24" ht="20.100000000000001" customHeight="1" x14ac:dyDescent="0.25">
      <c r="A42" s="3" t="s">
        <v>62</v>
      </c>
      <c r="B42" s="3">
        <v>134032</v>
      </c>
      <c r="C42" s="3">
        <v>176</v>
      </c>
      <c r="D42" s="3" t="str">
        <f t="shared" si="0"/>
        <v>lancaster, california  93534</v>
      </c>
      <c r="E42" s="3" t="str">
        <f t="shared" si="1"/>
        <v>LANCASTER, CALIFORNIA  93534</v>
      </c>
      <c r="F42" s="3" t="str">
        <f t="shared" si="2"/>
        <v>Lancaster, California  93534</v>
      </c>
      <c r="G42" s="3"/>
      <c r="H42" s="3" t="str">
        <f t="shared" si="3"/>
        <v>93534</v>
      </c>
      <c r="I42" s="3">
        <f t="shared" si="4"/>
        <v>28</v>
      </c>
      <c r="J42" s="3">
        <f t="shared" si="5"/>
        <v>27</v>
      </c>
      <c r="K42" s="3" t="str">
        <f t="shared" si="6"/>
        <v>134032--176</v>
      </c>
      <c r="L42" s="3" t="str">
        <f t="shared" si="7"/>
        <v>134032--176</v>
      </c>
      <c r="M42" s="3">
        <f t="shared" si="8"/>
        <v>93534</v>
      </c>
      <c r="N42" s="3"/>
      <c r="O42" s="3"/>
      <c r="P42" s="3"/>
      <c r="Q42" s="3"/>
      <c r="R42" s="3"/>
      <c r="S42" s="3"/>
      <c r="T42" s="3" t="s">
        <v>315</v>
      </c>
      <c r="U42" s="3" t="s">
        <v>524</v>
      </c>
      <c r="V42" s="3" t="str">
        <f t="shared" si="9"/>
        <v>93534</v>
      </c>
      <c r="W42" s="3"/>
      <c r="X42" s="1" t="str">
        <f t="shared" si="10"/>
        <v>California</v>
      </c>
    </row>
    <row r="43" spans="1:24" ht="20.100000000000001" customHeight="1" x14ac:dyDescent="0.25">
      <c r="A43" s="3" t="s">
        <v>63</v>
      </c>
      <c r="B43" s="3">
        <v>474014</v>
      </c>
      <c r="C43" s="3">
        <v>34</v>
      </c>
      <c r="D43" s="3" t="str">
        <f t="shared" si="0"/>
        <v>long beach, california  90802</v>
      </c>
      <c r="E43" s="3" t="str">
        <f t="shared" si="1"/>
        <v>LONG BEACH, CALIFORNIA  90802</v>
      </c>
      <c r="F43" s="3" t="str">
        <f t="shared" si="2"/>
        <v>Long Beach, California  90802</v>
      </c>
      <c r="G43" s="3"/>
      <c r="H43" s="3" t="str">
        <f t="shared" si="3"/>
        <v>90802</v>
      </c>
      <c r="I43" s="3">
        <f t="shared" si="4"/>
        <v>29</v>
      </c>
      <c r="J43" s="3">
        <f t="shared" si="5"/>
        <v>28</v>
      </c>
      <c r="K43" s="3" t="str">
        <f t="shared" si="6"/>
        <v>474014--34</v>
      </c>
      <c r="L43" s="3" t="str">
        <f t="shared" si="7"/>
        <v>474014--34</v>
      </c>
      <c r="M43" s="3">
        <f t="shared" si="8"/>
        <v>90802</v>
      </c>
      <c r="N43" s="3"/>
      <c r="O43" s="3"/>
      <c r="P43" s="3"/>
      <c r="Q43" s="3"/>
      <c r="R43" s="3"/>
      <c r="S43" s="3"/>
      <c r="T43" s="3" t="s">
        <v>316</v>
      </c>
      <c r="U43" s="3" t="s">
        <v>524</v>
      </c>
      <c r="V43" s="3" t="str">
        <f t="shared" si="9"/>
        <v>90802</v>
      </c>
      <c r="W43" s="3"/>
      <c r="X43" s="1" t="str">
        <f t="shared" si="10"/>
        <v>California</v>
      </c>
    </row>
    <row r="44" spans="1:24" ht="20.100000000000001" customHeight="1" x14ac:dyDescent="0.25">
      <c r="A44" s="3" t="s">
        <v>64</v>
      </c>
      <c r="B44" s="3">
        <v>3844829</v>
      </c>
      <c r="C44" s="3">
        <v>2</v>
      </c>
      <c r="D44" s="3" t="str">
        <f t="shared" si="0"/>
        <v>los angeles, california  90052</v>
      </c>
      <c r="E44" s="3" t="str">
        <f t="shared" si="1"/>
        <v>LOS ANGELES, CALIFORNIA  90052</v>
      </c>
      <c r="F44" s="3" t="str">
        <f t="shared" si="2"/>
        <v>Los Angeles, California  90052</v>
      </c>
      <c r="G44" s="3"/>
      <c r="H44" s="3" t="str">
        <f t="shared" si="3"/>
        <v>90052</v>
      </c>
      <c r="I44" s="3">
        <f t="shared" si="4"/>
        <v>30</v>
      </c>
      <c r="J44" s="3">
        <f t="shared" si="5"/>
        <v>29</v>
      </c>
      <c r="K44" s="3" t="str">
        <f t="shared" si="6"/>
        <v>3844829--2</v>
      </c>
      <c r="L44" s="3" t="str">
        <f t="shared" si="7"/>
        <v>3844829--2</v>
      </c>
      <c r="M44" s="3">
        <f t="shared" si="8"/>
        <v>90052</v>
      </c>
      <c r="N44" s="3"/>
      <c r="O44" s="3"/>
      <c r="P44" s="3"/>
      <c r="Q44" s="3"/>
      <c r="R44" s="3"/>
      <c r="S44" s="3"/>
      <c r="T44" s="3" t="s">
        <v>317</v>
      </c>
      <c r="U44" s="3" t="s">
        <v>524</v>
      </c>
      <c r="V44" s="3" t="str">
        <f t="shared" si="9"/>
        <v>90052</v>
      </c>
      <c r="W44" s="3"/>
      <c r="X44" s="1" t="str">
        <f t="shared" si="10"/>
        <v>California</v>
      </c>
    </row>
    <row r="45" spans="1:24" ht="20.100000000000001" customHeight="1" x14ac:dyDescent="0.25">
      <c r="A45" s="3" t="s">
        <v>65</v>
      </c>
      <c r="B45" s="3">
        <v>207011</v>
      </c>
      <c r="C45" s="3">
        <v>93</v>
      </c>
      <c r="D45" s="3" t="str">
        <f t="shared" si="0"/>
        <v>modesto, california  95350</v>
      </c>
      <c r="E45" s="3" t="str">
        <f t="shared" si="1"/>
        <v>MODESTO, CALIFORNIA  95350</v>
      </c>
      <c r="F45" s="3" t="str">
        <f t="shared" si="2"/>
        <v>Modesto, California  95350</v>
      </c>
      <c r="G45" s="3"/>
      <c r="H45" s="3" t="str">
        <f t="shared" si="3"/>
        <v>95350</v>
      </c>
      <c r="I45" s="3">
        <f t="shared" si="4"/>
        <v>26</v>
      </c>
      <c r="J45" s="3">
        <f t="shared" si="5"/>
        <v>25</v>
      </c>
      <c r="K45" s="3" t="str">
        <f t="shared" si="6"/>
        <v>207011--93</v>
      </c>
      <c r="L45" s="3" t="str">
        <f t="shared" si="7"/>
        <v>207011--93</v>
      </c>
      <c r="M45" s="3">
        <f t="shared" si="8"/>
        <v>95350</v>
      </c>
      <c r="N45" s="3"/>
      <c r="O45" s="3"/>
      <c r="P45" s="3"/>
      <c r="Q45" s="3"/>
      <c r="R45" s="3"/>
      <c r="S45" s="3"/>
      <c r="T45" s="3" t="s">
        <v>318</v>
      </c>
      <c r="U45" s="3" t="s">
        <v>524</v>
      </c>
      <c r="V45" s="3" t="str">
        <f t="shared" si="9"/>
        <v>95350</v>
      </c>
      <c r="W45" s="3"/>
      <c r="X45" s="1" t="str">
        <f t="shared" si="10"/>
        <v>California</v>
      </c>
    </row>
    <row r="46" spans="1:24" ht="20.100000000000001" customHeight="1" x14ac:dyDescent="0.25">
      <c r="A46" s="3" t="s">
        <v>66</v>
      </c>
      <c r="B46" s="3">
        <v>178367</v>
      </c>
      <c r="C46" s="3">
        <v>121</v>
      </c>
      <c r="D46" s="3" t="str">
        <f t="shared" si="0"/>
        <v>moreno valley, california  92553</v>
      </c>
      <c r="E46" s="3" t="str">
        <f t="shared" si="1"/>
        <v>MORENO VALLEY, CALIFORNIA  92553</v>
      </c>
      <c r="F46" s="3" t="str">
        <f t="shared" si="2"/>
        <v>Moreno Valley, California  92553</v>
      </c>
      <c r="G46" s="3"/>
      <c r="H46" s="3" t="str">
        <f t="shared" si="3"/>
        <v>92553</v>
      </c>
      <c r="I46" s="3">
        <f t="shared" si="4"/>
        <v>32</v>
      </c>
      <c r="J46" s="3">
        <f t="shared" si="5"/>
        <v>31</v>
      </c>
      <c r="K46" s="3" t="str">
        <f t="shared" si="6"/>
        <v>178367--121</v>
      </c>
      <c r="L46" s="3" t="str">
        <f t="shared" si="7"/>
        <v>178367--121</v>
      </c>
      <c r="M46" s="3">
        <f t="shared" si="8"/>
        <v>92553</v>
      </c>
      <c r="N46" s="3"/>
      <c r="O46" s="3"/>
      <c r="P46" s="3"/>
      <c r="Q46" s="3"/>
      <c r="R46" s="3"/>
      <c r="S46" s="3"/>
      <c r="T46" s="3" t="s">
        <v>319</v>
      </c>
      <c r="U46" s="3" t="s">
        <v>524</v>
      </c>
      <c r="V46" s="3" t="str">
        <f t="shared" si="9"/>
        <v>92553</v>
      </c>
      <c r="W46" s="3"/>
      <c r="X46" s="1" t="str">
        <f t="shared" si="10"/>
        <v>California</v>
      </c>
    </row>
    <row r="47" spans="1:24" ht="20.100000000000001" customHeight="1" x14ac:dyDescent="0.25">
      <c r="A47" s="3" t="s">
        <v>67</v>
      </c>
      <c r="B47" s="3">
        <v>105834</v>
      </c>
      <c r="C47" s="3">
        <v>230</v>
      </c>
      <c r="D47" s="3" t="str">
        <f t="shared" si="0"/>
        <v>norwalk, california  90650</v>
      </c>
      <c r="E47" s="3" t="str">
        <f t="shared" si="1"/>
        <v>NORWALK, CALIFORNIA  90650</v>
      </c>
      <c r="F47" s="3" t="str">
        <f t="shared" si="2"/>
        <v>Norwalk, California  90650</v>
      </c>
      <c r="G47" s="3"/>
      <c r="H47" s="3" t="str">
        <f t="shared" si="3"/>
        <v>90650</v>
      </c>
      <c r="I47" s="3">
        <f t="shared" si="4"/>
        <v>26</v>
      </c>
      <c r="J47" s="3">
        <f t="shared" si="5"/>
        <v>25</v>
      </c>
      <c r="K47" s="3" t="str">
        <f t="shared" si="6"/>
        <v>105834--230</v>
      </c>
      <c r="L47" s="3" t="str">
        <f t="shared" si="7"/>
        <v>105834--230</v>
      </c>
      <c r="M47" s="3">
        <f t="shared" si="8"/>
        <v>90650</v>
      </c>
      <c r="N47" s="3"/>
      <c r="O47" s="3"/>
      <c r="P47" s="3"/>
      <c r="Q47" s="3"/>
      <c r="R47" s="3"/>
      <c r="S47" s="3"/>
      <c r="T47" s="3" t="s">
        <v>320</v>
      </c>
      <c r="U47" s="3" t="s">
        <v>524</v>
      </c>
      <c r="V47" s="3" t="str">
        <f t="shared" si="9"/>
        <v>90650</v>
      </c>
      <c r="W47" s="3"/>
      <c r="X47" s="1" t="str">
        <f t="shared" si="10"/>
        <v>California</v>
      </c>
    </row>
    <row r="48" spans="1:24" ht="20.100000000000001" customHeight="1" x14ac:dyDescent="0.25">
      <c r="A48" s="3" t="s">
        <v>68</v>
      </c>
      <c r="B48" s="3">
        <v>395274</v>
      </c>
      <c r="C48" s="3">
        <v>44</v>
      </c>
      <c r="D48" s="3" t="str">
        <f t="shared" si="0"/>
        <v>oakland, california  94612</v>
      </c>
      <c r="E48" s="3" t="str">
        <f t="shared" si="1"/>
        <v>OAKLAND, CALIFORNIA  94612</v>
      </c>
      <c r="F48" s="3" t="str">
        <f t="shared" si="2"/>
        <v>Oakland, California  94612</v>
      </c>
      <c r="G48" s="3"/>
      <c r="H48" s="3" t="str">
        <f t="shared" si="3"/>
        <v>94612</v>
      </c>
      <c r="I48" s="3">
        <f t="shared" si="4"/>
        <v>26</v>
      </c>
      <c r="J48" s="3">
        <f t="shared" si="5"/>
        <v>25</v>
      </c>
      <c r="K48" s="3" t="str">
        <f t="shared" si="6"/>
        <v>395274--44</v>
      </c>
      <c r="L48" s="3" t="str">
        <f t="shared" si="7"/>
        <v>395274--44</v>
      </c>
      <c r="M48" s="3">
        <f t="shared" si="8"/>
        <v>94612</v>
      </c>
      <c r="N48" s="3"/>
      <c r="O48" s="3"/>
      <c r="P48" s="3"/>
      <c r="Q48" s="3"/>
      <c r="R48" s="3"/>
      <c r="S48" s="3"/>
      <c r="T48" s="3" t="s">
        <v>321</v>
      </c>
      <c r="U48" s="3" t="s">
        <v>524</v>
      </c>
      <c r="V48" s="3" t="str">
        <f t="shared" si="9"/>
        <v>94612</v>
      </c>
      <c r="W48" s="3"/>
      <c r="X48" s="1" t="str">
        <f t="shared" si="10"/>
        <v>California</v>
      </c>
    </row>
    <row r="49" spans="1:24" ht="20.100000000000001" customHeight="1" x14ac:dyDescent="0.25">
      <c r="A49" s="3" t="s">
        <v>69</v>
      </c>
      <c r="B49" s="3">
        <v>166108</v>
      </c>
      <c r="C49" s="3">
        <v>135</v>
      </c>
      <c r="D49" s="3" t="str">
        <f t="shared" si="0"/>
        <v>oceanside, california  92054</v>
      </c>
      <c r="E49" s="3" t="str">
        <f t="shared" si="1"/>
        <v>OCEANSIDE, CALIFORNIA  92054</v>
      </c>
      <c r="F49" s="3" t="str">
        <f t="shared" si="2"/>
        <v>Oceanside, California  92054</v>
      </c>
      <c r="G49" s="3"/>
      <c r="H49" s="3" t="str">
        <f t="shared" si="3"/>
        <v>92054</v>
      </c>
      <c r="I49" s="3">
        <f t="shared" si="4"/>
        <v>28</v>
      </c>
      <c r="J49" s="3">
        <f t="shared" si="5"/>
        <v>27</v>
      </c>
      <c r="K49" s="3" t="str">
        <f t="shared" si="6"/>
        <v>166108--135</v>
      </c>
      <c r="L49" s="3" t="str">
        <f t="shared" si="7"/>
        <v>166108--135</v>
      </c>
      <c r="M49" s="3">
        <f t="shared" si="8"/>
        <v>92054</v>
      </c>
      <c r="N49" s="3"/>
      <c r="O49" s="3"/>
      <c r="P49" s="3"/>
      <c r="Q49" s="3"/>
      <c r="R49" s="3"/>
      <c r="S49" s="3"/>
      <c r="T49" s="3" t="s">
        <v>322</v>
      </c>
      <c r="U49" s="3" t="s">
        <v>524</v>
      </c>
      <c r="V49" s="3" t="str">
        <f t="shared" si="9"/>
        <v>92054</v>
      </c>
      <c r="W49" s="3"/>
      <c r="X49" s="1" t="str">
        <f t="shared" si="10"/>
        <v>California</v>
      </c>
    </row>
    <row r="50" spans="1:24" ht="20.100000000000001" customHeight="1" x14ac:dyDescent="0.25">
      <c r="A50" s="3" t="s">
        <v>70</v>
      </c>
      <c r="B50" s="3">
        <v>172679</v>
      </c>
      <c r="C50" s="3">
        <v>128</v>
      </c>
      <c r="D50" s="3" t="str">
        <f t="shared" si="0"/>
        <v>ontario, california  91761</v>
      </c>
      <c r="E50" s="3" t="str">
        <f t="shared" si="1"/>
        <v>ONTARIO, CALIFORNIA  91761</v>
      </c>
      <c r="F50" s="3" t="str">
        <f t="shared" si="2"/>
        <v>Ontario, California  91761</v>
      </c>
      <c r="G50" s="3"/>
      <c r="H50" s="3" t="str">
        <f t="shared" si="3"/>
        <v>91761</v>
      </c>
      <c r="I50" s="3">
        <f t="shared" si="4"/>
        <v>26</v>
      </c>
      <c r="J50" s="3">
        <f t="shared" si="5"/>
        <v>25</v>
      </c>
      <c r="K50" s="3" t="str">
        <f t="shared" si="6"/>
        <v>172679--128</v>
      </c>
      <c r="L50" s="3" t="str">
        <f t="shared" si="7"/>
        <v>172679--128</v>
      </c>
      <c r="M50" s="3">
        <f t="shared" si="8"/>
        <v>91761</v>
      </c>
      <c r="N50" s="3"/>
      <c r="O50" s="3"/>
      <c r="P50" s="3"/>
      <c r="Q50" s="3"/>
      <c r="R50" s="3"/>
      <c r="S50" s="3"/>
      <c r="T50" s="3" t="s">
        <v>323</v>
      </c>
      <c r="U50" s="3" t="s">
        <v>524</v>
      </c>
      <c r="V50" s="3" t="str">
        <f t="shared" si="9"/>
        <v>91761</v>
      </c>
      <c r="W50" s="3"/>
      <c r="X50" s="1" t="str">
        <f t="shared" si="10"/>
        <v>California</v>
      </c>
    </row>
    <row r="51" spans="1:24" ht="20.100000000000001" customHeight="1" x14ac:dyDescent="0.25">
      <c r="A51" s="3" t="s">
        <v>71</v>
      </c>
      <c r="B51" s="3">
        <v>134950</v>
      </c>
      <c r="C51" s="3">
        <v>173</v>
      </c>
      <c r="D51" s="3" t="str">
        <f t="shared" si="0"/>
        <v>orange, california  92863</v>
      </c>
      <c r="E51" s="3" t="str">
        <f t="shared" si="1"/>
        <v>ORANGE, CALIFORNIA  92863</v>
      </c>
      <c r="F51" s="3" t="str">
        <f t="shared" si="2"/>
        <v>Orange, California  92863</v>
      </c>
      <c r="G51" s="3"/>
      <c r="H51" s="3" t="str">
        <f t="shared" si="3"/>
        <v>92863</v>
      </c>
      <c r="I51" s="3">
        <f t="shared" si="4"/>
        <v>25</v>
      </c>
      <c r="J51" s="3">
        <f t="shared" si="5"/>
        <v>24</v>
      </c>
      <c r="K51" s="3" t="str">
        <f t="shared" si="6"/>
        <v>134950--173</v>
      </c>
      <c r="L51" s="3" t="str">
        <f t="shared" si="7"/>
        <v>134950--173</v>
      </c>
      <c r="M51" s="3">
        <f t="shared" si="8"/>
        <v>92863</v>
      </c>
      <c r="N51" s="3"/>
      <c r="O51" s="3"/>
      <c r="P51" s="3"/>
      <c r="Q51" s="3"/>
      <c r="R51" s="3"/>
      <c r="S51" s="3"/>
      <c r="T51" s="3" t="s">
        <v>324</v>
      </c>
      <c r="U51" s="3" t="s">
        <v>524</v>
      </c>
      <c r="V51" s="3" t="str">
        <f t="shared" si="9"/>
        <v>92863</v>
      </c>
      <c r="W51" s="3"/>
      <c r="X51" s="1" t="str">
        <f t="shared" si="10"/>
        <v>California</v>
      </c>
    </row>
    <row r="52" spans="1:24" ht="20.100000000000001" customHeight="1" x14ac:dyDescent="0.25">
      <c r="A52" s="3" t="s">
        <v>72</v>
      </c>
      <c r="B52" s="3">
        <v>183628</v>
      </c>
      <c r="C52" s="3">
        <v>117</v>
      </c>
      <c r="D52" s="3" t="str">
        <f t="shared" si="0"/>
        <v>oxnard, california  93030</v>
      </c>
      <c r="E52" s="3" t="str">
        <f t="shared" si="1"/>
        <v>OXNARD, CALIFORNIA  93030</v>
      </c>
      <c r="F52" s="3" t="str">
        <f t="shared" si="2"/>
        <v>Oxnard, California  93030</v>
      </c>
      <c r="G52" s="3"/>
      <c r="H52" s="3" t="str">
        <f t="shared" si="3"/>
        <v>93030</v>
      </c>
      <c r="I52" s="3">
        <f t="shared" si="4"/>
        <v>25</v>
      </c>
      <c r="J52" s="3">
        <f t="shared" si="5"/>
        <v>24</v>
      </c>
      <c r="K52" s="3" t="str">
        <f t="shared" si="6"/>
        <v>183628--117</v>
      </c>
      <c r="L52" s="3" t="str">
        <f t="shared" si="7"/>
        <v>183628--117</v>
      </c>
      <c r="M52" s="3">
        <f t="shared" si="8"/>
        <v>93030</v>
      </c>
      <c r="N52" s="3"/>
      <c r="O52" s="3"/>
      <c r="P52" s="3"/>
      <c r="Q52" s="3"/>
      <c r="R52" s="3"/>
      <c r="S52" s="3"/>
      <c r="T52" s="3" t="s">
        <v>325</v>
      </c>
      <c r="U52" s="3" t="s">
        <v>524</v>
      </c>
      <c r="V52" s="3" t="str">
        <f t="shared" si="9"/>
        <v>93030</v>
      </c>
      <c r="W52" s="3"/>
      <c r="X52" s="1" t="str">
        <f t="shared" si="10"/>
        <v>California</v>
      </c>
    </row>
    <row r="53" spans="1:24" ht="20.100000000000001" customHeight="1" x14ac:dyDescent="0.25">
      <c r="A53" s="3" t="s">
        <v>73</v>
      </c>
      <c r="B53" s="3">
        <v>134570</v>
      </c>
      <c r="C53" s="3">
        <v>174</v>
      </c>
      <c r="D53" s="3" t="str">
        <f t="shared" si="0"/>
        <v>palmdale, california  93550</v>
      </c>
      <c r="E53" s="3" t="str">
        <f t="shared" si="1"/>
        <v>PALMDALE, CALIFORNIA  93550</v>
      </c>
      <c r="F53" s="3" t="str">
        <f t="shared" si="2"/>
        <v>Palmdale, California  93550</v>
      </c>
      <c r="G53" s="3"/>
      <c r="H53" s="3" t="str">
        <f t="shared" si="3"/>
        <v>93550</v>
      </c>
      <c r="I53" s="3">
        <f t="shared" si="4"/>
        <v>27</v>
      </c>
      <c r="J53" s="3">
        <f t="shared" si="5"/>
        <v>26</v>
      </c>
      <c r="K53" s="3" t="str">
        <f t="shared" si="6"/>
        <v>134570--174</v>
      </c>
      <c r="L53" s="3" t="str">
        <f t="shared" si="7"/>
        <v>134570--174</v>
      </c>
      <c r="M53" s="3">
        <f t="shared" si="8"/>
        <v>93550</v>
      </c>
      <c r="N53" s="3"/>
      <c r="O53" s="3"/>
      <c r="P53" s="3"/>
      <c r="Q53" s="3"/>
      <c r="R53" s="3"/>
      <c r="S53" s="3"/>
      <c r="T53" s="3" t="s">
        <v>326</v>
      </c>
      <c r="U53" s="3" t="s">
        <v>524</v>
      </c>
      <c r="V53" s="3" t="str">
        <f t="shared" si="9"/>
        <v>93550</v>
      </c>
      <c r="W53" s="3"/>
      <c r="X53" s="1" t="str">
        <f t="shared" si="10"/>
        <v>California</v>
      </c>
    </row>
    <row r="54" spans="1:24" ht="20.100000000000001" customHeight="1" x14ac:dyDescent="0.25">
      <c r="A54" s="3" t="s">
        <v>74</v>
      </c>
      <c r="B54" s="3">
        <v>143731</v>
      </c>
      <c r="C54" s="3">
        <v>160</v>
      </c>
      <c r="D54" s="3" t="str">
        <f t="shared" si="0"/>
        <v>pasadena, california  91103</v>
      </c>
      <c r="E54" s="3" t="str">
        <f t="shared" si="1"/>
        <v>PASADENA, CALIFORNIA  91103</v>
      </c>
      <c r="F54" s="3" t="str">
        <f t="shared" si="2"/>
        <v>Pasadena, California  91103</v>
      </c>
      <c r="G54" s="3"/>
      <c r="H54" s="3" t="str">
        <f t="shared" si="3"/>
        <v>91103</v>
      </c>
      <c r="I54" s="3">
        <f t="shared" si="4"/>
        <v>27</v>
      </c>
      <c r="J54" s="3">
        <f t="shared" si="5"/>
        <v>26</v>
      </c>
      <c r="K54" s="3" t="str">
        <f t="shared" si="6"/>
        <v>143731--160</v>
      </c>
      <c r="L54" s="3" t="str">
        <f t="shared" si="7"/>
        <v>143731--160</v>
      </c>
      <c r="M54" s="3">
        <f t="shared" si="8"/>
        <v>91103</v>
      </c>
      <c r="N54" s="3"/>
      <c r="O54" s="3"/>
      <c r="P54" s="3"/>
      <c r="Q54" s="3"/>
      <c r="R54" s="3"/>
      <c r="S54" s="3"/>
      <c r="T54" s="3" t="s">
        <v>327</v>
      </c>
      <c r="U54" s="3" t="s">
        <v>524</v>
      </c>
      <c r="V54" s="3" t="str">
        <f t="shared" si="9"/>
        <v>91103</v>
      </c>
      <c r="W54" s="3"/>
      <c r="X54" s="1" t="str">
        <f t="shared" si="10"/>
        <v>California</v>
      </c>
    </row>
    <row r="55" spans="1:24" ht="20.100000000000001" customHeight="1" x14ac:dyDescent="0.25">
      <c r="A55" s="3" t="s">
        <v>75</v>
      </c>
      <c r="B55" s="3">
        <v>153787</v>
      </c>
      <c r="C55" s="3">
        <v>144</v>
      </c>
      <c r="D55" s="3" t="str">
        <f t="shared" si="0"/>
        <v>pomona, california  91769</v>
      </c>
      <c r="E55" s="3" t="str">
        <f t="shared" si="1"/>
        <v>POMONA, CALIFORNIA  91769</v>
      </c>
      <c r="F55" s="3" t="str">
        <f t="shared" si="2"/>
        <v>Pomona, California  91769</v>
      </c>
      <c r="G55" s="3"/>
      <c r="H55" s="3" t="str">
        <f t="shared" si="3"/>
        <v>91769</v>
      </c>
      <c r="I55" s="3">
        <f t="shared" si="4"/>
        <v>25</v>
      </c>
      <c r="J55" s="3">
        <f t="shared" si="5"/>
        <v>24</v>
      </c>
      <c r="K55" s="3" t="str">
        <f t="shared" si="6"/>
        <v>153787--144</v>
      </c>
      <c r="L55" s="3" t="str">
        <f t="shared" si="7"/>
        <v>153787--144</v>
      </c>
      <c r="M55" s="3">
        <f t="shared" si="8"/>
        <v>91769</v>
      </c>
      <c r="N55" s="3"/>
      <c r="O55" s="3"/>
      <c r="P55" s="3"/>
      <c r="Q55" s="3"/>
      <c r="R55" s="3"/>
      <c r="S55" s="3"/>
      <c r="T55" s="3" t="s">
        <v>328</v>
      </c>
      <c r="U55" s="3" t="s">
        <v>524</v>
      </c>
      <c r="V55" s="3" t="str">
        <f t="shared" si="9"/>
        <v>91769</v>
      </c>
      <c r="W55" s="3"/>
      <c r="X55" s="1" t="str">
        <f t="shared" si="10"/>
        <v>California</v>
      </c>
    </row>
    <row r="56" spans="1:24" ht="20.100000000000001" customHeight="1" x14ac:dyDescent="0.25">
      <c r="A56" s="3" t="s">
        <v>76</v>
      </c>
      <c r="B56" s="3">
        <v>169353</v>
      </c>
      <c r="C56" s="3">
        <v>129</v>
      </c>
      <c r="D56" s="3" t="str">
        <f t="shared" si="0"/>
        <v>rancho cucamonga, california  91729</v>
      </c>
      <c r="E56" s="3" t="str">
        <f t="shared" si="1"/>
        <v>RANCHO CUCAMONGA, CALIFORNIA  91729</v>
      </c>
      <c r="F56" s="3" t="str">
        <f t="shared" si="2"/>
        <v>Rancho Cucamonga, California  91729</v>
      </c>
      <c r="G56" s="3"/>
      <c r="H56" s="3" t="str">
        <f t="shared" si="3"/>
        <v>91729</v>
      </c>
      <c r="I56" s="3">
        <f t="shared" si="4"/>
        <v>35</v>
      </c>
      <c r="J56" s="3">
        <f t="shared" si="5"/>
        <v>34</v>
      </c>
      <c r="K56" s="3" t="str">
        <f t="shared" si="6"/>
        <v>169353--129</v>
      </c>
      <c r="L56" s="3" t="str">
        <f t="shared" si="7"/>
        <v>169353--129</v>
      </c>
      <c r="M56" s="3">
        <f t="shared" si="8"/>
        <v>91729</v>
      </c>
      <c r="N56" s="3"/>
      <c r="O56" s="3"/>
      <c r="P56" s="3"/>
      <c r="Q56" s="3"/>
      <c r="R56" s="3"/>
      <c r="S56" s="3"/>
      <c r="T56" s="3" t="s">
        <v>329</v>
      </c>
      <c r="U56" s="3" t="s">
        <v>524</v>
      </c>
      <c r="V56" s="3" t="str">
        <f t="shared" si="9"/>
        <v>91729</v>
      </c>
      <c r="W56" s="3"/>
      <c r="X56" s="1" t="str">
        <f t="shared" si="10"/>
        <v>California</v>
      </c>
    </row>
    <row r="57" spans="1:24" ht="20.100000000000001" customHeight="1" x14ac:dyDescent="0.25">
      <c r="A57" s="3" t="s">
        <v>77</v>
      </c>
      <c r="B57" s="3">
        <v>102186</v>
      </c>
      <c r="C57" s="3">
        <v>245</v>
      </c>
      <c r="D57" s="3" t="str">
        <f t="shared" si="0"/>
        <v>richmond, california  94801</v>
      </c>
      <c r="E57" s="3" t="str">
        <f t="shared" si="1"/>
        <v>RICHMOND, CALIFORNIA  94801</v>
      </c>
      <c r="F57" s="3" t="str">
        <f t="shared" si="2"/>
        <v>Richmond, California  94801</v>
      </c>
      <c r="G57" s="3"/>
      <c r="H57" s="3" t="str">
        <f t="shared" si="3"/>
        <v>94801</v>
      </c>
      <c r="I57" s="3">
        <f t="shared" si="4"/>
        <v>27</v>
      </c>
      <c r="J57" s="3">
        <f t="shared" si="5"/>
        <v>26</v>
      </c>
      <c r="K57" s="3" t="str">
        <f t="shared" si="6"/>
        <v>102186--245</v>
      </c>
      <c r="L57" s="3" t="str">
        <f t="shared" si="7"/>
        <v>102186--245</v>
      </c>
      <c r="M57" s="3">
        <f t="shared" si="8"/>
        <v>94801</v>
      </c>
      <c r="N57" s="3"/>
      <c r="O57" s="3"/>
      <c r="P57" s="3"/>
      <c r="Q57" s="3"/>
      <c r="R57" s="3"/>
      <c r="S57" s="3"/>
      <c r="T57" s="3" t="s">
        <v>330</v>
      </c>
      <c r="U57" s="3" t="s">
        <v>524</v>
      </c>
      <c r="V57" s="3" t="str">
        <f t="shared" si="9"/>
        <v>94801</v>
      </c>
      <c r="W57" s="3"/>
      <c r="X57" s="1" t="str">
        <f t="shared" si="10"/>
        <v>California</v>
      </c>
    </row>
    <row r="58" spans="1:24" ht="20.100000000000001" customHeight="1" x14ac:dyDescent="0.25">
      <c r="A58" s="3" t="s">
        <v>78</v>
      </c>
      <c r="B58" s="3">
        <v>290086</v>
      </c>
      <c r="C58" s="3">
        <v>62</v>
      </c>
      <c r="D58" s="3" t="str">
        <f t="shared" si="0"/>
        <v>riverside, california  92507</v>
      </c>
      <c r="E58" s="3" t="str">
        <f t="shared" si="1"/>
        <v>RIVERSIDE, CALIFORNIA  92507</v>
      </c>
      <c r="F58" s="3" t="str">
        <f t="shared" si="2"/>
        <v>Riverside, California  92507</v>
      </c>
      <c r="G58" s="3"/>
      <c r="H58" s="3" t="str">
        <f t="shared" si="3"/>
        <v>92507</v>
      </c>
      <c r="I58" s="3">
        <f t="shared" si="4"/>
        <v>28</v>
      </c>
      <c r="J58" s="3">
        <f t="shared" si="5"/>
        <v>27</v>
      </c>
      <c r="K58" s="3" t="str">
        <f t="shared" si="6"/>
        <v>290086--62</v>
      </c>
      <c r="L58" s="3" t="str">
        <f t="shared" si="7"/>
        <v>290086--62</v>
      </c>
      <c r="M58" s="3">
        <f t="shared" si="8"/>
        <v>92507</v>
      </c>
      <c r="N58" s="3"/>
      <c r="O58" s="3"/>
      <c r="P58" s="3"/>
      <c r="Q58" s="3"/>
      <c r="R58" s="3"/>
      <c r="S58" s="3"/>
      <c r="T58" s="3" t="s">
        <v>331</v>
      </c>
      <c r="U58" s="3" t="s">
        <v>524</v>
      </c>
      <c r="V58" s="3" t="str">
        <f t="shared" si="9"/>
        <v>92507</v>
      </c>
      <c r="W58" s="3"/>
      <c r="X58" s="1" t="str">
        <f t="shared" si="10"/>
        <v>California</v>
      </c>
    </row>
    <row r="59" spans="1:24" ht="20.100000000000001" customHeight="1" x14ac:dyDescent="0.25">
      <c r="A59" s="3" t="s">
        <v>79</v>
      </c>
      <c r="B59" s="3">
        <v>105940</v>
      </c>
      <c r="C59" s="3">
        <v>229</v>
      </c>
      <c r="D59" s="3" t="str">
        <f t="shared" si="0"/>
        <v>roseville, california  95661</v>
      </c>
      <c r="E59" s="3" t="str">
        <f t="shared" si="1"/>
        <v>ROSEVILLE, CALIFORNIA  95661</v>
      </c>
      <c r="F59" s="3" t="str">
        <f t="shared" si="2"/>
        <v>Roseville, California  95661</v>
      </c>
      <c r="G59" s="3"/>
      <c r="H59" s="3" t="str">
        <f t="shared" si="3"/>
        <v>95661</v>
      </c>
      <c r="I59" s="3">
        <f t="shared" si="4"/>
        <v>28</v>
      </c>
      <c r="J59" s="3">
        <f t="shared" si="5"/>
        <v>27</v>
      </c>
      <c r="K59" s="3" t="str">
        <f t="shared" si="6"/>
        <v>105940--229</v>
      </c>
      <c r="L59" s="3" t="str">
        <f t="shared" si="7"/>
        <v>105940--229</v>
      </c>
      <c r="M59" s="3">
        <f t="shared" si="8"/>
        <v>95661</v>
      </c>
      <c r="N59" s="3"/>
      <c r="O59" s="3"/>
      <c r="P59" s="3"/>
      <c r="Q59" s="3"/>
      <c r="R59" s="3"/>
      <c r="S59" s="3"/>
      <c r="T59" s="3" t="s">
        <v>332</v>
      </c>
      <c r="U59" s="3" t="s">
        <v>524</v>
      </c>
      <c r="V59" s="3" t="str">
        <f t="shared" si="9"/>
        <v>95661</v>
      </c>
      <c r="W59" s="3"/>
      <c r="X59" s="1" t="str">
        <f t="shared" si="10"/>
        <v>California</v>
      </c>
    </row>
    <row r="60" spans="1:24" ht="20.100000000000001" customHeight="1" x14ac:dyDescent="0.25">
      <c r="A60" s="3" t="s">
        <v>80</v>
      </c>
      <c r="B60" s="3">
        <v>456441</v>
      </c>
      <c r="C60" s="3">
        <v>37</v>
      </c>
      <c r="D60" s="3" t="str">
        <f t="shared" si="0"/>
        <v>sacramento, california  95813</v>
      </c>
      <c r="E60" s="3" t="str">
        <f t="shared" si="1"/>
        <v>SACRAMENTO, CALIFORNIA  95813</v>
      </c>
      <c r="F60" s="3" t="str">
        <f t="shared" si="2"/>
        <v>Sacramento, California  95813</v>
      </c>
      <c r="G60" s="3"/>
      <c r="H60" s="3" t="str">
        <f t="shared" si="3"/>
        <v>95813</v>
      </c>
      <c r="I60" s="3">
        <f t="shared" si="4"/>
        <v>29</v>
      </c>
      <c r="J60" s="3">
        <f t="shared" si="5"/>
        <v>28</v>
      </c>
      <c r="K60" s="3" t="str">
        <f t="shared" si="6"/>
        <v>456441--37</v>
      </c>
      <c r="L60" s="3" t="str">
        <f t="shared" si="7"/>
        <v>456441--37</v>
      </c>
      <c r="M60" s="3">
        <f t="shared" si="8"/>
        <v>95813</v>
      </c>
      <c r="N60" s="3"/>
      <c r="O60" s="3"/>
      <c r="P60" s="3"/>
      <c r="Q60" s="3"/>
      <c r="R60" s="3"/>
      <c r="S60" s="3"/>
      <c r="T60" s="3" t="s">
        <v>333</v>
      </c>
      <c r="U60" s="3" t="s">
        <v>524</v>
      </c>
      <c r="V60" s="3" t="str">
        <f t="shared" si="9"/>
        <v>95813</v>
      </c>
      <c r="W60" s="3"/>
      <c r="X60" s="1" t="str">
        <f t="shared" si="10"/>
        <v>California</v>
      </c>
    </row>
    <row r="61" spans="1:24" ht="20.100000000000001" customHeight="1" x14ac:dyDescent="0.25">
      <c r="A61" s="3" t="s">
        <v>81</v>
      </c>
      <c r="B61" s="3">
        <v>146431</v>
      </c>
      <c r="C61" s="3">
        <v>153</v>
      </c>
      <c r="D61" s="3" t="str">
        <f t="shared" si="0"/>
        <v>salinas, california  93907</v>
      </c>
      <c r="E61" s="3" t="str">
        <f t="shared" si="1"/>
        <v>SALINAS, CALIFORNIA  93907</v>
      </c>
      <c r="F61" s="3" t="str">
        <f t="shared" si="2"/>
        <v>Salinas, California  93907</v>
      </c>
      <c r="G61" s="3"/>
      <c r="H61" s="3" t="str">
        <f t="shared" si="3"/>
        <v>93907</v>
      </c>
      <c r="I61" s="3">
        <f t="shared" si="4"/>
        <v>26</v>
      </c>
      <c r="J61" s="3">
        <f t="shared" si="5"/>
        <v>25</v>
      </c>
      <c r="K61" s="3" t="str">
        <f t="shared" si="6"/>
        <v>146431--153</v>
      </c>
      <c r="L61" s="3" t="str">
        <f t="shared" si="7"/>
        <v>146431--153</v>
      </c>
      <c r="M61" s="3">
        <f t="shared" si="8"/>
        <v>93907</v>
      </c>
      <c r="N61" s="3"/>
      <c r="O61" s="3"/>
      <c r="P61" s="3"/>
      <c r="Q61" s="3"/>
      <c r="R61" s="3"/>
      <c r="S61" s="3"/>
      <c r="T61" s="3" t="s">
        <v>334</v>
      </c>
      <c r="U61" s="3" t="s">
        <v>524</v>
      </c>
      <c r="V61" s="3" t="str">
        <f t="shared" si="9"/>
        <v>93907</v>
      </c>
      <c r="W61" s="3"/>
      <c r="X61" s="1" t="str">
        <f t="shared" si="10"/>
        <v>California</v>
      </c>
    </row>
    <row r="62" spans="1:24" ht="20.100000000000001" customHeight="1" x14ac:dyDescent="0.25">
      <c r="A62" s="3" t="s">
        <v>82</v>
      </c>
      <c r="B62" s="3">
        <v>198550</v>
      </c>
      <c r="C62" s="3">
        <v>100</v>
      </c>
      <c r="D62" s="3" t="str">
        <f t="shared" si="0"/>
        <v>san bernardino, california  92401</v>
      </c>
      <c r="E62" s="3" t="str">
        <f t="shared" si="1"/>
        <v>SAN BERNARDINO, CALIFORNIA  92401</v>
      </c>
      <c r="F62" s="3" t="str">
        <f t="shared" si="2"/>
        <v>San Bernardino, California  92401</v>
      </c>
      <c r="G62" s="3"/>
      <c r="H62" s="3" t="str">
        <f t="shared" si="3"/>
        <v>92401</v>
      </c>
      <c r="I62" s="3">
        <f t="shared" si="4"/>
        <v>33</v>
      </c>
      <c r="J62" s="3">
        <f t="shared" si="5"/>
        <v>32</v>
      </c>
      <c r="K62" s="3" t="str">
        <f t="shared" si="6"/>
        <v>198550--100</v>
      </c>
      <c r="L62" s="3" t="str">
        <f t="shared" si="7"/>
        <v>198550--100</v>
      </c>
      <c r="M62" s="3">
        <f t="shared" si="8"/>
        <v>92401</v>
      </c>
      <c r="N62" s="3"/>
      <c r="O62" s="3"/>
      <c r="P62" s="3"/>
      <c r="Q62" s="3"/>
      <c r="R62" s="3"/>
      <c r="S62" s="3"/>
      <c r="T62" s="3" t="s">
        <v>335</v>
      </c>
      <c r="U62" s="3" t="s">
        <v>524</v>
      </c>
      <c r="V62" s="3" t="str">
        <f t="shared" si="9"/>
        <v>92401</v>
      </c>
      <c r="W62" s="3"/>
      <c r="X62" s="1" t="str">
        <f t="shared" si="10"/>
        <v>California</v>
      </c>
    </row>
    <row r="63" spans="1:24" ht="20.100000000000001" customHeight="1" x14ac:dyDescent="0.25">
      <c r="A63" s="3" t="s">
        <v>83</v>
      </c>
      <c r="B63" s="3">
        <v>104017</v>
      </c>
      <c r="C63" s="3">
        <v>239</v>
      </c>
      <c r="D63" s="3" t="str">
        <f t="shared" si="0"/>
        <v>ventura, california  93001</v>
      </c>
      <c r="E63" s="3" t="str">
        <f t="shared" si="1"/>
        <v>VENTURA, CALIFORNIA  93001</v>
      </c>
      <c r="F63" s="3" t="str">
        <f t="shared" si="2"/>
        <v>Ventura, California  93001</v>
      </c>
      <c r="G63" s="3"/>
      <c r="H63" s="3" t="str">
        <f t="shared" si="3"/>
        <v>93001</v>
      </c>
      <c r="I63" s="3">
        <f t="shared" si="4"/>
        <v>26</v>
      </c>
      <c r="J63" s="3">
        <f t="shared" si="5"/>
        <v>25</v>
      </c>
      <c r="K63" s="3" t="str">
        <f t="shared" si="6"/>
        <v>104017--239</v>
      </c>
      <c r="L63" s="3" t="str">
        <f t="shared" si="7"/>
        <v>104017--239</v>
      </c>
      <c r="M63" s="3">
        <f t="shared" si="8"/>
        <v>93001</v>
      </c>
      <c r="N63" s="3"/>
      <c r="O63" s="3"/>
      <c r="P63" s="3"/>
      <c r="Q63" s="3"/>
      <c r="R63" s="3"/>
      <c r="S63" s="3"/>
      <c r="T63" s="3" t="s">
        <v>336</v>
      </c>
      <c r="U63" s="3" t="s">
        <v>524</v>
      </c>
      <c r="V63" s="3" t="str">
        <f t="shared" si="9"/>
        <v>93001</v>
      </c>
      <c r="W63" s="3"/>
      <c r="X63" s="1" t="str">
        <f t="shared" si="10"/>
        <v>California</v>
      </c>
    </row>
    <row r="64" spans="1:24" ht="20.100000000000001" customHeight="1" x14ac:dyDescent="0.25">
      <c r="A64" s="3" t="s">
        <v>84</v>
      </c>
      <c r="B64" s="3">
        <v>1255540</v>
      </c>
      <c r="C64" s="3">
        <v>8</v>
      </c>
      <c r="D64" s="3" t="str">
        <f t="shared" si="0"/>
        <v>san diego, california  92199</v>
      </c>
      <c r="E64" s="3" t="str">
        <f t="shared" si="1"/>
        <v>SAN DIEGO, CALIFORNIA  92199</v>
      </c>
      <c r="F64" s="3" t="str">
        <f t="shared" si="2"/>
        <v>San Diego, California  92199</v>
      </c>
      <c r="G64" s="3"/>
      <c r="H64" s="3" t="str">
        <f t="shared" si="3"/>
        <v>92199</v>
      </c>
      <c r="I64" s="3">
        <f t="shared" si="4"/>
        <v>28</v>
      </c>
      <c r="J64" s="3">
        <f t="shared" si="5"/>
        <v>27</v>
      </c>
      <c r="K64" s="3" t="str">
        <f t="shared" si="6"/>
        <v>1255540--8</v>
      </c>
      <c r="L64" s="3" t="str">
        <f t="shared" si="7"/>
        <v>1255540--8</v>
      </c>
      <c r="M64" s="3">
        <f t="shared" si="8"/>
        <v>92199</v>
      </c>
      <c r="N64" s="3"/>
      <c r="O64" s="3"/>
      <c r="P64" s="3"/>
      <c r="Q64" s="3"/>
      <c r="R64" s="3"/>
      <c r="S64" s="3"/>
      <c r="T64" s="3" t="s">
        <v>337</v>
      </c>
      <c r="U64" s="3" t="s">
        <v>524</v>
      </c>
      <c r="V64" s="3" t="str">
        <f t="shared" si="9"/>
        <v>92199</v>
      </c>
      <c r="W64" s="3"/>
      <c r="X64" s="1" t="str">
        <f t="shared" si="10"/>
        <v>California</v>
      </c>
    </row>
    <row r="65" spans="1:24" ht="20.100000000000001" customHeight="1" x14ac:dyDescent="0.25">
      <c r="A65" s="3" t="s">
        <v>85</v>
      </c>
      <c r="B65" s="3">
        <v>739426</v>
      </c>
      <c r="C65" s="3">
        <v>14</v>
      </c>
      <c r="D65" s="3" t="str">
        <f t="shared" si="0"/>
        <v>san francisco, california  94188</v>
      </c>
      <c r="E65" s="3" t="str">
        <f t="shared" si="1"/>
        <v>SAN FRANCISCO, CALIFORNIA  94188</v>
      </c>
      <c r="F65" s="3" t="str">
        <f t="shared" si="2"/>
        <v>San Francisco, California  94188</v>
      </c>
      <c r="G65" s="3"/>
      <c r="H65" s="3" t="str">
        <f t="shared" si="3"/>
        <v>94188</v>
      </c>
      <c r="I65" s="3">
        <f t="shared" si="4"/>
        <v>32</v>
      </c>
      <c r="J65" s="3">
        <f t="shared" si="5"/>
        <v>31</v>
      </c>
      <c r="K65" s="3" t="str">
        <f t="shared" si="6"/>
        <v>739426--14</v>
      </c>
      <c r="L65" s="3" t="str">
        <f t="shared" si="7"/>
        <v>739426--14</v>
      </c>
      <c r="M65" s="3">
        <f t="shared" si="8"/>
        <v>94188</v>
      </c>
      <c r="N65" s="3"/>
      <c r="O65" s="3"/>
      <c r="P65" s="3"/>
      <c r="Q65" s="3"/>
      <c r="R65" s="3"/>
      <c r="S65" s="3"/>
      <c r="T65" s="3" t="s">
        <v>338</v>
      </c>
      <c r="U65" s="3" t="s">
        <v>524</v>
      </c>
      <c r="V65" s="3" t="str">
        <f t="shared" si="9"/>
        <v>94188</v>
      </c>
      <c r="W65" s="3"/>
      <c r="X65" s="1" t="str">
        <f t="shared" si="10"/>
        <v>California</v>
      </c>
    </row>
    <row r="66" spans="1:24" ht="20.100000000000001" customHeight="1" x14ac:dyDescent="0.25">
      <c r="A66" s="3" t="s">
        <v>86</v>
      </c>
      <c r="B66" s="3">
        <v>912332</v>
      </c>
      <c r="C66" s="3">
        <v>10</v>
      </c>
      <c r="D66" s="3" t="str">
        <f t="shared" si="0"/>
        <v>san jose, california  95101</v>
      </c>
      <c r="E66" s="3" t="str">
        <f t="shared" si="1"/>
        <v>SAN JOSE, CALIFORNIA  95101</v>
      </c>
      <c r="F66" s="3" t="str">
        <f t="shared" si="2"/>
        <v>San Jose, California  95101</v>
      </c>
      <c r="G66" s="3"/>
      <c r="H66" s="3" t="str">
        <f t="shared" si="3"/>
        <v>95101</v>
      </c>
      <c r="I66" s="3">
        <f t="shared" si="4"/>
        <v>27</v>
      </c>
      <c r="J66" s="3">
        <f t="shared" si="5"/>
        <v>26</v>
      </c>
      <c r="K66" s="3" t="str">
        <f t="shared" si="6"/>
        <v>912332--10</v>
      </c>
      <c r="L66" s="3" t="str">
        <f t="shared" si="7"/>
        <v>912332--10</v>
      </c>
      <c r="M66" s="3">
        <f t="shared" si="8"/>
        <v>95101</v>
      </c>
      <c r="N66" s="3"/>
      <c r="O66" s="3"/>
      <c r="P66" s="3"/>
      <c r="Q66" s="3"/>
      <c r="R66" s="3"/>
      <c r="S66" s="3"/>
      <c r="T66" s="3" t="s">
        <v>339</v>
      </c>
      <c r="U66" s="3" t="s">
        <v>524</v>
      </c>
      <c r="V66" s="3" t="str">
        <f t="shared" si="9"/>
        <v>95101</v>
      </c>
      <c r="W66" s="3"/>
      <c r="X66" s="1" t="str">
        <f t="shared" si="10"/>
        <v>California</v>
      </c>
    </row>
    <row r="67" spans="1:24" ht="20.100000000000001" customHeight="1" x14ac:dyDescent="0.25">
      <c r="A67" s="3" t="s">
        <v>87</v>
      </c>
      <c r="B67" s="3">
        <v>340368</v>
      </c>
      <c r="C67" s="3">
        <v>54</v>
      </c>
      <c r="D67" s="3" t="str">
        <f t="shared" ref="D67:D130" si="11">LOWER(A67)</f>
        <v>santa ana, california  92711</v>
      </c>
      <c r="E67" s="3" t="str">
        <f t="shared" ref="E67:E130" si="12">UPPER(A67)</f>
        <v>SANTA ANA, CALIFORNIA  92711</v>
      </c>
      <c r="F67" s="3" t="str">
        <f t="shared" ref="F67:F130" si="13">PROPER(D67)</f>
        <v>Santa Ana, California  92711</v>
      </c>
      <c r="G67" s="3"/>
      <c r="H67" s="3" t="str">
        <f t="shared" ref="H67:H130" si="14">RIGHT(A67,5)</f>
        <v>92711</v>
      </c>
      <c r="I67" s="3">
        <f t="shared" ref="I67:I130" si="15">LEN(A67)</f>
        <v>28</v>
      </c>
      <c r="J67" s="3">
        <f t="shared" ref="J67:J130" si="16">LEN(TRIM(A67))</f>
        <v>27</v>
      </c>
      <c r="K67" s="3" t="str">
        <f t="shared" ref="K67:K130" si="17">B67&amp;"--"&amp;C67</f>
        <v>340368--54</v>
      </c>
      <c r="L67" s="3" t="str">
        <f t="shared" ref="L67:L130" si="18">_xlfn.CONCAT(B67,"--",C67)</f>
        <v>340368--54</v>
      </c>
      <c r="M67" s="3">
        <f t="shared" ref="M67:M130" si="19">VALUE(H67)</f>
        <v>92711</v>
      </c>
      <c r="N67" s="3"/>
      <c r="O67" s="3"/>
      <c r="P67" s="3"/>
      <c r="Q67" s="3"/>
      <c r="R67" s="3"/>
      <c r="S67" s="3"/>
      <c r="T67" s="3" t="s">
        <v>340</v>
      </c>
      <c r="U67" s="3" t="s">
        <v>524</v>
      </c>
      <c r="V67" s="3" t="str">
        <f t="shared" ref="V67:V130" si="20">RIGHT(A67,5)</f>
        <v>92711</v>
      </c>
      <c r="W67" s="3"/>
      <c r="X67" s="1" t="str">
        <f t="shared" ref="X67:X130" si="21">TRIM(MID(A67,FIND(",",A67)+1,LEN(A67)-FIND(",",A67)-5))</f>
        <v>California</v>
      </c>
    </row>
    <row r="68" spans="1:24" ht="20.100000000000001" customHeight="1" x14ac:dyDescent="0.25">
      <c r="A68" s="3" t="s">
        <v>88</v>
      </c>
      <c r="B68" s="3">
        <v>105402</v>
      </c>
      <c r="C68" s="3">
        <v>231</v>
      </c>
      <c r="D68" s="3" t="str">
        <f t="shared" si="11"/>
        <v>santa clara, california  95050</v>
      </c>
      <c r="E68" s="3" t="str">
        <f t="shared" si="12"/>
        <v>SANTA CLARA, CALIFORNIA  95050</v>
      </c>
      <c r="F68" s="3" t="str">
        <f t="shared" si="13"/>
        <v>Santa Clara, California  95050</v>
      </c>
      <c r="G68" s="3"/>
      <c r="H68" s="3" t="str">
        <f t="shared" si="14"/>
        <v>95050</v>
      </c>
      <c r="I68" s="3">
        <f t="shared" si="15"/>
        <v>30</v>
      </c>
      <c r="J68" s="3">
        <f t="shared" si="16"/>
        <v>29</v>
      </c>
      <c r="K68" s="3" t="str">
        <f t="shared" si="17"/>
        <v>105402--231</v>
      </c>
      <c r="L68" s="3" t="str">
        <f t="shared" si="18"/>
        <v>105402--231</v>
      </c>
      <c r="M68" s="3">
        <f t="shared" si="19"/>
        <v>95050</v>
      </c>
      <c r="N68" s="3"/>
      <c r="O68" s="3"/>
      <c r="P68" s="3"/>
      <c r="Q68" s="3"/>
      <c r="R68" s="3"/>
      <c r="S68" s="3"/>
      <c r="T68" s="3" t="s">
        <v>341</v>
      </c>
      <c r="U68" s="3" t="s">
        <v>524</v>
      </c>
      <c r="V68" s="3" t="str">
        <f t="shared" si="20"/>
        <v>95050</v>
      </c>
      <c r="W68" s="3"/>
      <c r="X68" s="1" t="str">
        <f t="shared" si="21"/>
        <v>California</v>
      </c>
    </row>
    <row r="69" spans="1:24" ht="20.100000000000001" customHeight="1" x14ac:dyDescent="0.25">
      <c r="A69" s="3" t="s">
        <v>89</v>
      </c>
      <c r="B69" s="3">
        <v>168253</v>
      </c>
      <c r="C69" s="3">
        <v>130</v>
      </c>
      <c r="D69" s="3" t="str">
        <f t="shared" si="11"/>
        <v>santa clarita, california  91355</v>
      </c>
      <c r="E69" s="3" t="str">
        <f t="shared" si="12"/>
        <v>SANTA CLARITA, CALIFORNIA  91355</v>
      </c>
      <c r="F69" s="3" t="str">
        <f t="shared" si="13"/>
        <v>Santa Clarita, California  91355</v>
      </c>
      <c r="G69" s="3"/>
      <c r="H69" s="3" t="str">
        <f t="shared" si="14"/>
        <v>91355</v>
      </c>
      <c r="I69" s="3">
        <f t="shared" si="15"/>
        <v>32</v>
      </c>
      <c r="J69" s="3">
        <f t="shared" si="16"/>
        <v>31</v>
      </c>
      <c r="K69" s="3" t="str">
        <f t="shared" si="17"/>
        <v>168253--130</v>
      </c>
      <c r="L69" s="3" t="str">
        <f t="shared" si="18"/>
        <v>168253--130</v>
      </c>
      <c r="M69" s="3">
        <f t="shared" si="19"/>
        <v>91355</v>
      </c>
      <c r="N69" s="3"/>
      <c r="O69" s="3"/>
      <c r="P69" s="3"/>
      <c r="Q69" s="3"/>
      <c r="R69" s="3"/>
      <c r="S69" s="3"/>
      <c r="T69" s="3" t="s">
        <v>342</v>
      </c>
      <c r="U69" s="3" t="s">
        <v>524</v>
      </c>
      <c r="V69" s="3" t="str">
        <f t="shared" si="20"/>
        <v>91355</v>
      </c>
      <c r="W69" s="3"/>
      <c r="X69" s="1" t="str">
        <f t="shared" si="21"/>
        <v>California</v>
      </c>
    </row>
    <row r="70" spans="1:24" ht="20.100000000000001" customHeight="1" x14ac:dyDescent="0.25">
      <c r="A70" s="3" t="s">
        <v>90</v>
      </c>
      <c r="B70" s="3">
        <v>153158</v>
      </c>
      <c r="C70" s="3">
        <v>145</v>
      </c>
      <c r="D70" s="3" t="str">
        <f t="shared" si="11"/>
        <v>santa rosa, california  95402</v>
      </c>
      <c r="E70" s="3" t="str">
        <f t="shared" si="12"/>
        <v>SANTA ROSA, CALIFORNIA  95402</v>
      </c>
      <c r="F70" s="3" t="str">
        <f t="shared" si="13"/>
        <v>Santa Rosa, California  95402</v>
      </c>
      <c r="G70" s="3"/>
      <c r="H70" s="3" t="str">
        <f t="shared" si="14"/>
        <v>95402</v>
      </c>
      <c r="I70" s="3">
        <f t="shared" si="15"/>
        <v>29</v>
      </c>
      <c r="J70" s="3">
        <f t="shared" si="16"/>
        <v>28</v>
      </c>
      <c r="K70" s="3" t="str">
        <f t="shared" si="17"/>
        <v>153158--145</v>
      </c>
      <c r="L70" s="3" t="str">
        <f t="shared" si="18"/>
        <v>153158--145</v>
      </c>
      <c r="M70" s="3">
        <f t="shared" si="19"/>
        <v>95402</v>
      </c>
      <c r="N70" s="3"/>
      <c r="O70" s="3"/>
      <c r="P70" s="3"/>
      <c r="Q70" s="3"/>
      <c r="R70" s="3"/>
      <c r="S70" s="3"/>
      <c r="T70" s="3" t="s">
        <v>343</v>
      </c>
      <c r="U70" s="3" t="s">
        <v>524</v>
      </c>
      <c r="V70" s="3" t="str">
        <f t="shared" si="20"/>
        <v>95402</v>
      </c>
      <c r="W70" s="3"/>
      <c r="X70" s="1" t="str">
        <f t="shared" si="21"/>
        <v>California</v>
      </c>
    </row>
    <row r="71" spans="1:24" ht="20.100000000000001" customHeight="1" x14ac:dyDescent="0.25">
      <c r="A71" s="3" t="s">
        <v>91</v>
      </c>
      <c r="B71" s="3">
        <v>118687</v>
      </c>
      <c r="C71" s="3">
        <v>198</v>
      </c>
      <c r="D71" s="3" t="str">
        <f t="shared" si="11"/>
        <v>simi valley, california  93065</v>
      </c>
      <c r="E71" s="3" t="str">
        <f t="shared" si="12"/>
        <v>SIMI VALLEY, CALIFORNIA  93065</v>
      </c>
      <c r="F71" s="3" t="str">
        <f t="shared" si="13"/>
        <v>Simi Valley, California  93065</v>
      </c>
      <c r="G71" s="3"/>
      <c r="H71" s="3" t="str">
        <f t="shared" si="14"/>
        <v>93065</v>
      </c>
      <c r="I71" s="3">
        <f t="shared" si="15"/>
        <v>30</v>
      </c>
      <c r="J71" s="3">
        <f t="shared" si="16"/>
        <v>29</v>
      </c>
      <c r="K71" s="3" t="str">
        <f t="shared" si="17"/>
        <v>118687--198</v>
      </c>
      <c r="L71" s="3" t="str">
        <f t="shared" si="18"/>
        <v>118687--198</v>
      </c>
      <c r="M71" s="3">
        <f t="shared" si="19"/>
        <v>93065</v>
      </c>
      <c r="N71" s="3"/>
      <c r="O71" s="3"/>
      <c r="P71" s="3"/>
      <c r="Q71" s="3"/>
      <c r="R71" s="3"/>
      <c r="S71" s="3"/>
      <c r="T71" s="3" t="s">
        <v>344</v>
      </c>
      <c r="U71" s="3" t="s">
        <v>524</v>
      </c>
      <c r="V71" s="3" t="str">
        <f t="shared" si="20"/>
        <v>93065</v>
      </c>
      <c r="W71" s="3"/>
      <c r="X71" s="1" t="str">
        <f t="shared" si="21"/>
        <v>California</v>
      </c>
    </row>
    <row r="72" spans="1:24" ht="20.100000000000001" customHeight="1" x14ac:dyDescent="0.25">
      <c r="A72" s="3" t="s">
        <v>92</v>
      </c>
      <c r="B72" s="3">
        <v>286926</v>
      </c>
      <c r="C72" s="3">
        <v>63</v>
      </c>
      <c r="D72" s="3" t="str">
        <f t="shared" si="11"/>
        <v>stockton, california  95208</v>
      </c>
      <c r="E72" s="3" t="str">
        <f t="shared" si="12"/>
        <v>STOCKTON, CALIFORNIA  95208</v>
      </c>
      <c r="F72" s="3" t="str">
        <f t="shared" si="13"/>
        <v>Stockton, California  95208</v>
      </c>
      <c r="G72" s="3"/>
      <c r="H72" s="3" t="str">
        <f t="shared" si="14"/>
        <v>95208</v>
      </c>
      <c r="I72" s="3">
        <f t="shared" si="15"/>
        <v>27</v>
      </c>
      <c r="J72" s="3">
        <f t="shared" si="16"/>
        <v>26</v>
      </c>
      <c r="K72" s="3" t="str">
        <f t="shared" si="17"/>
        <v>286926--63</v>
      </c>
      <c r="L72" s="3" t="str">
        <f t="shared" si="18"/>
        <v>286926--63</v>
      </c>
      <c r="M72" s="3">
        <f t="shared" si="19"/>
        <v>95208</v>
      </c>
      <c r="N72" s="3"/>
      <c r="O72" s="3"/>
      <c r="P72" s="3"/>
      <c r="Q72" s="3"/>
      <c r="R72" s="3"/>
      <c r="S72" s="3"/>
      <c r="T72" s="3" t="s">
        <v>345</v>
      </c>
      <c r="U72" s="3" t="s">
        <v>524</v>
      </c>
      <c r="V72" s="3" t="str">
        <f t="shared" si="20"/>
        <v>95208</v>
      </c>
      <c r="W72" s="3"/>
      <c r="X72" s="1" t="str">
        <f t="shared" si="21"/>
        <v>California</v>
      </c>
    </row>
    <row r="73" spans="1:24" ht="20.100000000000001" customHeight="1" x14ac:dyDescent="0.25">
      <c r="A73" s="3" t="s">
        <v>93</v>
      </c>
      <c r="B73" s="3">
        <v>128902</v>
      </c>
      <c r="C73" s="3">
        <v>181</v>
      </c>
      <c r="D73" s="3" t="str">
        <f t="shared" si="11"/>
        <v>sunnyvale, california  94086</v>
      </c>
      <c r="E73" s="3" t="str">
        <f t="shared" si="12"/>
        <v>SUNNYVALE, CALIFORNIA  94086</v>
      </c>
      <c r="F73" s="3" t="str">
        <f t="shared" si="13"/>
        <v>Sunnyvale, California  94086</v>
      </c>
      <c r="G73" s="3"/>
      <c r="H73" s="3" t="str">
        <f t="shared" si="14"/>
        <v>94086</v>
      </c>
      <c r="I73" s="3">
        <f t="shared" si="15"/>
        <v>28</v>
      </c>
      <c r="J73" s="3">
        <f t="shared" si="16"/>
        <v>27</v>
      </c>
      <c r="K73" s="3" t="str">
        <f t="shared" si="17"/>
        <v>128902--181</v>
      </c>
      <c r="L73" s="3" t="str">
        <f t="shared" si="18"/>
        <v>128902--181</v>
      </c>
      <c r="M73" s="3">
        <f t="shared" si="19"/>
        <v>94086</v>
      </c>
      <c r="N73" s="3"/>
      <c r="O73" s="3"/>
      <c r="P73" s="3"/>
      <c r="Q73" s="3"/>
      <c r="R73" s="3"/>
      <c r="S73" s="3"/>
      <c r="T73" s="3" t="s">
        <v>346</v>
      </c>
      <c r="U73" s="3" t="s">
        <v>524</v>
      </c>
      <c r="V73" s="3" t="str">
        <f t="shared" si="20"/>
        <v>94086</v>
      </c>
      <c r="W73" s="3"/>
      <c r="X73" s="1" t="str">
        <f t="shared" si="21"/>
        <v>California</v>
      </c>
    </row>
    <row r="74" spans="1:24" ht="20.100000000000001" customHeight="1" x14ac:dyDescent="0.25">
      <c r="A74" s="3" t="s">
        <v>94</v>
      </c>
      <c r="B74" s="3">
        <v>124359</v>
      </c>
      <c r="C74" s="3">
        <v>189</v>
      </c>
      <c r="D74" s="3" t="str">
        <f t="shared" si="11"/>
        <v>thousand oaks, california  91362</v>
      </c>
      <c r="E74" s="3" t="str">
        <f t="shared" si="12"/>
        <v>THOUSAND OAKS, CALIFORNIA  91362</v>
      </c>
      <c r="F74" s="3" t="str">
        <f t="shared" si="13"/>
        <v>Thousand Oaks, California  91362</v>
      </c>
      <c r="G74" s="3"/>
      <c r="H74" s="3" t="str">
        <f t="shared" si="14"/>
        <v>91362</v>
      </c>
      <c r="I74" s="3">
        <f t="shared" si="15"/>
        <v>32</v>
      </c>
      <c r="J74" s="3">
        <f t="shared" si="16"/>
        <v>31</v>
      </c>
      <c r="K74" s="3" t="str">
        <f t="shared" si="17"/>
        <v>124359--189</v>
      </c>
      <c r="L74" s="3" t="str">
        <f t="shared" si="18"/>
        <v>124359--189</v>
      </c>
      <c r="M74" s="3">
        <f t="shared" si="19"/>
        <v>91362</v>
      </c>
      <c r="N74" s="3"/>
      <c r="O74" s="3"/>
      <c r="P74" s="3"/>
      <c r="Q74" s="3"/>
      <c r="R74" s="3"/>
      <c r="S74" s="3"/>
      <c r="T74" s="3" t="s">
        <v>347</v>
      </c>
      <c r="U74" s="3" t="s">
        <v>524</v>
      </c>
      <c r="V74" s="3" t="str">
        <f t="shared" si="20"/>
        <v>91362</v>
      </c>
      <c r="W74" s="3"/>
      <c r="X74" s="1" t="str">
        <f t="shared" si="21"/>
        <v>California</v>
      </c>
    </row>
    <row r="75" spans="1:24" ht="20.100000000000001" customHeight="1" x14ac:dyDescent="0.25">
      <c r="A75" s="3" t="s">
        <v>95</v>
      </c>
      <c r="B75" s="3">
        <v>142384</v>
      </c>
      <c r="C75" s="3">
        <v>161</v>
      </c>
      <c r="D75" s="3" t="str">
        <f t="shared" si="11"/>
        <v>torrance, california  90503</v>
      </c>
      <c r="E75" s="3" t="str">
        <f t="shared" si="12"/>
        <v>TORRANCE, CALIFORNIA  90503</v>
      </c>
      <c r="F75" s="3" t="str">
        <f t="shared" si="13"/>
        <v>Torrance, California  90503</v>
      </c>
      <c r="G75" s="3"/>
      <c r="H75" s="3" t="str">
        <f t="shared" si="14"/>
        <v>90503</v>
      </c>
      <c r="I75" s="3">
        <f t="shared" si="15"/>
        <v>27</v>
      </c>
      <c r="J75" s="3">
        <f t="shared" si="16"/>
        <v>26</v>
      </c>
      <c r="K75" s="3" t="str">
        <f t="shared" si="17"/>
        <v>142384--161</v>
      </c>
      <c r="L75" s="3" t="str">
        <f t="shared" si="18"/>
        <v>142384--161</v>
      </c>
      <c r="M75" s="3">
        <f t="shared" si="19"/>
        <v>90503</v>
      </c>
      <c r="N75" s="3"/>
      <c r="O75" s="3"/>
      <c r="P75" s="3"/>
      <c r="Q75" s="3"/>
      <c r="R75" s="3"/>
      <c r="S75" s="3"/>
      <c r="T75" s="3" t="s">
        <v>348</v>
      </c>
      <c r="U75" s="3" t="s">
        <v>524</v>
      </c>
      <c r="V75" s="3" t="str">
        <f t="shared" si="20"/>
        <v>90503</v>
      </c>
      <c r="W75" s="3"/>
      <c r="X75" s="1" t="str">
        <f t="shared" si="21"/>
        <v>California</v>
      </c>
    </row>
    <row r="76" spans="1:24" ht="20.100000000000001" customHeight="1" x14ac:dyDescent="0.25">
      <c r="A76" s="3" t="s">
        <v>96</v>
      </c>
      <c r="B76" s="3">
        <v>117483</v>
      </c>
      <c r="C76" s="3">
        <v>200</v>
      </c>
      <c r="D76" s="3" t="str">
        <f t="shared" si="11"/>
        <v>vallejo, california  94590</v>
      </c>
      <c r="E76" s="3" t="str">
        <f t="shared" si="12"/>
        <v>VALLEJO, CALIFORNIA  94590</v>
      </c>
      <c r="F76" s="3" t="str">
        <f t="shared" si="13"/>
        <v>Vallejo, California  94590</v>
      </c>
      <c r="G76" s="3"/>
      <c r="H76" s="3" t="str">
        <f t="shared" si="14"/>
        <v>94590</v>
      </c>
      <c r="I76" s="3">
        <f t="shared" si="15"/>
        <v>26</v>
      </c>
      <c r="J76" s="3">
        <f t="shared" si="16"/>
        <v>25</v>
      </c>
      <c r="K76" s="3" t="str">
        <f t="shared" si="17"/>
        <v>117483--200</v>
      </c>
      <c r="L76" s="3" t="str">
        <f t="shared" si="18"/>
        <v>117483--200</v>
      </c>
      <c r="M76" s="3">
        <f t="shared" si="19"/>
        <v>94590</v>
      </c>
      <c r="N76" s="3"/>
      <c r="O76" s="3"/>
      <c r="P76" s="3"/>
      <c r="Q76" s="3"/>
      <c r="R76" s="3"/>
      <c r="S76" s="3"/>
      <c r="T76" s="3" t="s">
        <v>349</v>
      </c>
      <c r="U76" s="3" t="s">
        <v>524</v>
      </c>
      <c r="V76" s="3" t="str">
        <f t="shared" si="20"/>
        <v>94590</v>
      </c>
      <c r="W76" s="3"/>
      <c r="X76" s="1" t="str">
        <f t="shared" si="21"/>
        <v>California</v>
      </c>
    </row>
    <row r="77" spans="1:24" ht="20.100000000000001" customHeight="1" x14ac:dyDescent="0.25">
      <c r="A77" s="3" t="s">
        <v>97</v>
      </c>
      <c r="B77" s="3">
        <v>108669</v>
      </c>
      <c r="C77" s="3">
        <v>221</v>
      </c>
      <c r="D77" s="3" t="str">
        <f t="shared" si="11"/>
        <v>visalia, california  93277</v>
      </c>
      <c r="E77" s="3" t="str">
        <f t="shared" si="12"/>
        <v>VISALIA, CALIFORNIA  93277</v>
      </c>
      <c r="F77" s="3" t="str">
        <f t="shared" si="13"/>
        <v>Visalia, California  93277</v>
      </c>
      <c r="G77" s="3"/>
      <c r="H77" s="3" t="str">
        <f t="shared" si="14"/>
        <v>93277</v>
      </c>
      <c r="I77" s="3">
        <f t="shared" si="15"/>
        <v>26</v>
      </c>
      <c r="J77" s="3">
        <f t="shared" si="16"/>
        <v>25</v>
      </c>
      <c r="K77" s="3" t="str">
        <f t="shared" si="17"/>
        <v>108669--221</v>
      </c>
      <c r="L77" s="3" t="str">
        <f t="shared" si="18"/>
        <v>108669--221</v>
      </c>
      <c r="M77" s="3">
        <f t="shared" si="19"/>
        <v>93277</v>
      </c>
      <c r="N77" s="3"/>
      <c r="O77" s="3"/>
      <c r="P77" s="3"/>
      <c r="Q77" s="3"/>
      <c r="R77" s="3"/>
      <c r="S77" s="3"/>
      <c r="T77" s="3" t="s">
        <v>350</v>
      </c>
      <c r="U77" s="3" t="s">
        <v>524</v>
      </c>
      <c r="V77" s="3" t="str">
        <f t="shared" si="20"/>
        <v>93277</v>
      </c>
      <c r="W77" s="3"/>
      <c r="X77" s="1" t="str">
        <f t="shared" si="21"/>
        <v>California</v>
      </c>
    </row>
    <row r="78" spans="1:24" ht="20.100000000000001" customHeight="1" x14ac:dyDescent="0.25">
      <c r="A78" s="3" t="s">
        <v>98</v>
      </c>
      <c r="B78" s="3">
        <v>108185</v>
      </c>
      <c r="C78" s="3">
        <v>222</v>
      </c>
      <c r="D78" s="3" t="str">
        <f t="shared" si="11"/>
        <v>west covina, california  91793</v>
      </c>
      <c r="E78" s="3" t="str">
        <f t="shared" si="12"/>
        <v>WEST COVINA, CALIFORNIA  91793</v>
      </c>
      <c r="F78" s="3" t="str">
        <f t="shared" si="13"/>
        <v>West Covina, California  91793</v>
      </c>
      <c r="G78" s="3"/>
      <c r="H78" s="3" t="str">
        <f t="shared" si="14"/>
        <v>91793</v>
      </c>
      <c r="I78" s="3">
        <f t="shared" si="15"/>
        <v>30</v>
      </c>
      <c r="J78" s="3">
        <f t="shared" si="16"/>
        <v>29</v>
      </c>
      <c r="K78" s="3" t="str">
        <f t="shared" si="17"/>
        <v>108185--222</v>
      </c>
      <c r="L78" s="3" t="str">
        <f t="shared" si="18"/>
        <v>108185--222</v>
      </c>
      <c r="M78" s="3">
        <f t="shared" si="19"/>
        <v>91793</v>
      </c>
      <c r="N78" s="3"/>
      <c r="O78" s="3"/>
      <c r="P78" s="3"/>
      <c r="Q78" s="3"/>
      <c r="R78" s="3"/>
      <c r="S78" s="3"/>
      <c r="T78" s="3" t="s">
        <v>351</v>
      </c>
      <c r="U78" s="3" t="s">
        <v>524</v>
      </c>
      <c r="V78" s="3" t="str">
        <f t="shared" si="20"/>
        <v>91793</v>
      </c>
      <c r="W78" s="3"/>
      <c r="X78" s="1" t="str">
        <f t="shared" si="21"/>
        <v>California</v>
      </c>
    </row>
    <row r="79" spans="1:24" ht="20.100000000000001" customHeight="1" x14ac:dyDescent="0.25">
      <c r="A79" s="3" t="s">
        <v>99</v>
      </c>
      <c r="B79" s="3">
        <v>103966</v>
      </c>
      <c r="C79" s="3">
        <v>240</v>
      </c>
      <c r="D79" s="3" t="str">
        <f t="shared" si="11"/>
        <v>arvada, colorado  80004</v>
      </c>
      <c r="E79" s="3" t="str">
        <f t="shared" si="12"/>
        <v>ARVADA, COLORADO  80004</v>
      </c>
      <c r="F79" s="3" t="str">
        <f t="shared" si="13"/>
        <v>Arvada, Colorado  80004</v>
      </c>
      <c r="G79" s="3"/>
      <c r="H79" s="3" t="str">
        <f t="shared" si="14"/>
        <v>80004</v>
      </c>
      <c r="I79" s="3">
        <f t="shared" si="15"/>
        <v>23</v>
      </c>
      <c r="J79" s="3">
        <f t="shared" si="16"/>
        <v>22</v>
      </c>
      <c r="K79" s="3" t="str">
        <f t="shared" si="17"/>
        <v>103966--240</v>
      </c>
      <c r="L79" s="3" t="str">
        <f t="shared" si="18"/>
        <v>103966--240</v>
      </c>
      <c r="M79" s="3">
        <f t="shared" si="19"/>
        <v>80004</v>
      </c>
      <c r="N79" s="3"/>
      <c r="O79" s="3"/>
      <c r="P79" s="3"/>
      <c r="Q79" s="3"/>
      <c r="R79" s="3"/>
      <c r="S79" s="3"/>
      <c r="T79" s="3" t="s">
        <v>352</v>
      </c>
      <c r="U79" s="3" t="s">
        <v>525</v>
      </c>
      <c r="V79" s="3" t="str">
        <f t="shared" si="20"/>
        <v>80004</v>
      </c>
      <c r="W79" s="3"/>
      <c r="X79" s="1" t="str">
        <f t="shared" si="21"/>
        <v>Colorado</v>
      </c>
    </row>
    <row r="80" spans="1:24" ht="20.100000000000001" customHeight="1" x14ac:dyDescent="0.25">
      <c r="A80" s="3" t="s">
        <v>100</v>
      </c>
      <c r="B80" s="3">
        <v>297235</v>
      </c>
      <c r="C80" s="3">
        <v>60</v>
      </c>
      <c r="D80" s="3" t="str">
        <f t="shared" si="11"/>
        <v>aurora, colorado  80017</v>
      </c>
      <c r="E80" s="3" t="str">
        <f t="shared" si="12"/>
        <v>AURORA, COLORADO  80017</v>
      </c>
      <c r="F80" s="3" t="str">
        <f t="shared" si="13"/>
        <v>Aurora, Colorado  80017</v>
      </c>
      <c r="G80" s="3"/>
      <c r="H80" s="3" t="str">
        <f t="shared" si="14"/>
        <v>80017</v>
      </c>
      <c r="I80" s="3">
        <f t="shared" si="15"/>
        <v>23</v>
      </c>
      <c r="J80" s="3">
        <f t="shared" si="16"/>
        <v>22</v>
      </c>
      <c r="K80" s="3" t="str">
        <f t="shared" si="17"/>
        <v>297235--60</v>
      </c>
      <c r="L80" s="3" t="str">
        <f t="shared" si="18"/>
        <v>297235--60</v>
      </c>
      <c r="M80" s="3">
        <f t="shared" si="19"/>
        <v>80017</v>
      </c>
      <c r="N80" s="3"/>
      <c r="O80" s="3"/>
      <c r="P80" s="3"/>
      <c r="Q80" s="3"/>
      <c r="R80" s="3"/>
      <c r="S80" s="3"/>
      <c r="T80" s="3" t="s">
        <v>353</v>
      </c>
      <c r="U80" s="3" t="s">
        <v>525</v>
      </c>
      <c r="V80" s="3" t="str">
        <f t="shared" si="20"/>
        <v>80017</v>
      </c>
      <c r="W80" s="3"/>
      <c r="X80" s="1" t="str">
        <f t="shared" si="21"/>
        <v>Colorado</v>
      </c>
    </row>
    <row r="81" spans="1:24" ht="20.100000000000001" customHeight="1" x14ac:dyDescent="0.25">
      <c r="A81" s="3" t="s">
        <v>101</v>
      </c>
      <c r="B81" s="3">
        <v>369815</v>
      </c>
      <c r="C81" s="3">
        <v>49</v>
      </c>
      <c r="D81" s="3" t="str">
        <f t="shared" si="11"/>
        <v>colorado springs, colorado  80903</v>
      </c>
      <c r="E81" s="3" t="str">
        <f t="shared" si="12"/>
        <v>COLORADO SPRINGS, COLORADO  80903</v>
      </c>
      <c r="F81" s="3" t="str">
        <f t="shared" si="13"/>
        <v>Colorado Springs, Colorado  80903</v>
      </c>
      <c r="G81" s="3"/>
      <c r="H81" s="3" t="str">
        <f t="shared" si="14"/>
        <v>80903</v>
      </c>
      <c r="I81" s="3">
        <f t="shared" si="15"/>
        <v>33</v>
      </c>
      <c r="J81" s="3">
        <f t="shared" si="16"/>
        <v>32</v>
      </c>
      <c r="K81" s="3" t="str">
        <f t="shared" si="17"/>
        <v>369815--49</v>
      </c>
      <c r="L81" s="3" t="str">
        <f t="shared" si="18"/>
        <v>369815--49</v>
      </c>
      <c r="M81" s="3">
        <f t="shared" si="19"/>
        <v>80903</v>
      </c>
      <c r="N81" s="3"/>
      <c r="O81" s="3"/>
      <c r="P81" s="3"/>
      <c r="Q81" s="3"/>
      <c r="R81" s="3"/>
      <c r="S81" s="3"/>
      <c r="T81" s="3" t="s">
        <v>354</v>
      </c>
      <c r="U81" s="3" t="s">
        <v>525</v>
      </c>
      <c r="V81" s="3" t="str">
        <f t="shared" si="20"/>
        <v>80903</v>
      </c>
      <c r="W81" s="3"/>
      <c r="X81" s="1" t="str">
        <f t="shared" si="21"/>
        <v>Colorado</v>
      </c>
    </row>
    <row r="82" spans="1:24" ht="20.100000000000001" customHeight="1" x14ac:dyDescent="0.25">
      <c r="A82" s="3" t="s">
        <v>102</v>
      </c>
      <c r="B82" s="3">
        <v>557917</v>
      </c>
      <c r="C82" s="3">
        <v>25</v>
      </c>
      <c r="D82" s="3" t="str">
        <f t="shared" si="11"/>
        <v>denver, colorado  80202</v>
      </c>
      <c r="E82" s="3" t="str">
        <f t="shared" si="12"/>
        <v>DENVER, COLORADO  80202</v>
      </c>
      <c r="F82" s="3" t="str">
        <f t="shared" si="13"/>
        <v>Denver, Colorado  80202</v>
      </c>
      <c r="G82" s="3"/>
      <c r="H82" s="3" t="str">
        <f t="shared" si="14"/>
        <v>80202</v>
      </c>
      <c r="I82" s="3">
        <f t="shared" si="15"/>
        <v>23</v>
      </c>
      <c r="J82" s="3">
        <f t="shared" si="16"/>
        <v>22</v>
      </c>
      <c r="K82" s="3" t="str">
        <f t="shared" si="17"/>
        <v>557917--25</v>
      </c>
      <c r="L82" s="3" t="str">
        <f t="shared" si="18"/>
        <v>557917--25</v>
      </c>
      <c r="M82" s="3">
        <f t="shared" si="19"/>
        <v>80202</v>
      </c>
      <c r="N82" s="3"/>
      <c r="O82" s="3"/>
      <c r="P82" s="3"/>
      <c r="Q82" s="3"/>
      <c r="R82" s="3"/>
      <c r="S82" s="3"/>
      <c r="T82" s="3" t="s">
        <v>355</v>
      </c>
      <c r="U82" s="3" t="s">
        <v>525</v>
      </c>
      <c r="V82" s="3" t="str">
        <f t="shared" si="20"/>
        <v>80202</v>
      </c>
      <c r="W82" s="3"/>
      <c r="X82" s="1" t="str">
        <f t="shared" si="21"/>
        <v>Colorado</v>
      </c>
    </row>
    <row r="83" spans="1:24" ht="20.100000000000001" customHeight="1" x14ac:dyDescent="0.25">
      <c r="A83" s="3" t="s">
        <v>103</v>
      </c>
      <c r="B83" s="3">
        <v>128026</v>
      </c>
      <c r="C83" s="3">
        <v>185</v>
      </c>
      <c r="D83" s="3" t="str">
        <f t="shared" si="11"/>
        <v>fort collins, colorado  80525</v>
      </c>
      <c r="E83" s="3" t="str">
        <f t="shared" si="12"/>
        <v>FORT COLLINS, COLORADO  80525</v>
      </c>
      <c r="F83" s="3" t="str">
        <f t="shared" si="13"/>
        <v>Fort Collins, Colorado  80525</v>
      </c>
      <c r="G83" s="3"/>
      <c r="H83" s="3" t="str">
        <f t="shared" si="14"/>
        <v>80525</v>
      </c>
      <c r="I83" s="3">
        <f t="shared" si="15"/>
        <v>29</v>
      </c>
      <c r="J83" s="3">
        <f t="shared" si="16"/>
        <v>28</v>
      </c>
      <c r="K83" s="3" t="str">
        <f t="shared" si="17"/>
        <v>128026--185</v>
      </c>
      <c r="L83" s="3" t="str">
        <f t="shared" si="18"/>
        <v>128026--185</v>
      </c>
      <c r="M83" s="3">
        <f t="shared" si="19"/>
        <v>80525</v>
      </c>
      <c r="N83" s="3"/>
      <c r="O83" s="3"/>
      <c r="P83" s="3"/>
      <c r="Q83" s="3"/>
      <c r="R83" s="3"/>
      <c r="S83" s="3"/>
      <c r="T83" s="3" t="s">
        <v>356</v>
      </c>
      <c r="U83" s="3" t="s">
        <v>525</v>
      </c>
      <c r="V83" s="3" t="str">
        <f t="shared" si="20"/>
        <v>80525</v>
      </c>
      <c r="W83" s="3"/>
      <c r="X83" s="1" t="str">
        <f t="shared" si="21"/>
        <v>Colorado</v>
      </c>
    </row>
    <row r="84" spans="1:24" ht="20.100000000000001" customHeight="1" x14ac:dyDescent="0.25">
      <c r="A84" s="3" t="s">
        <v>104</v>
      </c>
      <c r="B84" s="3">
        <v>140671</v>
      </c>
      <c r="C84" s="3">
        <v>164</v>
      </c>
      <c r="D84" s="3" t="str">
        <f t="shared" si="11"/>
        <v>lakewood, colorado  80202</v>
      </c>
      <c r="E84" s="3" t="str">
        <f t="shared" si="12"/>
        <v>LAKEWOOD, COLORADO  80202</v>
      </c>
      <c r="F84" s="3" t="str">
        <f t="shared" si="13"/>
        <v>Lakewood, Colorado  80202</v>
      </c>
      <c r="G84" s="3"/>
      <c r="H84" s="3" t="str">
        <f t="shared" si="14"/>
        <v>80202</v>
      </c>
      <c r="I84" s="3">
        <f t="shared" si="15"/>
        <v>25</v>
      </c>
      <c r="J84" s="3">
        <f t="shared" si="16"/>
        <v>24</v>
      </c>
      <c r="K84" s="3" t="str">
        <f t="shared" si="17"/>
        <v>140671--164</v>
      </c>
      <c r="L84" s="3" t="str">
        <f t="shared" si="18"/>
        <v>140671--164</v>
      </c>
      <c r="M84" s="3">
        <f t="shared" si="19"/>
        <v>80202</v>
      </c>
      <c r="N84" s="3"/>
      <c r="O84" s="3"/>
      <c r="P84" s="3"/>
      <c r="Q84" s="3"/>
      <c r="R84" s="3"/>
      <c r="S84" s="3"/>
      <c r="T84" s="3" t="s">
        <v>357</v>
      </c>
      <c r="U84" s="3" t="s">
        <v>525</v>
      </c>
      <c r="V84" s="3" t="str">
        <f t="shared" si="20"/>
        <v>80202</v>
      </c>
      <c r="W84" s="3"/>
      <c r="X84" s="1" t="str">
        <f t="shared" si="21"/>
        <v>Colorado</v>
      </c>
    </row>
    <row r="85" spans="1:24" ht="20.100000000000001" customHeight="1" x14ac:dyDescent="0.25">
      <c r="A85" s="3" t="s">
        <v>105</v>
      </c>
      <c r="B85" s="3">
        <v>103495</v>
      </c>
      <c r="C85" s="3">
        <v>241</v>
      </c>
      <c r="D85" s="3" t="str">
        <f t="shared" si="11"/>
        <v>pueblo, colorado  81003</v>
      </c>
      <c r="E85" s="3" t="str">
        <f t="shared" si="12"/>
        <v>PUEBLO, COLORADO  81003</v>
      </c>
      <c r="F85" s="3" t="str">
        <f t="shared" si="13"/>
        <v>Pueblo, Colorado  81003</v>
      </c>
      <c r="G85" s="3"/>
      <c r="H85" s="3" t="str">
        <f t="shared" si="14"/>
        <v>81003</v>
      </c>
      <c r="I85" s="3">
        <f t="shared" si="15"/>
        <v>23</v>
      </c>
      <c r="J85" s="3">
        <f t="shared" si="16"/>
        <v>22</v>
      </c>
      <c r="K85" s="3" t="str">
        <f t="shared" si="17"/>
        <v>103495--241</v>
      </c>
      <c r="L85" s="3" t="str">
        <f t="shared" si="18"/>
        <v>103495--241</v>
      </c>
      <c r="M85" s="3">
        <f t="shared" si="19"/>
        <v>81003</v>
      </c>
      <c r="N85" s="3"/>
      <c r="O85" s="3"/>
      <c r="P85" s="3"/>
      <c r="Q85" s="3"/>
      <c r="R85" s="3"/>
      <c r="S85" s="3"/>
      <c r="T85" s="3" t="s">
        <v>358</v>
      </c>
      <c r="U85" s="3" t="s">
        <v>525</v>
      </c>
      <c r="V85" s="3" t="str">
        <f t="shared" si="20"/>
        <v>81003</v>
      </c>
      <c r="W85" s="3"/>
      <c r="X85" s="1" t="str">
        <f t="shared" si="21"/>
        <v>Colorado</v>
      </c>
    </row>
    <row r="86" spans="1:24" ht="20.100000000000001" customHeight="1" x14ac:dyDescent="0.25">
      <c r="A86" s="3" t="s">
        <v>106</v>
      </c>
      <c r="B86" s="3">
        <v>105182</v>
      </c>
      <c r="C86" s="3">
        <v>233</v>
      </c>
      <c r="D86" s="3" t="str">
        <f t="shared" si="11"/>
        <v>thornton, colorado  80221</v>
      </c>
      <c r="E86" s="3" t="str">
        <f t="shared" si="12"/>
        <v>THORNTON, COLORADO  80221</v>
      </c>
      <c r="F86" s="3" t="str">
        <f t="shared" si="13"/>
        <v>Thornton, Colorado  80221</v>
      </c>
      <c r="G86" s="3"/>
      <c r="H86" s="3" t="str">
        <f t="shared" si="14"/>
        <v>80221</v>
      </c>
      <c r="I86" s="3">
        <f t="shared" si="15"/>
        <v>25</v>
      </c>
      <c r="J86" s="3">
        <f t="shared" si="16"/>
        <v>24</v>
      </c>
      <c r="K86" s="3" t="str">
        <f t="shared" si="17"/>
        <v>105182--233</v>
      </c>
      <c r="L86" s="3" t="str">
        <f t="shared" si="18"/>
        <v>105182--233</v>
      </c>
      <c r="M86" s="3">
        <f t="shared" si="19"/>
        <v>80221</v>
      </c>
      <c r="N86" s="3"/>
      <c r="O86" s="3"/>
      <c r="P86" s="3"/>
      <c r="Q86" s="3"/>
      <c r="R86" s="3"/>
      <c r="S86" s="3"/>
      <c r="T86" s="3" t="s">
        <v>359</v>
      </c>
      <c r="U86" s="3" t="s">
        <v>525</v>
      </c>
      <c r="V86" s="3" t="str">
        <f t="shared" si="20"/>
        <v>80221</v>
      </c>
      <c r="W86" s="3"/>
      <c r="X86" s="1" t="str">
        <f t="shared" si="21"/>
        <v>Colorado</v>
      </c>
    </row>
    <row r="87" spans="1:24" ht="20.100000000000001" customHeight="1" x14ac:dyDescent="0.25">
      <c r="A87" s="3" t="s">
        <v>107</v>
      </c>
      <c r="B87" s="3">
        <v>105084</v>
      </c>
      <c r="C87" s="3">
        <v>234</v>
      </c>
      <c r="D87" s="3" t="str">
        <f t="shared" si="11"/>
        <v>westminster, colorado  80030</v>
      </c>
      <c r="E87" s="3" t="str">
        <f t="shared" si="12"/>
        <v>WESTMINSTER, COLORADO  80030</v>
      </c>
      <c r="F87" s="3" t="str">
        <f t="shared" si="13"/>
        <v>Westminster, Colorado  80030</v>
      </c>
      <c r="G87" s="3"/>
      <c r="H87" s="3" t="str">
        <f t="shared" si="14"/>
        <v>80030</v>
      </c>
      <c r="I87" s="3">
        <f t="shared" si="15"/>
        <v>28</v>
      </c>
      <c r="J87" s="3">
        <f t="shared" si="16"/>
        <v>27</v>
      </c>
      <c r="K87" s="3" t="str">
        <f t="shared" si="17"/>
        <v>105084--234</v>
      </c>
      <c r="L87" s="3" t="str">
        <f t="shared" si="18"/>
        <v>105084--234</v>
      </c>
      <c r="M87" s="3">
        <f t="shared" si="19"/>
        <v>80030</v>
      </c>
      <c r="N87" s="3"/>
      <c r="O87" s="3"/>
      <c r="P87" s="3"/>
      <c r="Q87" s="3"/>
      <c r="R87" s="3"/>
      <c r="S87" s="3"/>
      <c r="T87" s="3" t="s">
        <v>360</v>
      </c>
      <c r="U87" s="3" t="s">
        <v>525</v>
      </c>
      <c r="V87" s="3" t="str">
        <f t="shared" si="20"/>
        <v>80030</v>
      </c>
      <c r="W87" s="3"/>
      <c r="X87" s="1" t="str">
        <f t="shared" si="21"/>
        <v>Colorado</v>
      </c>
    </row>
    <row r="88" spans="1:24" ht="20.100000000000001" customHeight="1" x14ac:dyDescent="0.25">
      <c r="A88" s="3" t="s">
        <v>108</v>
      </c>
      <c r="B88" s="3">
        <v>139008</v>
      </c>
      <c r="C88" s="3">
        <v>168</v>
      </c>
      <c r="D88" s="3" t="str">
        <f t="shared" si="11"/>
        <v>bridgeport, connecticut  06602</v>
      </c>
      <c r="E88" s="3" t="str">
        <f t="shared" si="12"/>
        <v>BRIDGEPORT, CONNECTICUT  06602</v>
      </c>
      <c r="F88" s="3" t="str">
        <f t="shared" si="13"/>
        <v>Bridgeport, Connecticut  06602</v>
      </c>
      <c r="G88" s="3"/>
      <c r="H88" s="3" t="str">
        <f t="shared" si="14"/>
        <v>06602</v>
      </c>
      <c r="I88" s="3">
        <f t="shared" si="15"/>
        <v>30</v>
      </c>
      <c r="J88" s="3">
        <f t="shared" si="16"/>
        <v>29</v>
      </c>
      <c r="K88" s="3" t="str">
        <f t="shared" si="17"/>
        <v>139008--168</v>
      </c>
      <c r="L88" s="3" t="str">
        <f t="shared" si="18"/>
        <v>139008--168</v>
      </c>
      <c r="M88" s="3">
        <f t="shared" si="19"/>
        <v>6602</v>
      </c>
      <c r="N88" s="3"/>
      <c r="O88" s="3"/>
      <c r="P88" s="3"/>
      <c r="Q88" s="3"/>
      <c r="R88" s="3"/>
      <c r="S88" s="3"/>
      <c r="T88" s="3" t="s">
        <v>361</v>
      </c>
      <c r="U88" s="3" t="s">
        <v>526</v>
      </c>
      <c r="V88" s="3" t="str">
        <f t="shared" si="20"/>
        <v>06602</v>
      </c>
      <c r="W88" s="3"/>
      <c r="X88" s="1" t="str">
        <f t="shared" si="21"/>
        <v>Connecticut</v>
      </c>
    </row>
    <row r="89" spans="1:24" ht="20.100000000000001" customHeight="1" x14ac:dyDescent="0.25">
      <c r="A89" s="3" t="s">
        <v>109</v>
      </c>
      <c r="B89" s="3">
        <v>124397</v>
      </c>
      <c r="C89" s="3">
        <v>188</v>
      </c>
      <c r="D89" s="3" t="str">
        <f t="shared" si="11"/>
        <v>hartford, connecticut  06101</v>
      </c>
      <c r="E89" s="3" t="str">
        <f t="shared" si="12"/>
        <v>HARTFORD, CONNECTICUT  06101</v>
      </c>
      <c r="F89" s="3" t="str">
        <f t="shared" si="13"/>
        <v>Hartford, Connecticut  06101</v>
      </c>
      <c r="G89" s="3"/>
      <c r="H89" s="3" t="str">
        <f t="shared" si="14"/>
        <v>06101</v>
      </c>
      <c r="I89" s="3">
        <f t="shared" si="15"/>
        <v>28</v>
      </c>
      <c r="J89" s="3">
        <f t="shared" si="16"/>
        <v>27</v>
      </c>
      <c r="K89" s="3" t="str">
        <f t="shared" si="17"/>
        <v>124397--188</v>
      </c>
      <c r="L89" s="3" t="str">
        <f t="shared" si="18"/>
        <v>124397--188</v>
      </c>
      <c r="M89" s="3">
        <f t="shared" si="19"/>
        <v>6101</v>
      </c>
      <c r="N89" s="3"/>
      <c r="O89" s="3"/>
      <c r="P89" s="3"/>
      <c r="Q89" s="3"/>
      <c r="R89" s="3"/>
      <c r="S89" s="3"/>
      <c r="T89" s="3" t="s">
        <v>362</v>
      </c>
      <c r="U89" s="3" t="s">
        <v>526</v>
      </c>
      <c r="V89" s="3" t="str">
        <f t="shared" si="20"/>
        <v>06101</v>
      </c>
      <c r="W89" s="3"/>
      <c r="X89" s="1" t="str">
        <f t="shared" si="21"/>
        <v>Connecticut</v>
      </c>
    </row>
    <row r="90" spans="1:24" ht="20.100000000000001" customHeight="1" x14ac:dyDescent="0.25">
      <c r="A90" s="3" t="s">
        <v>110</v>
      </c>
      <c r="B90" s="3">
        <v>124791</v>
      </c>
      <c r="C90" s="3">
        <v>187</v>
      </c>
      <c r="D90" s="3" t="str">
        <f t="shared" si="11"/>
        <v>new haven, connecticut  06511</v>
      </c>
      <c r="E90" s="3" t="str">
        <f t="shared" si="12"/>
        <v>NEW HAVEN, CONNECTICUT  06511</v>
      </c>
      <c r="F90" s="3" t="str">
        <f t="shared" si="13"/>
        <v>New Haven, Connecticut  06511</v>
      </c>
      <c r="G90" s="3"/>
      <c r="H90" s="3" t="str">
        <f t="shared" si="14"/>
        <v>06511</v>
      </c>
      <c r="I90" s="3">
        <f t="shared" si="15"/>
        <v>29</v>
      </c>
      <c r="J90" s="3">
        <f t="shared" si="16"/>
        <v>28</v>
      </c>
      <c r="K90" s="3" t="str">
        <f t="shared" si="17"/>
        <v>124791--187</v>
      </c>
      <c r="L90" s="3" t="str">
        <f t="shared" si="18"/>
        <v>124791--187</v>
      </c>
      <c r="M90" s="3">
        <f t="shared" si="19"/>
        <v>6511</v>
      </c>
      <c r="N90" s="3"/>
      <c r="O90" s="3"/>
      <c r="P90" s="3"/>
      <c r="Q90" s="3"/>
      <c r="R90" s="3"/>
      <c r="S90" s="3"/>
      <c r="T90" s="3" t="s">
        <v>363</v>
      </c>
      <c r="U90" s="3" t="s">
        <v>526</v>
      </c>
      <c r="V90" s="3" t="str">
        <f t="shared" si="20"/>
        <v>06511</v>
      </c>
      <c r="W90" s="3"/>
      <c r="X90" s="1" t="str">
        <f t="shared" si="21"/>
        <v>Connecticut</v>
      </c>
    </row>
    <row r="91" spans="1:24" ht="20.100000000000001" customHeight="1" x14ac:dyDescent="0.25">
      <c r="A91" s="3" t="s">
        <v>111</v>
      </c>
      <c r="B91" s="3">
        <v>120045</v>
      </c>
      <c r="C91" s="3">
        <v>196</v>
      </c>
      <c r="D91" s="3" t="str">
        <f t="shared" si="11"/>
        <v>stamford, connecticut  06904</v>
      </c>
      <c r="E91" s="3" t="str">
        <f t="shared" si="12"/>
        <v>STAMFORD, CONNECTICUT  06904</v>
      </c>
      <c r="F91" s="3" t="str">
        <f t="shared" si="13"/>
        <v>Stamford, Connecticut  06904</v>
      </c>
      <c r="G91" s="3"/>
      <c r="H91" s="3" t="str">
        <f t="shared" si="14"/>
        <v>06904</v>
      </c>
      <c r="I91" s="3">
        <f t="shared" si="15"/>
        <v>28</v>
      </c>
      <c r="J91" s="3">
        <f t="shared" si="16"/>
        <v>27</v>
      </c>
      <c r="K91" s="3" t="str">
        <f t="shared" si="17"/>
        <v>120045--196</v>
      </c>
      <c r="L91" s="3" t="str">
        <f t="shared" si="18"/>
        <v>120045--196</v>
      </c>
      <c r="M91" s="3">
        <f t="shared" si="19"/>
        <v>6904</v>
      </c>
      <c r="N91" s="3"/>
      <c r="O91" s="3"/>
      <c r="P91" s="3"/>
      <c r="Q91" s="3"/>
      <c r="R91" s="3"/>
      <c r="S91" s="3"/>
      <c r="T91" s="3" t="s">
        <v>364</v>
      </c>
      <c r="U91" s="3" t="s">
        <v>526</v>
      </c>
      <c r="V91" s="3" t="str">
        <f t="shared" si="20"/>
        <v>06904</v>
      </c>
      <c r="W91" s="3"/>
      <c r="X91" s="1" t="str">
        <f t="shared" si="21"/>
        <v>Connecticut</v>
      </c>
    </row>
    <row r="92" spans="1:24" ht="20.100000000000001" customHeight="1" x14ac:dyDescent="0.25">
      <c r="A92" s="3" t="s">
        <v>112</v>
      </c>
      <c r="B92" s="3">
        <v>107902</v>
      </c>
      <c r="C92" s="3">
        <v>224</v>
      </c>
      <c r="D92" s="3" t="str">
        <f t="shared" si="11"/>
        <v>waterbury, connecticut  06702</v>
      </c>
      <c r="E92" s="3" t="str">
        <f t="shared" si="12"/>
        <v>WATERBURY, CONNECTICUT  06702</v>
      </c>
      <c r="F92" s="3" t="str">
        <f t="shared" si="13"/>
        <v>Waterbury, Connecticut  06702</v>
      </c>
      <c r="G92" s="3"/>
      <c r="H92" s="3" t="str">
        <f t="shared" si="14"/>
        <v>06702</v>
      </c>
      <c r="I92" s="3">
        <f t="shared" si="15"/>
        <v>29</v>
      </c>
      <c r="J92" s="3">
        <f t="shared" si="16"/>
        <v>28</v>
      </c>
      <c r="K92" s="3" t="str">
        <f t="shared" si="17"/>
        <v>107902--224</v>
      </c>
      <c r="L92" s="3" t="str">
        <f t="shared" si="18"/>
        <v>107902--224</v>
      </c>
      <c r="M92" s="3">
        <f t="shared" si="19"/>
        <v>6702</v>
      </c>
      <c r="N92" s="3"/>
      <c r="O92" s="3"/>
      <c r="P92" s="3"/>
      <c r="Q92" s="3"/>
      <c r="R92" s="3"/>
      <c r="S92" s="3"/>
      <c r="T92" s="3" t="s">
        <v>365</v>
      </c>
      <c r="U92" s="3" t="s">
        <v>526</v>
      </c>
      <c r="V92" s="3" t="str">
        <f t="shared" si="20"/>
        <v>06702</v>
      </c>
      <c r="W92" s="3"/>
      <c r="X92" s="1" t="str">
        <f t="shared" si="21"/>
        <v>Connecticut</v>
      </c>
    </row>
    <row r="93" spans="1:24" ht="20.100000000000001" customHeight="1" x14ac:dyDescent="0.25">
      <c r="A93" s="3" t="s">
        <v>113</v>
      </c>
      <c r="B93" s="3">
        <v>550521</v>
      </c>
      <c r="C93" s="3">
        <v>27</v>
      </c>
      <c r="D93" s="3" t="str">
        <f t="shared" si="11"/>
        <v>washington, d.c.  20090</v>
      </c>
      <c r="E93" s="3" t="str">
        <f t="shared" si="12"/>
        <v>WASHINGTON, D.C.  20090</v>
      </c>
      <c r="F93" s="3" t="str">
        <f t="shared" si="13"/>
        <v>Washington, D.C.  20090</v>
      </c>
      <c r="G93" s="3"/>
      <c r="H93" s="3" t="str">
        <f t="shared" si="14"/>
        <v>20090</v>
      </c>
      <c r="I93" s="3">
        <f t="shared" si="15"/>
        <v>23</v>
      </c>
      <c r="J93" s="3">
        <f t="shared" si="16"/>
        <v>22</v>
      </c>
      <c r="K93" s="3" t="str">
        <f t="shared" si="17"/>
        <v>550521--27</v>
      </c>
      <c r="L93" s="3" t="str">
        <f t="shared" si="18"/>
        <v>550521--27</v>
      </c>
      <c r="M93" s="3">
        <f t="shared" si="19"/>
        <v>20090</v>
      </c>
      <c r="N93" s="3"/>
      <c r="O93" s="3"/>
      <c r="P93" s="3"/>
      <c r="Q93" s="3"/>
      <c r="R93" s="3"/>
      <c r="S93" s="3"/>
      <c r="T93" s="3" t="s">
        <v>366</v>
      </c>
      <c r="U93" s="3" t="s">
        <v>527</v>
      </c>
      <c r="V93" s="3" t="str">
        <f t="shared" si="20"/>
        <v>20090</v>
      </c>
      <c r="W93" s="3"/>
      <c r="X93" s="1" t="str">
        <f t="shared" si="21"/>
        <v>D.C.</v>
      </c>
    </row>
    <row r="94" spans="1:24" ht="20.100000000000001" customHeight="1" x14ac:dyDescent="0.25">
      <c r="A94" s="3" t="s">
        <v>114</v>
      </c>
      <c r="B94" s="3">
        <v>140010</v>
      </c>
      <c r="C94" s="3">
        <v>166</v>
      </c>
      <c r="D94" s="3" t="str">
        <f t="shared" si="11"/>
        <v>cape coral, florida  33909</v>
      </c>
      <c r="E94" s="3" t="str">
        <f t="shared" si="12"/>
        <v>CAPE CORAL, FLORIDA  33909</v>
      </c>
      <c r="F94" s="3" t="str">
        <f t="shared" si="13"/>
        <v>Cape Coral, Florida  33909</v>
      </c>
      <c r="G94" s="3"/>
      <c r="H94" s="3" t="str">
        <f t="shared" si="14"/>
        <v>33909</v>
      </c>
      <c r="I94" s="3">
        <f t="shared" si="15"/>
        <v>26</v>
      </c>
      <c r="J94" s="3">
        <f t="shared" si="16"/>
        <v>25</v>
      </c>
      <c r="K94" s="3" t="str">
        <f t="shared" si="17"/>
        <v>140010--166</v>
      </c>
      <c r="L94" s="3" t="str">
        <f t="shared" si="18"/>
        <v>140010--166</v>
      </c>
      <c r="M94" s="3">
        <f t="shared" si="19"/>
        <v>33909</v>
      </c>
      <c r="N94" s="3"/>
      <c r="O94" s="3"/>
      <c r="P94" s="3"/>
      <c r="Q94" s="3"/>
      <c r="R94" s="3"/>
      <c r="S94" s="3"/>
      <c r="T94" s="3" t="s">
        <v>367</v>
      </c>
      <c r="U94" s="3" t="s">
        <v>528</v>
      </c>
      <c r="V94" s="3" t="str">
        <f t="shared" si="20"/>
        <v>33909</v>
      </c>
      <c r="W94" s="3"/>
      <c r="X94" s="1" t="str">
        <f t="shared" si="21"/>
        <v>Florida</v>
      </c>
    </row>
    <row r="95" spans="1:24" ht="20.100000000000001" customHeight="1" x14ac:dyDescent="0.25">
      <c r="A95" s="3" t="s">
        <v>115</v>
      </c>
      <c r="B95" s="3">
        <v>108687</v>
      </c>
      <c r="C95" s="3">
        <v>220</v>
      </c>
      <c r="D95" s="3" t="str">
        <f t="shared" si="11"/>
        <v>clearwater, florida  33990</v>
      </c>
      <c r="E95" s="3" t="str">
        <f t="shared" si="12"/>
        <v>CLEARWATER, FLORIDA  33990</v>
      </c>
      <c r="F95" s="3" t="str">
        <f t="shared" si="13"/>
        <v>Clearwater, Florida  33990</v>
      </c>
      <c r="G95" s="3"/>
      <c r="H95" s="3" t="str">
        <f t="shared" si="14"/>
        <v>33990</v>
      </c>
      <c r="I95" s="3">
        <f t="shared" si="15"/>
        <v>26</v>
      </c>
      <c r="J95" s="3">
        <f t="shared" si="16"/>
        <v>25</v>
      </c>
      <c r="K95" s="3" t="str">
        <f t="shared" si="17"/>
        <v>108687--220</v>
      </c>
      <c r="L95" s="3" t="str">
        <f t="shared" si="18"/>
        <v>108687--220</v>
      </c>
      <c r="M95" s="3">
        <f t="shared" si="19"/>
        <v>33990</v>
      </c>
      <c r="N95" s="3"/>
      <c r="O95" s="3"/>
      <c r="P95" s="3"/>
      <c r="Q95" s="3"/>
      <c r="R95" s="3"/>
      <c r="S95" s="3"/>
      <c r="T95" s="3" t="s">
        <v>368</v>
      </c>
      <c r="U95" s="3" t="s">
        <v>528</v>
      </c>
      <c r="V95" s="3" t="str">
        <f t="shared" si="20"/>
        <v>33990</v>
      </c>
      <c r="W95" s="3"/>
      <c r="X95" s="1" t="str">
        <f t="shared" si="21"/>
        <v>Florida</v>
      </c>
    </row>
    <row r="96" spans="1:24" ht="20.100000000000001" customHeight="1" x14ac:dyDescent="0.25">
      <c r="A96" s="3" t="s">
        <v>116</v>
      </c>
      <c r="B96" s="3">
        <v>128804</v>
      </c>
      <c r="C96" s="3">
        <v>182</v>
      </c>
      <c r="D96" s="3" t="str">
        <f t="shared" si="11"/>
        <v>coral springs, florida  33075</v>
      </c>
      <c r="E96" s="3" t="str">
        <f t="shared" si="12"/>
        <v>CORAL SPRINGS, FLORIDA  33075</v>
      </c>
      <c r="F96" s="3" t="str">
        <f t="shared" si="13"/>
        <v>Coral Springs, Florida  33075</v>
      </c>
      <c r="G96" s="3"/>
      <c r="H96" s="3" t="str">
        <f t="shared" si="14"/>
        <v>33075</v>
      </c>
      <c r="I96" s="3">
        <f t="shared" si="15"/>
        <v>29</v>
      </c>
      <c r="J96" s="3">
        <f t="shared" si="16"/>
        <v>28</v>
      </c>
      <c r="K96" s="3" t="str">
        <f t="shared" si="17"/>
        <v>128804--182</v>
      </c>
      <c r="L96" s="3" t="str">
        <f t="shared" si="18"/>
        <v>128804--182</v>
      </c>
      <c r="M96" s="3">
        <f t="shared" si="19"/>
        <v>33075</v>
      </c>
      <c r="N96" s="3"/>
      <c r="O96" s="3"/>
      <c r="P96" s="3"/>
      <c r="Q96" s="3"/>
      <c r="R96" s="3"/>
      <c r="S96" s="3"/>
      <c r="T96" s="3" t="s">
        <v>369</v>
      </c>
      <c r="U96" s="3" t="s">
        <v>528</v>
      </c>
      <c r="V96" s="3" t="str">
        <f t="shared" si="20"/>
        <v>33075</v>
      </c>
      <c r="W96" s="3"/>
      <c r="X96" s="1" t="str">
        <f t="shared" si="21"/>
        <v>Florida</v>
      </c>
    </row>
    <row r="97" spans="1:24" ht="20.100000000000001" customHeight="1" x14ac:dyDescent="0.25">
      <c r="A97" s="3" t="s">
        <v>117</v>
      </c>
      <c r="B97" s="3">
        <v>167380</v>
      </c>
      <c r="C97" s="3">
        <v>133</v>
      </c>
      <c r="D97" s="3" t="str">
        <f t="shared" si="11"/>
        <v>fort lauderdale, florida  33310</v>
      </c>
      <c r="E97" s="3" t="str">
        <f t="shared" si="12"/>
        <v>FORT LAUDERDALE, FLORIDA  33310</v>
      </c>
      <c r="F97" s="3" t="str">
        <f t="shared" si="13"/>
        <v>Fort Lauderdale, Florida  33310</v>
      </c>
      <c r="G97" s="3"/>
      <c r="H97" s="3" t="str">
        <f t="shared" si="14"/>
        <v>33310</v>
      </c>
      <c r="I97" s="3">
        <f t="shared" si="15"/>
        <v>31</v>
      </c>
      <c r="J97" s="3">
        <f t="shared" si="16"/>
        <v>30</v>
      </c>
      <c r="K97" s="3" t="str">
        <f t="shared" si="17"/>
        <v>167380--133</v>
      </c>
      <c r="L97" s="3" t="str">
        <f t="shared" si="18"/>
        <v>167380--133</v>
      </c>
      <c r="M97" s="3">
        <f t="shared" si="19"/>
        <v>33310</v>
      </c>
      <c r="N97" s="3"/>
      <c r="O97" s="3"/>
      <c r="P97" s="3"/>
      <c r="Q97" s="3"/>
      <c r="R97" s="3"/>
      <c r="S97" s="3"/>
      <c r="T97" s="3" t="s">
        <v>370</v>
      </c>
      <c r="U97" s="3" t="s">
        <v>528</v>
      </c>
      <c r="V97" s="3" t="str">
        <f t="shared" si="20"/>
        <v>33310</v>
      </c>
      <c r="W97" s="3"/>
      <c r="X97" s="1" t="str">
        <f t="shared" si="21"/>
        <v>Florida</v>
      </c>
    </row>
    <row r="98" spans="1:24" ht="20.100000000000001" customHeight="1" x14ac:dyDescent="0.25">
      <c r="A98" s="3" t="s">
        <v>118</v>
      </c>
      <c r="B98" s="3">
        <v>108184</v>
      </c>
      <c r="C98" s="3">
        <v>223</v>
      </c>
      <c r="D98" s="3" t="str">
        <f t="shared" si="11"/>
        <v>gainesville, florida  32601</v>
      </c>
      <c r="E98" s="3" t="str">
        <f t="shared" si="12"/>
        <v>GAINESVILLE, FLORIDA  32601</v>
      </c>
      <c r="F98" s="3" t="str">
        <f t="shared" si="13"/>
        <v>Gainesville, Florida  32601</v>
      </c>
      <c r="G98" s="3"/>
      <c r="H98" s="3" t="str">
        <f t="shared" si="14"/>
        <v>32601</v>
      </c>
      <c r="I98" s="3">
        <f t="shared" si="15"/>
        <v>27</v>
      </c>
      <c r="J98" s="3">
        <f t="shared" si="16"/>
        <v>26</v>
      </c>
      <c r="K98" s="3" t="str">
        <f t="shared" si="17"/>
        <v>108184--223</v>
      </c>
      <c r="L98" s="3" t="str">
        <f t="shared" si="18"/>
        <v>108184--223</v>
      </c>
      <c r="M98" s="3">
        <f t="shared" si="19"/>
        <v>32601</v>
      </c>
      <c r="N98" s="3"/>
      <c r="O98" s="3"/>
      <c r="P98" s="3"/>
      <c r="Q98" s="3"/>
      <c r="R98" s="3"/>
      <c r="S98" s="3"/>
      <c r="T98" s="3" t="s">
        <v>371</v>
      </c>
      <c r="U98" s="3" t="s">
        <v>528</v>
      </c>
      <c r="V98" s="3" t="str">
        <f t="shared" si="20"/>
        <v>32601</v>
      </c>
      <c r="W98" s="3"/>
      <c r="X98" s="1" t="str">
        <f t="shared" si="21"/>
        <v>Florida</v>
      </c>
    </row>
    <row r="99" spans="1:24" ht="20.100000000000001" customHeight="1" x14ac:dyDescent="0.25">
      <c r="A99" s="3" t="s">
        <v>119</v>
      </c>
      <c r="B99" s="3">
        <v>220485</v>
      </c>
      <c r="C99" s="3">
        <v>84</v>
      </c>
      <c r="D99" s="3" t="str">
        <f t="shared" si="11"/>
        <v>hialeah, florida  33010</v>
      </c>
      <c r="E99" s="3" t="str">
        <f t="shared" si="12"/>
        <v>HIALEAH, FLORIDA  33010</v>
      </c>
      <c r="F99" s="3" t="str">
        <f t="shared" si="13"/>
        <v>Hialeah, Florida  33010</v>
      </c>
      <c r="G99" s="3"/>
      <c r="H99" s="3" t="str">
        <f t="shared" si="14"/>
        <v>33010</v>
      </c>
      <c r="I99" s="3">
        <f t="shared" si="15"/>
        <v>23</v>
      </c>
      <c r="J99" s="3">
        <f t="shared" si="16"/>
        <v>22</v>
      </c>
      <c r="K99" s="3" t="str">
        <f t="shared" si="17"/>
        <v>220485--84</v>
      </c>
      <c r="L99" s="3" t="str">
        <f t="shared" si="18"/>
        <v>220485--84</v>
      </c>
      <c r="M99" s="3">
        <f t="shared" si="19"/>
        <v>33010</v>
      </c>
      <c r="N99" s="3"/>
      <c r="O99" s="3"/>
      <c r="P99" s="3"/>
      <c r="Q99" s="3"/>
      <c r="R99" s="3"/>
      <c r="S99" s="3"/>
      <c r="T99" s="3" t="s">
        <v>372</v>
      </c>
      <c r="U99" s="3" t="s">
        <v>528</v>
      </c>
      <c r="V99" s="3" t="str">
        <f t="shared" si="20"/>
        <v>33010</v>
      </c>
      <c r="W99" s="3"/>
      <c r="X99" s="1" t="str">
        <f t="shared" si="21"/>
        <v>Florida</v>
      </c>
    </row>
    <row r="100" spans="1:24" ht="20.100000000000001" customHeight="1" x14ac:dyDescent="0.25">
      <c r="A100" s="3" t="s">
        <v>120</v>
      </c>
      <c r="B100" s="3">
        <v>145629</v>
      </c>
      <c r="C100" s="3">
        <v>154</v>
      </c>
      <c r="D100" s="3" t="str">
        <f t="shared" si="11"/>
        <v>hollywood, florida  33022</v>
      </c>
      <c r="E100" s="3" t="str">
        <f t="shared" si="12"/>
        <v>HOLLYWOOD, FLORIDA  33022</v>
      </c>
      <c r="F100" s="3" t="str">
        <f t="shared" si="13"/>
        <v>Hollywood, Florida  33022</v>
      </c>
      <c r="G100" s="3"/>
      <c r="H100" s="3" t="str">
        <f t="shared" si="14"/>
        <v>33022</v>
      </c>
      <c r="I100" s="3">
        <f t="shared" si="15"/>
        <v>25</v>
      </c>
      <c r="J100" s="3">
        <f t="shared" si="16"/>
        <v>24</v>
      </c>
      <c r="K100" s="3" t="str">
        <f t="shared" si="17"/>
        <v>145629--154</v>
      </c>
      <c r="L100" s="3" t="str">
        <f t="shared" si="18"/>
        <v>145629--154</v>
      </c>
      <c r="M100" s="3">
        <f t="shared" si="19"/>
        <v>33022</v>
      </c>
      <c r="N100" s="3"/>
      <c r="O100" s="3"/>
      <c r="P100" s="3"/>
      <c r="Q100" s="3"/>
      <c r="R100" s="3"/>
      <c r="S100" s="3"/>
      <c r="T100" s="3" t="s">
        <v>373</v>
      </c>
      <c r="U100" s="3" t="s">
        <v>528</v>
      </c>
      <c r="V100" s="3" t="str">
        <f t="shared" si="20"/>
        <v>33022</v>
      </c>
      <c r="W100" s="3"/>
      <c r="X100" s="1" t="str">
        <f t="shared" si="21"/>
        <v>Florida</v>
      </c>
    </row>
    <row r="101" spans="1:24" ht="20.100000000000001" customHeight="1" x14ac:dyDescent="0.25">
      <c r="A101" s="3" t="s">
        <v>121</v>
      </c>
      <c r="B101" s="3">
        <v>782623</v>
      </c>
      <c r="C101" s="3">
        <v>13</v>
      </c>
      <c r="D101" s="3" t="str">
        <f t="shared" si="11"/>
        <v>jacksonville, florida  32203</v>
      </c>
      <c r="E101" s="3" t="str">
        <f t="shared" si="12"/>
        <v>JACKSONVILLE, FLORIDA  32203</v>
      </c>
      <c r="F101" s="3" t="str">
        <f t="shared" si="13"/>
        <v>Jacksonville, Florida  32203</v>
      </c>
      <c r="G101" s="3"/>
      <c r="H101" s="3" t="str">
        <f t="shared" si="14"/>
        <v>32203</v>
      </c>
      <c r="I101" s="3">
        <f t="shared" si="15"/>
        <v>28</v>
      </c>
      <c r="J101" s="3">
        <f t="shared" si="16"/>
        <v>27</v>
      </c>
      <c r="K101" s="3" t="str">
        <f t="shared" si="17"/>
        <v>782623--13</v>
      </c>
      <c r="L101" s="3" t="str">
        <f t="shared" si="18"/>
        <v>782623--13</v>
      </c>
      <c r="M101" s="3">
        <f t="shared" si="19"/>
        <v>32203</v>
      </c>
      <c r="N101" s="3"/>
      <c r="O101" s="3"/>
      <c r="P101" s="3"/>
      <c r="Q101" s="3"/>
      <c r="R101" s="3"/>
      <c r="S101" s="3"/>
      <c r="T101" s="3" t="s">
        <v>374</v>
      </c>
      <c r="U101" s="3" t="s">
        <v>528</v>
      </c>
      <c r="V101" s="3" t="str">
        <f t="shared" si="20"/>
        <v>32203</v>
      </c>
      <c r="W101" s="3"/>
      <c r="X101" s="1" t="str">
        <f t="shared" si="21"/>
        <v>Florida</v>
      </c>
    </row>
    <row r="102" spans="1:24" ht="20.100000000000001" customHeight="1" x14ac:dyDescent="0.25">
      <c r="A102" s="3" t="s">
        <v>122</v>
      </c>
      <c r="B102" s="3">
        <v>386417</v>
      </c>
      <c r="C102" s="3">
        <v>45</v>
      </c>
      <c r="D102" s="3" t="str">
        <f t="shared" si="11"/>
        <v>miami, florida  33152</v>
      </c>
      <c r="E102" s="3" t="str">
        <f t="shared" si="12"/>
        <v>MIAMI, FLORIDA  33152</v>
      </c>
      <c r="F102" s="3" t="str">
        <f t="shared" si="13"/>
        <v>Miami, Florida  33152</v>
      </c>
      <c r="G102" s="3"/>
      <c r="H102" s="3" t="str">
        <f t="shared" si="14"/>
        <v>33152</v>
      </c>
      <c r="I102" s="3">
        <f t="shared" si="15"/>
        <v>21</v>
      </c>
      <c r="J102" s="3">
        <f t="shared" si="16"/>
        <v>20</v>
      </c>
      <c r="K102" s="3" t="str">
        <f t="shared" si="17"/>
        <v>386417--45</v>
      </c>
      <c r="L102" s="3" t="str">
        <f t="shared" si="18"/>
        <v>386417--45</v>
      </c>
      <c r="M102" s="3">
        <f t="shared" si="19"/>
        <v>33152</v>
      </c>
      <c r="N102" s="3"/>
      <c r="O102" s="3"/>
      <c r="P102" s="3"/>
      <c r="Q102" s="3"/>
      <c r="R102" s="3"/>
      <c r="S102" s="3"/>
      <c r="T102" s="3" t="s">
        <v>375</v>
      </c>
      <c r="U102" s="3" t="s">
        <v>528</v>
      </c>
      <c r="V102" s="3" t="str">
        <f t="shared" si="20"/>
        <v>33152</v>
      </c>
      <c r="W102" s="3"/>
      <c r="X102" s="1" t="str">
        <f t="shared" si="21"/>
        <v>Florida</v>
      </c>
    </row>
    <row r="103" spans="1:24" ht="20.100000000000001" customHeight="1" x14ac:dyDescent="0.25">
      <c r="A103" s="3" t="s">
        <v>123</v>
      </c>
      <c r="B103" s="3">
        <v>106623</v>
      </c>
      <c r="C103" s="3">
        <v>227</v>
      </c>
      <c r="D103" s="3" t="str">
        <f t="shared" si="11"/>
        <v>miramar, florida  33023</v>
      </c>
      <c r="E103" s="3" t="str">
        <f t="shared" si="12"/>
        <v>MIRAMAR, FLORIDA  33023</v>
      </c>
      <c r="F103" s="3" t="str">
        <f t="shared" si="13"/>
        <v>Miramar, Florida  33023</v>
      </c>
      <c r="G103" s="3"/>
      <c r="H103" s="3" t="str">
        <f t="shared" si="14"/>
        <v>33023</v>
      </c>
      <c r="I103" s="3">
        <f t="shared" si="15"/>
        <v>23</v>
      </c>
      <c r="J103" s="3">
        <f t="shared" si="16"/>
        <v>22</v>
      </c>
      <c r="K103" s="3" t="str">
        <f t="shared" si="17"/>
        <v>106623--227</v>
      </c>
      <c r="L103" s="3" t="str">
        <f t="shared" si="18"/>
        <v>106623--227</v>
      </c>
      <c r="M103" s="3">
        <f t="shared" si="19"/>
        <v>33023</v>
      </c>
      <c r="N103" s="3"/>
      <c r="O103" s="3"/>
      <c r="P103" s="3"/>
      <c r="Q103" s="3"/>
      <c r="R103" s="3"/>
      <c r="S103" s="3"/>
      <c r="T103" s="3" t="s">
        <v>376</v>
      </c>
      <c r="U103" s="3" t="s">
        <v>528</v>
      </c>
      <c r="V103" s="3" t="str">
        <f t="shared" si="20"/>
        <v>33023</v>
      </c>
      <c r="W103" s="3"/>
      <c r="X103" s="1" t="str">
        <f t="shared" si="21"/>
        <v>Florida</v>
      </c>
    </row>
    <row r="104" spans="1:24" ht="20.100000000000001" customHeight="1" x14ac:dyDescent="0.25">
      <c r="A104" s="3" t="s">
        <v>124</v>
      </c>
      <c r="B104" s="3">
        <v>213223</v>
      </c>
      <c r="C104" s="3">
        <v>87</v>
      </c>
      <c r="D104" s="3" t="str">
        <f t="shared" si="11"/>
        <v>orlando, florida  32802</v>
      </c>
      <c r="E104" s="3" t="str">
        <f t="shared" si="12"/>
        <v>ORLANDO, FLORIDA  32802</v>
      </c>
      <c r="F104" s="3" t="str">
        <f t="shared" si="13"/>
        <v>Orlando, Florida  32802</v>
      </c>
      <c r="G104" s="3"/>
      <c r="H104" s="3" t="str">
        <f t="shared" si="14"/>
        <v>32802</v>
      </c>
      <c r="I104" s="3">
        <f t="shared" si="15"/>
        <v>23</v>
      </c>
      <c r="J104" s="3">
        <f t="shared" si="16"/>
        <v>22</v>
      </c>
      <c r="K104" s="3" t="str">
        <f t="shared" si="17"/>
        <v>213223--87</v>
      </c>
      <c r="L104" s="3" t="str">
        <f t="shared" si="18"/>
        <v>213223--87</v>
      </c>
      <c r="M104" s="3">
        <f t="shared" si="19"/>
        <v>32802</v>
      </c>
      <c r="N104" s="3"/>
      <c r="O104" s="3"/>
      <c r="P104" s="3"/>
      <c r="Q104" s="3"/>
      <c r="R104" s="3"/>
      <c r="S104" s="3"/>
      <c r="T104" s="3" t="s">
        <v>377</v>
      </c>
      <c r="U104" s="3" t="s">
        <v>528</v>
      </c>
      <c r="V104" s="3" t="str">
        <f t="shared" si="20"/>
        <v>32802</v>
      </c>
      <c r="W104" s="3"/>
      <c r="X104" s="1" t="str">
        <f t="shared" si="21"/>
        <v>Florida</v>
      </c>
    </row>
    <row r="105" spans="1:24" ht="20.100000000000001" customHeight="1" x14ac:dyDescent="0.25">
      <c r="A105" s="3" t="s">
        <v>125</v>
      </c>
      <c r="B105" s="3">
        <v>150380</v>
      </c>
      <c r="C105" s="3">
        <v>148</v>
      </c>
      <c r="D105" s="3" t="str">
        <f t="shared" si="11"/>
        <v>pembroke pines, florida  33024</v>
      </c>
      <c r="E105" s="3" t="str">
        <f t="shared" si="12"/>
        <v>PEMBROKE PINES, FLORIDA  33024</v>
      </c>
      <c r="F105" s="3" t="str">
        <f t="shared" si="13"/>
        <v>Pembroke Pines, Florida  33024</v>
      </c>
      <c r="G105" s="3"/>
      <c r="H105" s="3" t="str">
        <f t="shared" si="14"/>
        <v>33024</v>
      </c>
      <c r="I105" s="3">
        <f t="shared" si="15"/>
        <v>30</v>
      </c>
      <c r="J105" s="3">
        <f t="shared" si="16"/>
        <v>29</v>
      </c>
      <c r="K105" s="3" t="str">
        <f t="shared" si="17"/>
        <v>150380--148</v>
      </c>
      <c r="L105" s="3" t="str">
        <f t="shared" si="18"/>
        <v>150380--148</v>
      </c>
      <c r="M105" s="3">
        <f t="shared" si="19"/>
        <v>33024</v>
      </c>
      <c r="N105" s="3"/>
      <c r="O105" s="3"/>
      <c r="P105" s="3"/>
      <c r="Q105" s="3"/>
      <c r="R105" s="3"/>
      <c r="S105" s="3"/>
      <c r="T105" s="3" t="s">
        <v>378</v>
      </c>
      <c r="U105" s="3" t="s">
        <v>528</v>
      </c>
      <c r="V105" s="3" t="str">
        <f t="shared" si="20"/>
        <v>33024</v>
      </c>
      <c r="W105" s="3"/>
      <c r="X105" s="1" t="str">
        <f t="shared" si="21"/>
        <v>Florida</v>
      </c>
    </row>
    <row r="106" spans="1:24" ht="20.100000000000001" customHeight="1" x14ac:dyDescent="0.25">
      <c r="A106" s="3" t="s">
        <v>126</v>
      </c>
      <c r="B106" s="3">
        <v>104179</v>
      </c>
      <c r="C106" s="3">
        <v>236</v>
      </c>
      <c r="D106" s="3" t="str">
        <f t="shared" si="11"/>
        <v>pompano beach, florida  33060</v>
      </c>
      <c r="E106" s="3" t="str">
        <f t="shared" si="12"/>
        <v>POMPANO BEACH, FLORIDA  33060</v>
      </c>
      <c r="F106" s="3" t="str">
        <f t="shared" si="13"/>
        <v>Pompano Beach, Florida  33060</v>
      </c>
      <c r="G106" s="3"/>
      <c r="H106" s="3" t="str">
        <f t="shared" si="14"/>
        <v>33060</v>
      </c>
      <c r="I106" s="3">
        <f t="shared" si="15"/>
        <v>29</v>
      </c>
      <c r="J106" s="3">
        <f t="shared" si="16"/>
        <v>28</v>
      </c>
      <c r="K106" s="3" t="str">
        <f t="shared" si="17"/>
        <v>104179--236</v>
      </c>
      <c r="L106" s="3" t="str">
        <f t="shared" si="18"/>
        <v>104179--236</v>
      </c>
      <c r="M106" s="3">
        <f t="shared" si="19"/>
        <v>33060</v>
      </c>
      <c r="N106" s="3"/>
      <c r="O106" s="3"/>
      <c r="P106" s="3"/>
      <c r="Q106" s="3"/>
      <c r="R106" s="3"/>
      <c r="S106" s="3"/>
      <c r="T106" s="3" t="s">
        <v>379</v>
      </c>
      <c r="U106" s="3" t="s">
        <v>528</v>
      </c>
      <c r="V106" s="3" t="str">
        <f t="shared" si="20"/>
        <v>33060</v>
      </c>
      <c r="W106" s="3"/>
      <c r="X106" s="1" t="str">
        <f t="shared" si="21"/>
        <v>Florida</v>
      </c>
    </row>
    <row r="107" spans="1:24" ht="20.100000000000001" customHeight="1" x14ac:dyDescent="0.25">
      <c r="A107" s="3" t="s">
        <v>127</v>
      </c>
      <c r="B107" s="3">
        <v>131692</v>
      </c>
      <c r="C107" s="3">
        <v>178</v>
      </c>
      <c r="D107" s="3" t="str">
        <f t="shared" si="11"/>
        <v>port st. lucie, florida  34952</v>
      </c>
      <c r="E107" s="3" t="str">
        <f t="shared" si="12"/>
        <v>PORT ST. LUCIE, FLORIDA  34952</v>
      </c>
      <c r="F107" s="3" t="str">
        <f t="shared" si="13"/>
        <v>Port St. Lucie, Florida  34952</v>
      </c>
      <c r="G107" s="3"/>
      <c r="H107" s="3" t="str">
        <f t="shared" si="14"/>
        <v>34952</v>
      </c>
      <c r="I107" s="3">
        <f t="shared" si="15"/>
        <v>30</v>
      </c>
      <c r="J107" s="3">
        <f t="shared" si="16"/>
        <v>29</v>
      </c>
      <c r="K107" s="3" t="str">
        <f t="shared" si="17"/>
        <v>131692--178</v>
      </c>
      <c r="L107" s="3" t="str">
        <f t="shared" si="18"/>
        <v>131692--178</v>
      </c>
      <c r="M107" s="3">
        <f t="shared" si="19"/>
        <v>34952</v>
      </c>
      <c r="N107" s="3"/>
      <c r="O107" s="3"/>
      <c r="P107" s="3"/>
      <c r="Q107" s="3"/>
      <c r="R107" s="3"/>
      <c r="S107" s="3"/>
      <c r="T107" s="3" t="s">
        <v>380</v>
      </c>
      <c r="U107" s="3" t="s">
        <v>528</v>
      </c>
      <c r="V107" s="3" t="str">
        <f t="shared" si="20"/>
        <v>34952</v>
      </c>
      <c r="W107" s="3"/>
      <c r="X107" s="1" t="str">
        <f t="shared" si="21"/>
        <v>Florida</v>
      </c>
    </row>
    <row r="108" spans="1:24" ht="20.100000000000001" customHeight="1" x14ac:dyDescent="0.25">
      <c r="A108" s="3" t="s">
        <v>128</v>
      </c>
      <c r="B108" s="3">
        <v>249079</v>
      </c>
      <c r="C108" s="3">
        <v>71</v>
      </c>
      <c r="D108" s="3" t="str">
        <f t="shared" si="11"/>
        <v>st. petersburg, florida  33730</v>
      </c>
      <c r="E108" s="3" t="str">
        <f t="shared" si="12"/>
        <v>ST. PETERSBURG, FLORIDA  33730</v>
      </c>
      <c r="F108" s="3" t="str">
        <f t="shared" si="13"/>
        <v>St. Petersburg, Florida  33730</v>
      </c>
      <c r="G108" s="3"/>
      <c r="H108" s="3" t="str">
        <f t="shared" si="14"/>
        <v>33730</v>
      </c>
      <c r="I108" s="3">
        <f t="shared" si="15"/>
        <v>30</v>
      </c>
      <c r="J108" s="3">
        <f t="shared" si="16"/>
        <v>29</v>
      </c>
      <c r="K108" s="3" t="str">
        <f t="shared" si="17"/>
        <v>249079--71</v>
      </c>
      <c r="L108" s="3" t="str">
        <f t="shared" si="18"/>
        <v>249079--71</v>
      </c>
      <c r="M108" s="3">
        <f t="shared" si="19"/>
        <v>33730</v>
      </c>
      <c r="N108" s="3"/>
      <c r="O108" s="3"/>
      <c r="P108" s="3"/>
      <c r="Q108" s="3"/>
      <c r="R108" s="3"/>
      <c r="S108" s="3"/>
      <c r="T108" s="3" t="s">
        <v>381</v>
      </c>
      <c r="U108" s="3" t="s">
        <v>528</v>
      </c>
      <c r="V108" s="3" t="str">
        <f t="shared" si="20"/>
        <v>33730</v>
      </c>
      <c r="W108" s="3"/>
      <c r="X108" s="1" t="str">
        <f t="shared" si="21"/>
        <v>Florida</v>
      </c>
    </row>
    <row r="109" spans="1:24" ht="20.100000000000001" customHeight="1" x14ac:dyDescent="0.25">
      <c r="A109" s="3" t="s">
        <v>129</v>
      </c>
      <c r="B109" s="3">
        <v>158500</v>
      </c>
      <c r="C109" s="3">
        <v>141</v>
      </c>
      <c r="D109" s="3" t="str">
        <f t="shared" si="11"/>
        <v>tallahassee, florida  32301</v>
      </c>
      <c r="E109" s="3" t="str">
        <f t="shared" si="12"/>
        <v>TALLAHASSEE, FLORIDA  32301</v>
      </c>
      <c r="F109" s="3" t="str">
        <f t="shared" si="13"/>
        <v>Tallahassee, Florida  32301</v>
      </c>
      <c r="G109" s="3"/>
      <c r="H109" s="3" t="str">
        <f t="shared" si="14"/>
        <v>32301</v>
      </c>
      <c r="I109" s="3">
        <f t="shared" si="15"/>
        <v>27</v>
      </c>
      <c r="J109" s="3">
        <f t="shared" si="16"/>
        <v>26</v>
      </c>
      <c r="K109" s="3" t="str">
        <f t="shared" si="17"/>
        <v>158500--141</v>
      </c>
      <c r="L109" s="3" t="str">
        <f t="shared" si="18"/>
        <v>158500--141</v>
      </c>
      <c r="M109" s="3">
        <f t="shared" si="19"/>
        <v>32301</v>
      </c>
      <c r="N109" s="3"/>
      <c r="O109" s="3"/>
      <c r="P109" s="3"/>
      <c r="Q109" s="3"/>
      <c r="R109" s="3"/>
      <c r="S109" s="3"/>
      <c r="T109" s="3" t="s">
        <v>382</v>
      </c>
      <c r="U109" s="3" t="s">
        <v>528</v>
      </c>
      <c r="V109" s="3" t="str">
        <f t="shared" si="20"/>
        <v>32301</v>
      </c>
      <c r="W109" s="3"/>
      <c r="X109" s="1" t="str">
        <f t="shared" si="21"/>
        <v>Florida</v>
      </c>
    </row>
    <row r="110" spans="1:24" ht="20.100000000000001" customHeight="1" x14ac:dyDescent="0.25">
      <c r="A110" s="3" t="s">
        <v>130</v>
      </c>
      <c r="B110" s="3">
        <v>325989</v>
      </c>
      <c r="C110" s="3">
        <v>56</v>
      </c>
      <c r="D110" s="3" t="str">
        <f t="shared" si="11"/>
        <v>tampa, florida  33630</v>
      </c>
      <c r="E110" s="3" t="str">
        <f t="shared" si="12"/>
        <v>TAMPA, FLORIDA  33630</v>
      </c>
      <c r="F110" s="3" t="str">
        <f t="shared" si="13"/>
        <v>Tampa, Florida  33630</v>
      </c>
      <c r="G110" s="3"/>
      <c r="H110" s="3" t="str">
        <f t="shared" si="14"/>
        <v>33630</v>
      </c>
      <c r="I110" s="3">
        <f t="shared" si="15"/>
        <v>21</v>
      </c>
      <c r="J110" s="3">
        <f t="shared" si="16"/>
        <v>20</v>
      </c>
      <c r="K110" s="3" t="str">
        <f t="shared" si="17"/>
        <v>325989--56</v>
      </c>
      <c r="L110" s="3" t="str">
        <f t="shared" si="18"/>
        <v>325989--56</v>
      </c>
      <c r="M110" s="3">
        <f t="shared" si="19"/>
        <v>33630</v>
      </c>
      <c r="N110" s="3"/>
      <c r="O110" s="3"/>
      <c r="P110" s="3"/>
      <c r="Q110" s="3"/>
      <c r="R110" s="3"/>
      <c r="S110" s="3"/>
      <c r="T110" s="3" t="s">
        <v>383</v>
      </c>
      <c r="U110" s="3" t="s">
        <v>528</v>
      </c>
      <c r="V110" s="3" t="str">
        <f t="shared" si="20"/>
        <v>33630</v>
      </c>
      <c r="W110" s="3"/>
      <c r="X110" s="1" t="str">
        <f t="shared" si="21"/>
        <v>Florida</v>
      </c>
    </row>
    <row r="111" spans="1:24" ht="20.100000000000001" customHeight="1" x14ac:dyDescent="0.25">
      <c r="A111" s="3" t="s">
        <v>131</v>
      </c>
      <c r="B111" s="3">
        <v>103238</v>
      </c>
      <c r="C111" s="3">
        <v>242</v>
      </c>
      <c r="D111" s="3" t="str">
        <f t="shared" si="11"/>
        <v>athens, georgia  30608</v>
      </c>
      <c r="E111" s="3" t="str">
        <f t="shared" si="12"/>
        <v>ATHENS, GEORGIA  30608</v>
      </c>
      <c r="F111" s="3" t="str">
        <f t="shared" si="13"/>
        <v>Athens, Georgia  30608</v>
      </c>
      <c r="G111" s="3"/>
      <c r="H111" s="3" t="str">
        <f t="shared" si="14"/>
        <v>30608</v>
      </c>
      <c r="I111" s="3">
        <f t="shared" si="15"/>
        <v>22</v>
      </c>
      <c r="J111" s="3">
        <f t="shared" si="16"/>
        <v>21</v>
      </c>
      <c r="K111" s="3" t="str">
        <f t="shared" si="17"/>
        <v>103238--242</v>
      </c>
      <c r="L111" s="3" t="str">
        <f t="shared" si="18"/>
        <v>103238--242</v>
      </c>
      <c r="M111" s="3">
        <f t="shared" si="19"/>
        <v>30608</v>
      </c>
      <c r="N111" s="3"/>
      <c r="O111" s="3"/>
      <c r="P111" s="3"/>
      <c r="Q111" s="3"/>
      <c r="R111" s="3"/>
      <c r="S111" s="3"/>
      <c r="T111" s="3" t="s">
        <v>384</v>
      </c>
      <c r="U111" s="3" t="s">
        <v>529</v>
      </c>
      <c r="V111" s="3" t="str">
        <f t="shared" si="20"/>
        <v>30608</v>
      </c>
      <c r="W111" s="3"/>
      <c r="X111" s="1" t="str">
        <f t="shared" si="21"/>
        <v>Georgia</v>
      </c>
    </row>
    <row r="112" spans="1:24" ht="20.100000000000001" customHeight="1" x14ac:dyDescent="0.25">
      <c r="A112" s="3" t="s">
        <v>132</v>
      </c>
      <c r="B112" s="3">
        <v>470688</v>
      </c>
      <c r="C112" s="3">
        <v>35</v>
      </c>
      <c r="D112" s="3" t="str">
        <f t="shared" si="11"/>
        <v>atlanta, georgia  30304</v>
      </c>
      <c r="E112" s="3" t="str">
        <f t="shared" si="12"/>
        <v>ATLANTA, GEORGIA  30304</v>
      </c>
      <c r="F112" s="3" t="str">
        <f t="shared" si="13"/>
        <v>Atlanta, Georgia  30304</v>
      </c>
      <c r="G112" s="3"/>
      <c r="H112" s="3" t="str">
        <f t="shared" si="14"/>
        <v>30304</v>
      </c>
      <c r="I112" s="3">
        <f t="shared" si="15"/>
        <v>23</v>
      </c>
      <c r="J112" s="3">
        <f t="shared" si="16"/>
        <v>22</v>
      </c>
      <c r="K112" s="3" t="str">
        <f t="shared" si="17"/>
        <v>470688--35</v>
      </c>
      <c r="L112" s="3" t="str">
        <f t="shared" si="18"/>
        <v>470688--35</v>
      </c>
      <c r="M112" s="3">
        <f t="shared" si="19"/>
        <v>30304</v>
      </c>
      <c r="N112" s="3"/>
      <c r="O112" s="3"/>
      <c r="P112" s="3"/>
      <c r="Q112" s="3"/>
      <c r="R112" s="3"/>
      <c r="S112" s="3"/>
      <c r="T112" s="3" t="s">
        <v>385</v>
      </c>
      <c r="U112" s="3" t="s">
        <v>529</v>
      </c>
      <c r="V112" s="3" t="str">
        <f t="shared" si="20"/>
        <v>30304</v>
      </c>
      <c r="W112" s="3"/>
      <c r="X112" s="1" t="str">
        <f t="shared" si="21"/>
        <v>Georgia</v>
      </c>
    </row>
    <row r="113" spans="1:24" ht="20.100000000000001" customHeight="1" x14ac:dyDescent="0.25">
      <c r="A113" s="3" t="s">
        <v>133</v>
      </c>
      <c r="B113" s="3">
        <v>190782</v>
      </c>
      <c r="C113" s="3">
        <v>113</v>
      </c>
      <c r="D113" s="3" t="str">
        <f t="shared" si="11"/>
        <v>augusta, georgia  30901</v>
      </c>
      <c r="E113" s="3" t="str">
        <f t="shared" si="12"/>
        <v>AUGUSTA, GEORGIA  30901</v>
      </c>
      <c r="F113" s="3" t="str">
        <f t="shared" si="13"/>
        <v>Augusta, Georgia  30901</v>
      </c>
      <c r="G113" s="3"/>
      <c r="H113" s="3" t="str">
        <f t="shared" si="14"/>
        <v>30901</v>
      </c>
      <c r="I113" s="3">
        <f t="shared" si="15"/>
        <v>23</v>
      </c>
      <c r="J113" s="3">
        <f t="shared" si="16"/>
        <v>22</v>
      </c>
      <c r="K113" s="3" t="str">
        <f t="shared" si="17"/>
        <v>190782--113</v>
      </c>
      <c r="L113" s="3" t="str">
        <f t="shared" si="18"/>
        <v>190782--113</v>
      </c>
      <c r="M113" s="3">
        <f t="shared" si="19"/>
        <v>30901</v>
      </c>
      <c r="N113" s="3"/>
      <c r="O113" s="3"/>
      <c r="P113" s="3"/>
      <c r="Q113" s="3"/>
      <c r="R113" s="3"/>
      <c r="S113" s="3"/>
      <c r="T113" s="3" t="s">
        <v>386</v>
      </c>
      <c r="U113" s="3" t="s">
        <v>529</v>
      </c>
      <c r="V113" s="3" t="str">
        <f t="shared" si="20"/>
        <v>30901</v>
      </c>
      <c r="W113" s="3"/>
      <c r="X113" s="1" t="str">
        <f t="shared" si="21"/>
        <v>Georgia</v>
      </c>
    </row>
    <row r="114" spans="1:24" ht="20.100000000000001" customHeight="1" x14ac:dyDescent="0.25">
      <c r="A114" s="3" t="s">
        <v>134</v>
      </c>
      <c r="B114" s="3">
        <v>185271</v>
      </c>
      <c r="C114" s="3">
        <v>115</v>
      </c>
      <c r="D114" s="3" t="str">
        <f t="shared" si="11"/>
        <v>columbus, georgia  31908</v>
      </c>
      <c r="E114" s="3" t="str">
        <f t="shared" si="12"/>
        <v>COLUMBUS, GEORGIA  31908</v>
      </c>
      <c r="F114" s="3" t="str">
        <f t="shared" si="13"/>
        <v>Columbus, Georgia  31908</v>
      </c>
      <c r="G114" s="3"/>
      <c r="H114" s="3" t="str">
        <f t="shared" si="14"/>
        <v>31908</v>
      </c>
      <c r="I114" s="3">
        <f t="shared" si="15"/>
        <v>24</v>
      </c>
      <c r="J114" s="3">
        <f t="shared" si="16"/>
        <v>23</v>
      </c>
      <c r="K114" s="3" t="str">
        <f t="shared" si="17"/>
        <v>185271--115</v>
      </c>
      <c r="L114" s="3" t="str">
        <f t="shared" si="18"/>
        <v>185271--115</v>
      </c>
      <c r="M114" s="3">
        <f t="shared" si="19"/>
        <v>31908</v>
      </c>
      <c r="N114" s="3"/>
      <c r="O114" s="3"/>
      <c r="P114" s="3"/>
      <c r="Q114" s="3"/>
      <c r="R114" s="3"/>
      <c r="S114" s="3"/>
      <c r="T114" s="3" t="s">
        <v>387</v>
      </c>
      <c r="U114" s="3" t="s">
        <v>529</v>
      </c>
      <c r="V114" s="3" t="str">
        <f t="shared" si="20"/>
        <v>31908</v>
      </c>
      <c r="W114" s="3"/>
      <c r="X114" s="1" t="str">
        <f t="shared" si="21"/>
        <v>Georgia</v>
      </c>
    </row>
    <row r="115" spans="1:24" ht="20.100000000000001" customHeight="1" x14ac:dyDescent="0.25">
      <c r="A115" s="3" t="s">
        <v>135</v>
      </c>
      <c r="B115" s="3">
        <v>128453</v>
      </c>
      <c r="C115" s="3">
        <v>183</v>
      </c>
      <c r="D115" s="3" t="str">
        <f t="shared" si="11"/>
        <v>savannah, georgia  31402</v>
      </c>
      <c r="E115" s="3" t="str">
        <f t="shared" si="12"/>
        <v>SAVANNAH, GEORGIA  31402</v>
      </c>
      <c r="F115" s="3" t="str">
        <f t="shared" si="13"/>
        <v>Savannah, Georgia  31402</v>
      </c>
      <c r="G115" s="3"/>
      <c r="H115" s="3" t="str">
        <f t="shared" si="14"/>
        <v>31402</v>
      </c>
      <c r="I115" s="3">
        <f t="shared" si="15"/>
        <v>24</v>
      </c>
      <c r="J115" s="3">
        <f t="shared" si="16"/>
        <v>23</v>
      </c>
      <c r="K115" s="3" t="str">
        <f t="shared" si="17"/>
        <v>128453--183</v>
      </c>
      <c r="L115" s="3" t="str">
        <f t="shared" si="18"/>
        <v>128453--183</v>
      </c>
      <c r="M115" s="3">
        <f t="shared" si="19"/>
        <v>31402</v>
      </c>
      <c r="N115" s="3"/>
      <c r="O115" s="3"/>
      <c r="P115" s="3"/>
      <c r="Q115" s="3"/>
      <c r="R115" s="3"/>
      <c r="S115" s="3"/>
      <c r="T115" s="3" t="s">
        <v>388</v>
      </c>
      <c r="U115" s="3" t="s">
        <v>529</v>
      </c>
      <c r="V115" s="3" t="str">
        <f t="shared" si="20"/>
        <v>31402</v>
      </c>
      <c r="W115" s="3"/>
      <c r="X115" s="1" t="str">
        <f t="shared" si="21"/>
        <v>Georgia</v>
      </c>
    </row>
    <row r="116" spans="1:24" ht="20.100000000000001" customHeight="1" x14ac:dyDescent="0.25">
      <c r="A116" s="3" t="s">
        <v>136</v>
      </c>
      <c r="B116" s="3">
        <v>377379</v>
      </c>
      <c r="C116" s="3">
        <v>47</v>
      </c>
      <c r="D116" s="3" t="str">
        <f t="shared" si="11"/>
        <v>honolulu, hawaii  96820</v>
      </c>
      <c r="E116" s="3" t="str">
        <f t="shared" si="12"/>
        <v>HONOLULU, HAWAII  96820</v>
      </c>
      <c r="F116" s="3" t="str">
        <f t="shared" si="13"/>
        <v>Honolulu, Hawaii  96820</v>
      </c>
      <c r="G116" s="3"/>
      <c r="H116" s="3" t="str">
        <f t="shared" si="14"/>
        <v>96820</v>
      </c>
      <c r="I116" s="3">
        <f t="shared" si="15"/>
        <v>23</v>
      </c>
      <c r="J116" s="3">
        <f t="shared" si="16"/>
        <v>22</v>
      </c>
      <c r="K116" s="3" t="str">
        <f t="shared" si="17"/>
        <v>377379--47</v>
      </c>
      <c r="L116" s="3" t="str">
        <f t="shared" si="18"/>
        <v>377379--47</v>
      </c>
      <c r="M116" s="3">
        <f t="shared" si="19"/>
        <v>96820</v>
      </c>
      <c r="N116" s="3"/>
      <c r="O116" s="3"/>
      <c r="P116" s="3"/>
      <c r="Q116" s="3"/>
      <c r="R116" s="3"/>
      <c r="S116" s="3"/>
      <c r="T116" s="3" t="s">
        <v>389</v>
      </c>
      <c r="U116" s="3" t="s">
        <v>530</v>
      </c>
      <c r="V116" s="3" t="str">
        <f t="shared" si="20"/>
        <v>96820</v>
      </c>
      <c r="W116" s="3"/>
      <c r="X116" s="1" t="str">
        <f t="shared" si="21"/>
        <v>Hawaii</v>
      </c>
    </row>
    <row r="117" spans="1:24" ht="20.100000000000001" customHeight="1" x14ac:dyDescent="0.25">
      <c r="A117" s="3" t="s">
        <v>137</v>
      </c>
      <c r="B117" s="3">
        <v>193161</v>
      </c>
      <c r="C117" s="3">
        <v>111</v>
      </c>
      <c r="D117" s="3" t="str">
        <f t="shared" si="11"/>
        <v>boise, idaho  83708</v>
      </c>
      <c r="E117" s="3" t="str">
        <f t="shared" si="12"/>
        <v>BOISE, IDAHO  83708</v>
      </c>
      <c r="F117" s="3" t="str">
        <f t="shared" si="13"/>
        <v>Boise, Idaho  83708</v>
      </c>
      <c r="G117" s="3"/>
      <c r="H117" s="3" t="str">
        <f t="shared" si="14"/>
        <v>83708</v>
      </c>
      <c r="I117" s="3">
        <f t="shared" si="15"/>
        <v>19</v>
      </c>
      <c r="J117" s="3">
        <f t="shared" si="16"/>
        <v>18</v>
      </c>
      <c r="K117" s="3" t="str">
        <f t="shared" si="17"/>
        <v>193161--111</v>
      </c>
      <c r="L117" s="3" t="str">
        <f t="shared" si="18"/>
        <v>193161--111</v>
      </c>
      <c r="M117" s="3">
        <f t="shared" si="19"/>
        <v>83708</v>
      </c>
      <c r="N117" s="3"/>
      <c r="O117" s="3"/>
      <c r="P117" s="3"/>
      <c r="Q117" s="3"/>
      <c r="R117" s="3"/>
      <c r="S117" s="3"/>
      <c r="T117" s="3" t="s">
        <v>390</v>
      </c>
      <c r="U117" s="3" t="s">
        <v>531</v>
      </c>
      <c r="V117" s="3" t="str">
        <f t="shared" si="20"/>
        <v>83708</v>
      </c>
      <c r="W117" s="3"/>
      <c r="X117" s="1" t="str">
        <f t="shared" si="21"/>
        <v>Idaho</v>
      </c>
    </row>
    <row r="118" spans="1:24" ht="20.100000000000001" customHeight="1" x14ac:dyDescent="0.25">
      <c r="A118" s="3" t="s">
        <v>138</v>
      </c>
      <c r="B118" s="3">
        <v>168181</v>
      </c>
      <c r="C118" s="3">
        <v>131</v>
      </c>
      <c r="D118" s="3" t="str">
        <f t="shared" si="11"/>
        <v>aurora, illinois  60505</v>
      </c>
      <c r="E118" s="3" t="str">
        <f t="shared" si="12"/>
        <v>AURORA, ILLINOIS  60505</v>
      </c>
      <c r="F118" s="3" t="str">
        <f t="shared" si="13"/>
        <v>Aurora, Illinois  60505</v>
      </c>
      <c r="G118" s="3"/>
      <c r="H118" s="3" t="str">
        <f t="shared" si="14"/>
        <v>60505</v>
      </c>
      <c r="I118" s="3">
        <f t="shared" si="15"/>
        <v>23</v>
      </c>
      <c r="J118" s="3">
        <f t="shared" si="16"/>
        <v>22</v>
      </c>
      <c r="K118" s="3" t="str">
        <f t="shared" si="17"/>
        <v>168181--131</v>
      </c>
      <c r="L118" s="3" t="str">
        <f t="shared" si="18"/>
        <v>168181--131</v>
      </c>
      <c r="M118" s="3">
        <f t="shared" si="19"/>
        <v>60505</v>
      </c>
      <c r="N118" s="3"/>
      <c r="O118" s="3"/>
      <c r="P118" s="3"/>
      <c r="Q118" s="3"/>
      <c r="R118" s="3"/>
      <c r="S118" s="3"/>
      <c r="T118" s="3" t="s">
        <v>353</v>
      </c>
      <c r="U118" s="3" t="s">
        <v>532</v>
      </c>
      <c r="V118" s="3" t="str">
        <f t="shared" si="20"/>
        <v>60505</v>
      </c>
      <c r="W118" s="3"/>
      <c r="X118" s="1" t="str">
        <f t="shared" si="21"/>
        <v>Illinois</v>
      </c>
    </row>
    <row r="119" spans="1:24" ht="20.100000000000001" customHeight="1" x14ac:dyDescent="0.25">
      <c r="A119" s="3" t="s">
        <v>139</v>
      </c>
      <c r="B119" s="3">
        <v>2842518</v>
      </c>
      <c r="C119" s="3">
        <v>3</v>
      </c>
      <c r="D119" s="3" t="str">
        <f t="shared" si="11"/>
        <v>chicago, illinois  60607</v>
      </c>
      <c r="E119" s="3" t="str">
        <f t="shared" si="12"/>
        <v>CHICAGO, ILLINOIS  60607</v>
      </c>
      <c r="F119" s="3" t="str">
        <f t="shared" si="13"/>
        <v>Chicago, Illinois  60607</v>
      </c>
      <c r="G119" s="3"/>
      <c r="H119" s="3" t="str">
        <f t="shared" si="14"/>
        <v>60607</v>
      </c>
      <c r="I119" s="3">
        <f t="shared" si="15"/>
        <v>24</v>
      </c>
      <c r="J119" s="3">
        <f t="shared" si="16"/>
        <v>23</v>
      </c>
      <c r="K119" s="3" t="str">
        <f t="shared" si="17"/>
        <v>2842518--3</v>
      </c>
      <c r="L119" s="3" t="str">
        <f t="shared" si="18"/>
        <v>2842518--3</v>
      </c>
      <c r="M119" s="3">
        <f t="shared" si="19"/>
        <v>60607</v>
      </c>
      <c r="N119" s="3"/>
      <c r="O119" s="3"/>
      <c r="P119" s="3"/>
      <c r="Q119" s="3"/>
      <c r="R119" s="3"/>
      <c r="S119" s="3"/>
      <c r="T119" s="3" t="s">
        <v>391</v>
      </c>
      <c r="U119" s="3" t="s">
        <v>532</v>
      </c>
      <c r="V119" s="3" t="str">
        <f t="shared" si="20"/>
        <v>60607</v>
      </c>
      <c r="W119" s="3"/>
      <c r="X119" s="1" t="str">
        <f t="shared" si="21"/>
        <v>Illinois</v>
      </c>
    </row>
    <row r="120" spans="1:24" ht="20.100000000000001" customHeight="1" x14ac:dyDescent="0.25">
      <c r="A120" s="3" t="s">
        <v>140</v>
      </c>
      <c r="B120" s="3">
        <v>136208</v>
      </c>
      <c r="C120" s="3">
        <v>170</v>
      </c>
      <c r="D120" s="3" t="str">
        <f t="shared" si="11"/>
        <v>joliet, illinois  60436</v>
      </c>
      <c r="E120" s="3" t="str">
        <f t="shared" si="12"/>
        <v>JOLIET, ILLINOIS  60436</v>
      </c>
      <c r="F120" s="3" t="str">
        <f t="shared" si="13"/>
        <v>Joliet, Illinois  60436</v>
      </c>
      <c r="G120" s="3"/>
      <c r="H120" s="3" t="str">
        <f t="shared" si="14"/>
        <v>60436</v>
      </c>
      <c r="I120" s="3">
        <f t="shared" si="15"/>
        <v>23</v>
      </c>
      <c r="J120" s="3">
        <f t="shared" si="16"/>
        <v>22</v>
      </c>
      <c r="K120" s="3" t="str">
        <f t="shared" si="17"/>
        <v>136208--170</v>
      </c>
      <c r="L120" s="3" t="str">
        <f t="shared" si="18"/>
        <v>136208--170</v>
      </c>
      <c r="M120" s="3">
        <f t="shared" si="19"/>
        <v>60436</v>
      </c>
      <c r="N120" s="3"/>
      <c r="O120" s="3"/>
      <c r="P120" s="3"/>
      <c r="Q120" s="3"/>
      <c r="R120" s="3"/>
      <c r="S120" s="3"/>
      <c r="T120" s="3" t="s">
        <v>392</v>
      </c>
      <c r="U120" s="3" t="s">
        <v>532</v>
      </c>
      <c r="V120" s="3" t="str">
        <f t="shared" si="20"/>
        <v>60436</v>
      </c>
      <c r="W120" s="3"/>
      <c r="X120" s="1" t="str">
        <f t="shared" si="21"/>
        <v>Illinois</v>
      </c>
    </row>
    <row r="121" spans="1:24" ht="20.100000000000001" customHeight="1" x14ac:dyDescent="0.25">
      <c r="A121" s="3" t="s">
        <v>141</v>
      </c>
      <c r="B121" s="3">
        <v>141579</v>
      </c>
      <c r="C121" s="3">
        <v>163</v>
      </c>
      <c r="D121" s="3" t="str">
        <f t="shared" si="11"/>
        <v>naperville, illinois  60540</v>
      </c>
      <c r="E121" s="3" t="str">
        <f t="shared" si="12"/>
        <v>NAPERVILLE, ILLINOIS  60540</v>
      </c>
      <c r="F121" s="3" t="str">
        <f t="shared" si="13"/>
        <v>Naperville, Illinois  60540</v>
      </c>
      <c r="G121" s="3"/>
      <c r="H121" s="3" t="str">
        <f t="shared" si="14"/>
        <v>60540</v>
      </c>
      <c r="I121" s="3">
        <f t="shared" si="15"/>
        <v>27</v>
      </c>
      <c r="J121" s="3">
        <f t="shared" si="16"/>
        <v>26</v>
      </c>
      <c r="K121" s="3" t="str">
        <f t="shared" si="17"/>
        <v>141579--163</v>
      </c>
      <c r="L121" s="3" t="str">
        <f t="shared" si="18"/>
        <v>141579--163</v>
      </c>
      <c r="M121" s="3">
        <f t="shared" si="19"/>
        <v>60540</v>
      </c>
      <c r="N121" s="3"/>
      <c r="O121" s="3"/>
      <c r="P121" s="3"/>
      <c r="Q121" s="3"/>
      <c r="R121" s="3"/>
      <c r="S121" s="3"/>
      <c r="T121" s="3" t="s">
        <v>393</v>
      </c>
      <c r="U121" s="3" t="s">
        <v>532</v>
      </c>
      <c r="V121" s="3" t="str">
        <f t="shared" si="20"/>
        <v>60540</v>
      </c>
      <c r="W121" s="3"/>
      <c r="X121" s="1" t="str">
        <f t="shared" si="21"/>
        <v>Illinois</v>
      </c>
    </row>
    <row r="122" spans="1:24" ht="20.100000000000001" customHeight="1" x14ac:dyDescent="0.25">
      <c r="A122" s="3" t="s">
        <v>142</v>
      </c>
      <c r="B122" s="3">
        <v>112685</v>
      </c>
      <c r="C122" s="3">
        <v>211</v>
      </c>
      <c r="D122" s="3" t="str">
        <f t="shared" si="11"/>
        <v>peoria, illinois  61601</v>
      </c>
      <c r="E122" s="3" t="str">
        <f t="shared" si="12"/>
        <v>PEORIA, ILLINOIS  61601</v>
      </c>
      <c r="F122" s="3" t="str">
        <f t="shared" si="13"/>
        <v>Peoria, Illinois  61601</v>
      </c>
      <c r="G122" s="3"/>
      <c r="H122" s="3" t="str">
        <f t="shared" si="14"/>
        <v>61601</v>
      </c>
      <c r="I122" s="3">
        <f t="shared" si="15"/>
        <v>23</v>
      </c>
      <c r="J122" s="3">
        <f t="shared" si="16"/>
        <v>22</v>
      </c>
      <c r="K122" s="3" t="str">
        <f t="shared" si="17"/>
        <v>112685--211</v>
      </c>
      <c r="L122" s="3" t="str">
        <f t="shared" si="18"/>
        <v>112685--211</v>
      </c>
      <c r="M122" s="3">
        <f t="shared" si="19"/>
        <v>61601</v>
      </c>
      <c r="N122" s="3"/>
      <c r="O122" s="3"/>
      <c r="P122" s="3"/>
      <c r="Q122" s="3"/>
      <c r="R122" s="3"/>
      <c r="S122" s="3"/>
      <c r="T122" s="3" t="s">
        <v>285</v>
      </c>
      <c r="U122" s="3" t="s">
        <v>532</v>
      </c>
      <c r="V122" s="3" t="str">
        <f t="shared" si="20"/>
        <v>61601</v>
      </c>
      <c r="W122" s="3"/>
      <c r="X122" s="1" t="str">
        <f t="shared" si="21"/>
        <v>Illinois</v>
      </c>
    </row>
    <row r="123" spans="1:24" ht="20.100000000000001" customHeight="1" x14ac:dyDescent="0.25">
      <c r="A123" s="3" t="s">
        <v>143</v>
      </c>
      <c r="B123" s="3">
        <v>152916</v>
      </c>
      <c r="C123" s="3">
        <v>146</v>
      </c>
      <c r="D123" s="3" t="str">
        <f t="shared" si="11"/>
        <v>rockford, illinois  61125</v>
      </c>
      <c r="E123" s="3" t="str">
        <f t="shared" si="12"/>
        <v>ROCKFORD, ILLINOIS  61125</v>
      </c>
      <c r="F123" s="3" t="str">
        <f t="shared" si="13"/>
        <v>Rockford, Illinois  61125</v>
      </c>
      <c r="G123" s="3"/>
      <c r="H123" s="3" t="str">
        <f t="shared" si="14"/>
        <v>61125</v>
      </c>
      <c r="I123" s="3">
        <f t="shared" si="15"/>
        <v>25</v>
      </c>
      <c r="J123" s="3">
        <f t="shared" si="16"/>
        <v>24</v>
      </c>
      <c r="K123" s="3" t="str">
        <f t="shared" si="17"/>
        <v>152916--146</v>
      </c>
      <c r="L123" s="3" t="str">
        <f t="shared" si="18"/>
        <v>152916--146</v>
      </c>
      <c r="M123" s="3">
        <f t="shared" si="19"/>
        <v>61125</v>
      </c>
      <c r="N123" s="3"/>
      <c r="O123" s="3"/>
      <c r="P123" s="3"/>
      <c r="Q123" s="3"/>
      <c r="R123" s="3"/>
      <c r="S123" s="3"/>
      <c r="T123" s="3" t="s">
        <v>394</v>
      </c>
      <c r="U123" s="3" t="s">
        <v>532</v>
      </c>
      <c r="V123" s="3" t="str">
        <f t="shared" si="20"/>
        <v>61125</v>
      </c>
      <c r="W123" s="3"/>
      <c r="X123" s="1" t="str">
        <f t="shared" si="21"/>
        <v>Illinois</v>
      </c>
    </row>
    <row r="124" spans="1:24" ht="20.100000000000001" customHeight="1" x14ac:dyDescent="0.25">
      <c r="A124" s="3" t="s">
        <v>144</v>
      </c>
      <c r="B124" s="3">
        <v>115668</v>
      </c>
      <c r="C124" s="3">
        <v>204</v>
      </c>
      <c r="D124" s="3" t="str">
        <f t="shared" si="11"/>
        <v>springfield, illinois  62703</v>
      </c>
      <c r="E124" s="3" t="str">
        <f t="shared" si="12"/>
        <v>SPRINGFIELD, ILLINOIS  62703</v>
      </c>
      <c r="F124" s="3" t="str">
        <f t="shared" si="13"/>
        <v>Springfield, Illinois  62703</v>
      </c>
      <c r="G124" s="3"/>
      <c r="H124" s="3" t="str">
        <f t="shared" si="14"/>
        <v>62703</v>
      </c>
      <c r="I124" s="3">
        <f t="shared" si="15"/>
        <v>28</v>
      </c>
      <c r="J124" s="3">
        <f t="shared" si="16"/>
        <v>27</v>
      </c>
      <c r="K124" s="3" t="str">
        <f t="shared" si="17"/>
        <v>115668--204</v>
      </c>
      <c r="L124" s="3" t="str">
        <f t="shared" si="18"/>
        <v>115668--204</v>
      </c>
      <c r="M124" s="3">
        <f t="shared" si="19"/>
        <v>62703</v>
      </c>
      <c r="N124" s="3"/>
      <c r="O124" s="3"/>
      <c r="P124" s="3"/>
      <c r="Q124" s="3"/>
      <c r="R124" s="3"/>
      <c r="S124" s="3"/>
      <c r="T124" s="3" t="s">
        <v>395</v>
      </c>
      <c r="U124" s="3" t="s">
        <v>532</v>
      </c>
      <c r="V124" s="3" t="str">
        <f t="shared" si="20"/>
        <v>62703</v>
      </c>
      <c r="W124" s="3"/>
      <c r="X124" s="1" t="str">
        <f t="shared" si="21"/>
        <v>Illinois</v>
      </c>
    </row>
    <row r="125" spans="1:24" ht="20.100000000000001" customHeight="1" x14ac:dyDescent="0.25">
      <c r="A125" s="3" t="s">
        <v>145</v>
      </c>
      <c r="B125" s="3">
        <v>115918</v>
      </c>
      <c r="C125" s="3">
        <v>203</v>
      </c>
      <c r="D125" s="3" t="str">
        <f t="shared" si="11"/>
        <v>evansville, indiana  47708</v>
      </c>
      <c r="E125" s="3" t="str">
        <f t="shared" si="12"/>
        <v>EVANSVILLE, INDIANA  47708</v>
      </c>
      <c r="F125" s="3" t="str">
        <f t="shared" si="13"/>
        <v>Evansville, Indiana  47708</v>
      </c>
      <c r="G125" s="3"/>
      <c r="H125" s="3" t="str">
        <f t="shared" si="14"/>
        <v>47708</v>
      </c>
      <c r="I125" s="3">
        <f t="shared" si="15"/>
        <v>26</v>
      </c>
      <c r="J125" s="3">
        <f t="shared" si="16"/>
        <v>25</v>
      </c>
      <c r="K125" s="3" t="str">
        <f t="shared" si="17"/>
        <v>115918--203</v>
      </c>
      <c r="L125" s="3" t="str">
        <f t="shared" si="18"/>
        <v>115918--203</v>
      </c>
      <c r="M125" s="3">
        <f t="shared" si="19"/>
        <v>47708</v>
      </c>
      <c r="N125" s="3"/>
      <c r="O125" s="3"/>
      <c r="P125" s="3"/>
      <c r="Q125" s="3"/>
      <c r="R125" s="3"/>
      <c r="S125" s="3"/>
      <c r="T125" s="3" t="s">
        <v>396</v>
      </c>
      <c r="U125" s="3" t="s">
        <v>533</v>
      </c>
      <c r="V125" s="3" t="str">
        <f t="shared" si="20"/>
        <v>47708</v>
      </c>
      <c r="W125" s="3"/>
      <c r="X125" s="1" t="str">
        <f t="shared" si="21"/>
        <v>Indiana</v>
      </c>
    </row>
    <row r="126" spans="1:24" ht="20.100000000000001" customHeight="1" x14ac:dyDescent="0.25">
      <c r="A126" s="3" t="s">
        <v>146</v>
      </c>
      <c r="B126" s="3">
        <v>223341</v>
      </c>
      <c r="C126" s="3">
        <v>81</v>
      </c>
      <c r="D126" s="3" t="str">
        <f t="shared" si="11"/>
        <v>fort wayne, indiana  46802</v>
      </c>
      <c r="E126" s="3" t="str">
        <f t="shared" si="12"/>
        <v>FORT WAYNE, INDIANA  46802</v>
      </c>
      <c r="F126" s="3" t="str">
        <f t="shared" si="13"/>
        <v>Fort Wayne, Indiana  46802</v>
      </c>
      <c r="G126" s="3"/>
      <c r="H126" s="3" t="str">
        <f t="shared" si="14"/>
        <v>46802</v>
      </c>
      <c r="I126" s="3">
        <f t="shared" si="15"/>
        <v>26</v>
      </c>
      <c r="J126" s="3">
        <f t="shared" si="16"/>
        <v>25</v>
      </c>
      <c r="K126" s="3" t="str">
        <f t="shared" si="17"/>
        <v>223341--81</v>
      </c>
      <c r="L126" s="3" t="str">
        <f t="shared" si="18"/>
        <v>223341--81</v>
      </c>
      <c r="M126" s="3">
        <f t="shared" si="19"/>
        <v>46802</v>
      </c>
      <c r="N126" s="3"/>
      <c r="O126" s="3"/>
      <c r="P126" s="3"/>
      <c r="Q126" s="3"/>
      <c r="R126" s="3"/>
      <c r="S126" s="3"/>
      <c r="T126" s="3" t="s">
        <v>397</v>
      </c>
      <c r="U126" s="3" t="s">
        <v>533</v>
      </c>
      <c r="V126" s="3" t="str">
        <f t="shared" si="20"/>
        <v>46802</v>
      </c>
      <c r="W126" s="3"/>
      <c r="X126" s="1" t="str">
        <f t="shared" si="21"/>
        <v>Indiana</v>
      </c>
    </row>
    <row r="127" spans="1:24" ht="20.100000000000001" customHeight="1" x14ac:dyDescent="0.25">
      <c r="A127" s="3" t="s">
        <v>147</v>
      </c>
      <c r="B127" s="3">
        <v>784118</v>
      </c>
      <c r="C127" s="3">
        <v>12</v>
      </c>
      <c r="D127" s="3" t="str">
        <f t="shared" si="11"/>
        <v>indianapolis, indiana  46206</v>
      </c>
      <c r="E127" s="3" t="str">
        <f t="shared" si="12"/>
        <v>INDIANAPOLIS, INDIANA  46206</v>
      </c>
      <c r="F127" s="3" t="str">
        <f t="shared" si="13"/>
        <v>Indianapolis, Indiana  46206</v>
      </c>
      <c r="G127" s="3"/>
      <c r="H127" s="3" t="str">
        <f t="shared" si="14"/>
        <v>46206</v>
      </c>
      <c r="I127" s="3">
        <f t="shared" si="15"/>
        <v>28</v>
      </c>
      <c r="J127" s="3">
        <f t="shared" si="16"/>
        <v>27</v>
      </c>
      <c r="K127" s="3" t="str">
        <f t="shared" si="17"/>
        <v>784118--12</v>
      </c>
      <c r="L127" s="3" t="str">
        <f t="shared" si="18"/>
        <v>784118--12</v>
      </c>
      <c r="M127" s="3">
        <f t="shared" si="19"/>
        <v>46206</v>
      </c>
      <c r="N127" s="3"/>
      <c r="O127" s="3"/>
      <c r="P127" s="3"/>
      <c r="Q127" s="3"/>
      <c r="R127" s="3"/>
      <c r="S127" s="3"/>
      <c r="T127" s="3" t="s">
        <v>398</v>
      </c>
      <c r="U127" s="3" t="s">
        <v>533</v>
      </c>
      <c r="V127" s="3" t="str">
        <f t="shared" si="20"/>
        <v>46206</v>
      </c>
      <c r="W127" s="3"/>
      <c r="X127" s="1" t="str">
        <f t="shared" si="21"/>
        <v>Indiana</v>
      </c>
    </row>
    <row r="128" spans="1:24" ht="20.100000000000001" customHeight="1" x14ac:dyDescent="0.25">
      <c r="A128" s="3" t="s">
        <v>148</v>
      </c>
      <c r="B128" s="3">
        <v>105262</v>
      </c>
      <c r="C128" s="3">
        <v>232</v>
      </c>
      <c r="D128" s="3" t="str">
        <f t="shared" si="11"/>
        <v>south bend, indiana  46624</v>
      </c>
      <c r="E128" s="3" t="str">
        <f t="shared" si="12"/>
        <v>SOUTH BEND, INDIANA  46624</v>
      </c>
      <c r="F128" s="3" t="str">
        <f t="shared" si="13"/>
        <v>South Bend, Indiana  46624</v>
      </c>
      <c r="G128" s="3"/>
      <c r="H128" s="3" t="str">
        <f t="shared" si="14"/>
        <v>46624</v>
      </c>
      <c r="I128" s="3">
        <f t="shared" si="15"/>
        <v>26</v>
      </c>
      <c r="J128" s="3">
        <f t="shared" si="16"/>
        <v>25</v>
      </c>
      <c r="K128" s="3" t="str">
        <f t="shared" si="17"/>
        <v>105262--232</v>
      </c>
      <c r="L128" s="3" t="str">
        <f t="shared" si="18"/>
        <v>105262--232</v>
      </c>
      <c r="M128" s="3">
        <f t="shared" si="19"/>
        <v>46624</v>
      </c>
      <c r="N128" s="3"/>
      <c r="O128" s="3"/>
      <c r="P128" s="3"/>
      <c r="Q128" s="3"/>
      <c r="R128" s="3"/>
      <c r="S128" s="3"/>
      <c r="T128" s="3" t="s">
        <v>399</v>
      </c>
      <c r="U128" s="3" t="s">
        <v>533</v>
      </c>
      <c r="V128" s="3" t="str">
        <f t="shared" si="20"/>
        <v>46624</v>
      </c>
      <c r="W128" s="3"/>
      <c r="X128" s="1" t="str">
        <f t="shared" si="21"/>
        <v>Indiana</v>
      </c>
    </row>
    <row r="129" spans="1:24" ht="20.100000000000001" customHeight="1" x14ac:dyDescent="0.25">
      <c r="A129" s="3" t="s">
        <v>149</v>
      </c>
      <c r="B129" s="3">
        <v>123119</v>
      </c>
      <c r="C129" s="3">
        <v>192</v>
      </c>
      <c r="D129" s="3" t="str">
        <f t="shared" si="11"/>
        <v>cedar rapids, iowa  52401</v>
      </c>
      <c r="E129" s="3" t="str">
        <f t="shared" si="12"/>
        <v>CEDAR RAPIDS, IOWA  52401</v>
      </c>
      <c r="F129" s="3" t="str">
        <f t="shared" si="13"/>
        <v>Cedar Rapids, Iowa  52401</v>
      </c>
      <c r="G129" s="3"/>
      <c r="H129" s="3" t="str">
        <f t="shared" si="14"/>
        <v>52401</v>
      </c>
      <c r="I129" s="3">
        <f t="shared" si="15"/>
        <v>25</v>
      </c>
      <c r="J129" s="3">
        <f t="shared" si="16"/>
        <v>24</v>
      </c>
      <c r="K129" s="3" t="str">
        <f t="shared" si="17"/>
        <v>123119--192</v>
      </c>
      <c r="L129" s="3" t="str">
        <f t="shared" si="18"/>
        <v>123119--192</v>
      </c>
      <c r="M129" s="3">
        <f t="shared" si="19"/>
        <v>52401</v>
      </c>
      <c r="N129" s="3"/>
      <c r="O129" s="3"/>
      <c r="P129" s="3"/>
      <c r="Q129" s="3"/>
      <c r="R129" s="3"/>
      <c r="S129" s="3"/>
      <c r="T129" s="3" t="s">
        <v>400</v>
      </c>
      <c r="U129" s="3" t="s">
        <v>534</v>
      </c>
      <c r="V129" s="3" t="str">
        <f t="shared" si="20"/>
        <v>52401</v>
      </c>
      <c r="W129" s="3"/>
      <c r="X129" s="1" t="str">
        <f t="shared" si="21"/>
        <v>Iowa</v>
      </c>
    </row>
    <row r="130" spans="1:24" ht="20.100000000000001" customHeight="1" x14ac:dyDescent="0.25">
      <c r="A130" s="3" t="s">
        <v>150</v>
      </c>
      <c r="B130" s="3">
        <v>194163</v>
      </c>
      <c r="C130" s="3">
        <v>106</v>
      </c>
      <c r="D130" s="3" t="str">
        <f t="shared" si="11"/>
        <v>des moines, iowa  50318</v>
      </c>
      <c r="E130" s="3" t="str">
        <f t="shared" si="12"/>
        <v>DES MOINES, IOWA  50318</v>
      </c>
      <c r="F130" s="3" t="str">
        <f t="shared" si="13"/>
        <v>Des Moines, Iowa  50318</v>
      </c>
      <c r="G130" s="3"/>
      <c r="H130" s="3" t="str">
        <f t="shared" si="14"/>
        <v>50318</v>
      </c>
      <c r="I130" s="3">
        <f t="shared" si="15"/>
        <v>23</v>
      </c>
      <c r="J130" s="3">
        <f t="shared" si="16"/>
        <v>22</v>
      </c>
      <c r="K130" s="3" t="str">
        <f t="shared" si="17"/>
        <v>194163--106</v>
      </c>
      <c r="L130" s="3" t="str">
        <f t="shared" si="18"/>
        <v>194163--106</v>
      </c>
      <c r="M130" s="3">
        <f t="shared" si="19"/>
        <v>50318</v>
      </c>
      <c r="N130" s="3"/>
      <c r="O130" s="3"/>
      <c r="P130" s="3"/>
      <c r="Q130" s="3"/>
      <c r="R130" s="3"/>
      <c r="S130" s="3"/>
      <c r="T130" s="3" t="s">
        <v>401</v>
      </c>
      <c r="U130" s="3" t="s">
        <v>534</v>
      </c>
      <c r="V130" s="3" t="str">
        <f t="shared" si="20"/>
        <v>50318</v>
      </c>
      <c r="W130" s="3"/>
      <c r="X130" s="1" t="str">
        <f t="shared" si="21"/>
        <v>Iowa</v>
      </c>
    </row>
    <row r="131" spans="1:24" ht="20.100000000000001" customHeight="1" x14ac:dyDescent="0.25">
      <c r="A131" s="3" t="s">
        <v>151</v>
      </c>
      <c r="B131" s="3">
        <v>144210</v>
      </c>
      <c r="C131" s="3">
        <v>158</v>
      </c>
      <c r="D131" s="3" t="str">
        <f t="shared" ref="D131:D194" si="22">LOWER(A131)</f>
        <v>kansas city, kansas  66106</v>
      </c>
      <c r="E131" s="3" t="str">
        <f t="shared" ref="E131:E194" si="23">UPPER(A131)</f>
        <v>KANSAS CITY, KANSAS  66106</v>
      </c>
      <c r="F131" s="3" t="str">
        <f t="shared" ref="F131:F194" si="24">PROPER(D131)</f>
        <v>Kansas City, Kansas  66106</v>
      </c>
      <c r="G131" s="3"/>
      <c r="H131" s="3" t="str">
        <f t="shared" ref="H131:H194" si="25">RIGHT(A131,5)</f>
        <v>66106</v>
      </c>
      <c r="I131" s="3">
        <f t="shared" ref="I131:I194" si="26">LEN(A131)</f>
        <v>26</v>
      </c>
      <c r="J131" s="3">
        <f t="shared" ref="J131:J194" si="27">LEN(TRIM(A131))</f>
        <v>25</v>
      </c>
      <c r="K131" s="3" t="str">
        <f t="shared" ref="K131:K194" si="28">B131&amp;"--"&amp;C131</f>
        <v>144210--158</v>
      </c>
      <c r="L131" s="3" t="str">
        <f t="shared" ref="L131:L194" si="29">_xlfn.CONCAT(B131,"--",C131)</f>
        <v>144210--158</v>
      </c>
      <c r="M131" s="3">
        <f t="shared" ref="M131:M194" si="30">VALUE(H131)</f>
        <v>66106</v>
      </c>
      <c r="N131" s="3"/>
      <c r="O131" s="3"/>
      <c r="P131" s="3"/>
      <c r="Q131" s="3"/>
      <c r="R131" s="3"/>
      <c r="S131" s="3"/>
      <c r="T131" s="3" t="s">
        <v>402</v>
      </c>
      <c r="U131" s="3" t="s">
        <v>535</v>
      </c>
      <c r="V131" s="3" t="str">
        <f t="shared" ref="V131:V194" si="31">RIGHT(A131,5)</f>
        <v>66106</v>
      </c>
      <c r="W131" s="3"/>
      <c r="X131" s="1" t="str">
        <f t="shared" ref="X131:X194" si="32">TRIM(MID(A131,FIND(",",A131)+1,LEN(A131)-FIND(",",A131)-5))</f>
        <v>Kansas</v>
      </c>
    </row>
    <row r="132" spans="1:24" ht="20.100000000000001" customHeight="1" x14ac:dyDescent="0.25">
      <c r="A132" s="3" t="s">
        <v>152</v>
      </c>
      <c r="B132" s="3">
        <v>111334</v>
      </c>
      <c r="C132" s="3">
        <v>215</v>
      </c>
      <c r="D132" s="3" t="str">
        <f t="shared" si="22"/>
        <v>olathe, kansas  66051</v>
      </c>
      <c r="E132" s="3" t="str">
        <f t="shared" si="23"/>
        <v>OLATHE, KANSAS  66051</v>
      </c>
      <c r="F132" s="3" t="str">
        <f t="shared" si="24"/>
        <v>Olathe, Kansas  66051</v>
      </c>
      <c r="G132" s="3"/>
      <c r="H132" s="3" t="str">
        <f t="shared" si="25"/>
        <v>66051</v>
      </c>
      <c r="I132" s="3">
        <f t="shared" si="26"/>
        <v>21</v>
      </c>
      <c r="J132" s="3">
        <f t="shared" si="27"/>
        <v>20</v>
      </c>
      <c r="K132" s="3" t="str">
        <f t="shared" si="28"/>
        <v>111334--215</v>
      </c>
      <c r="L132" s="3" t="str">
        <f t="shared" si="29"/>
        <v>111334--215</v>
      </c>
      <c r="M132" s="3">
        <f t="shared" si="30"/>
        <v>66051</v>
      </c>
      <c r="N132" s="3"/>
      <c r="O132" s="3"/>
      <c r="P132" s="3"/>
      <c r="Q132" s="3"/>
      <c r="R132" s="3"/>
      <c r="S132" s="3"/>
      <c r="T132" s="3" t="s">
        <v>403</v>
      </c>
      <c r="U132" s="3" t="s">
        <v>535</v>
      </c>
      <c r="V132" s="3" t="str">
        <f t="shared" si="31"/>
        <v>66051</v>
      </c>
      <c r="W132" s="3"/>
      <c r="X132" s="1" t="str">
        <f t="shared" si="32"/>
        <v>Kansas</v>
      </c>
    </row>
    <row r="133" spans="1:24" ht="20.100000000000001" customHeight="1" x14ac:dyDescent="0.25">
      <c r="A133" s="3" t="s">
        <v>153</v>
      </c>
      <c r="B133" s="3">
        <v>164811</v>
      </c>
      <c r="C133" s="3">
        <v>137</v>
      </c>
      <c r="D133" s="3" t="str">
        <f t="shared" si="22"/>
        <v>overland park, kansas  66204</v>
      </c>
      <c r="E133" s="3" t="str">
        <f t="shared" si="23"/>
        <v>OVERLAND PARK, KANSAS  66204</v>
      </c>
      <c r="F133" s="3" t="str">
        <f t="shared" si="24"/>
        <v>Overland Park, Kansas  66204</v>
      </c>
      <c r="G133" s="3"/>
      <c r="H133" s="3" t="str">
        <f t="shared" si="25"/>
        <v>66204</v>
      </c>
      <c r="I133" s="3">
        <f t="shared" si="26"/>
        <v>28</v>
      </c>
      <c r="J133" s="3">
        <f t="shared" si="27"/>
        <v>27</v>
      </c>
      <c r="K133" s="3" t="str">
        <f t="shared" si="28"/>
        <v>164811--137</v>
      </c>
      <c r="L133" s="3" t="str">
        <f t="shared" si="29"/>
        <v>164811--137</v>
      </c>
      <c r="M133" s="3">
        <f t="shared" si="30"/>
        <v>66204</v>
      </c>
      <c r="N133" s="3"/>
      <c r="O133" s="3"/>
      <c r="P133" s="3"/>
      <c r="Q133" s="3"/>
      <c r="R133" s="3"/>
      <c r="S133" s="3"/>
      <c r="T133" s="3" t="s">
        <v>404</v>
      </c>
      <c r="U133" s="3" t="s">
        <v>535</v>
      </c>
      <c r="V133" s="3" t="str">
        <f t="shared" si="31"/>
        <v>66204</v>
      </c>
      <c r="W133" s="3"/>
      <c r="X133" s="1" t="str">
        <f t="shared" si="32"/>
        <v>Kansas</v>
      </c>
    </row>
    <row r="134" spans="1:24" ht="20.100000000000001" customHeight="1" x14ac:dyDescent="0.25">
      <c r="A134" s="3" t="s">
        <v>154</v>
      </c>
      <c r="B134" s="3">
        <v>121946</v>
      </c>
      <c r="C134" s="3">
        <v>194</v>
      </c>
      <c r="D134" s="3" t="str">
        <f t="shared" si="22"/>
        <v>topeka, kansas  66603</v>
      </c>
      <c r="E134" s="3" t="str">
        <f t="shared" si="23"/>
        <v>TOPEKA, KANSAS  66603</v>
      </c>
      <c r="F134" s="3" t="str">
        <f t="shared" si="24"/>
        <v>Topeka, Kansas  66603</v>
      </c>
      <c r="G134" s="3"/>
      <c r="H134" s="3" t="str">
        <f t="shared" si="25"/>
        <v>66603</v>
      </c>
      <c r="I134" s="3">
        <f t="shared" si="26"/>
        <v>21</v>
      </c>
      <c r="J134" s="3">
        <f t="shared" si="27"/>
        <v>20</v>
      </c>
      <c r="K134" s="3" t="str">
        <f t="shared" si="28"/>
        <v>121946--194</v>
      </c>
      <c r="L134" s="3" t="str">
        <f t="shared" si="29"/>
        <v>121946--194</v>
      </c>
      <c r="M134" s="3">
        <f t="shared" si="30"/>
        <v>66603</v>
      </c>
      <c r="N134" s="3"/>
      <c r="O134" s="3"/>
      <c r="P134" s="3"/>
      <c r="Q134" s="3"/>
      <c r="R134" s="3"/>
      <c r="S134" s="3"/>
      <c r="T134" s="3" t="s">
        <v>405</v>
      </c>
      <c r="U134" s="3" t="s">
        <v>535</v>
      </c>
      <c r="V134" s="3" t="str">
        <f t="shared" si="31"/>
        <v>66603</v>
      </c>
      <c r="W134" s="3"/>
      <c r="X134" s="1" t="str">
        <f t="shared" si="32"/>
        <v>Kansas</v>
      </c>
    </row>
    <row r="135" spans="1:24" ht="20.100000000000001" customHeight="1" x14ac:dyDescent="0.25">
      <c r="A135" s="3" t="s">
        <v>155</v>
      </c>
      <c r="B135" s="3">
        <v>354865</v>
      </c>
      <c r="C135" s="3">
        <v>51</v>
      </c>
      <c r="D135" s="3" t="str">
        <f t="shared" si="22"/>
        <v>wichita, kansas  67276</v>
      </c>
      <c r="E135" s="3" t="str">
        <f t="shared" si="23"/>
        <v>WICHITA, KANSAS  67276</v>
      </c>
      <c r="F135" s="3" t="str">
        <f t="shared" si="24"/>
        <v>Wichita, Kansas  67276</v>
      </c>
      <c r="G135" s="3"/>
      <c r="H135" s="3" t="str">
        <f t="shared" si="25"/>
        <v>67276</v>
      </c>
      <c r="I135" s="3">
        <f t="shared" si="26"/>
        <v>22</v>
      </c>
      <c r="J135" s="3">
        <f t="shared" si="27"/>
        <v>21</v>
      </c>
      <c r="K135" s="3" t="str">
        <f t="shared" si="28"/>
        <v>354865--51</v>
      </c>
      <c r="L135" s="3" t="str">
        <f t="shared" si="29"/>
        <v>354865--51</v>
      </c>
      <c r="M135" s="3">
        <f t="shared" si="30"/>
        <v>67276</v>
      </c>
      <c r="N135" s="3"/>
      <c r="O135" s="3"/>
      <c r="P135" s="3"/>
      <c r="Q135" s="3"/>
      <c r="R135" s="3"/>
      <c r="S135" s="3"/>
      <c r="T135" s="3" t="s">
        <v>406</v>
      </c>
      <c r="U135" s="3" t="s">
        <v>535</v>
      </c>
      <c r="V135" s="3" t="str">
        <f t="shared" si="31"/>
        <v>67276</v>
      </c>
      <c r="W135" s="3"/>
      <c r="X135" s="1" t="str">
        <f t="shared" si="32"/>
        <v>Kansas</v>
      </c>
    </row>
    <row r="136" spans="1:24" ht="20.100000000000001" customHeight="1" x14ac:dyDescent="0.25">
      <c r="A136" s="3" t="s">
        <v>156</v>
      </c>
      <c r="B136" s="3">
        <v>268080</v>
      </c>
      <c r="C136" s="3">
        <v>69</v>
      </c>
      <c r="D136" s="3" t="str">
        <f t="shared" si="22"/>
        <v>lexington, kentucky  40511</v>
      </c>
      <c r="E136" s="3" t="str">
        <f t="shared" si="23"/>
        <v>LEXINGTON, KENTUCKY  40511</v>
      </c>
      <c r="F136" s="3" t="str">
        <f t="shared" si="24"/>
        <v>Lexington, Kentucky  40511</v>
      </c>
      <c r="G136" s="3"/>
      <c r="H136" s="3" t="str">
        <f t="shared" si="25"/>
        <v>40511</v>
      </c>
      <c r="I136" s="3">
        <f t="shared" si="26"/>
        <v>26</v>
      </c>
      <c r="J136" s="3">
        <f t="shared" si="27"/>
        <v>25</v>
      </c>
      <c r="K136" s="3" t="str">
        <f t="shared" si="28"/>
        <v>268080--69</v>
      </c>
      <c r="L136" s="3" t="str">
        <f t="shared" si="29"/>
        <v>268080--69</v>
      </c>
      <c r="M136" s="3">
        <f t="shared" si="30"/>
        <v>40511</v>
      </c>
      <c r="N136" s="3"/>
      <c r="O136" s="3"/>
      <c r="P136" s="3"/>
      <c r="Q136" s="3"/>
      <c r="R136" s="3"/>
      <c r="S136" s="3"/>
      <c r="T136" s="3" t="s">
        <v>407</v>
      </c>
      <c r="U136" s="3" t="s">
        <v>536</v>
      </c>
      <c r="V136" s="3" t="str">
        <f t="shared" si="31"/>
        <v>40511</v>
      </c>
      <c r="W136" s="3"/>
      <c r="X136" s="1" t="str">
        <f t="shared" si="32"/>
        <v>Kentucky</v>
      </c>
    </row>
    <row r="137" spans="1:24" ht="20.100000000000001" customHeight="1" x14ac:dyDescent="0.25">
      <c r="A137" s="3" t="s">
        <v>157</v>
      </c>
      <c r="B137" s="3">
        <v>556429</v>
      </c>
      <c r="C137" s="3">
        <v>26</v>
      </c>
      <c r="D137" s="3" t="str">
        <f t="shared" si="22"/>
        <v>louisville, kentucky  40231</v>
      </c>
      <c r="E137" s="3" t="str">
        <f t="shared" si="23"/>
        <v>LOUISVILLE, KENTUCKY  40231</v>
      </c>
      <c r="F137" s="3" t="str">
        <f t="shared" si="24"/>
        <v>Louisville, Kentucky  40231</v>
      </c>
      <c r="G137" s="3"/>
      <c r="H137" s="3" t="str">
        <f t="shared" si="25"/>
        <v>40231</v>
      </c>
      <c r="I137" s="3">
        <f t="shared" si="26"/>
        <v>27</v>
      </c>
      <c r="J137" s="3">
        <f t="shared" si="27"/>
        <v>26</v>
      </c>
      <c r="K137" s="3" t="str">
        <f t="shared" si="28"/>
        <v>556429--26</v>
      </c>
      <c r="L137" s="3" t="str">
        <f t="shared" si="29"/>
        <v>556429--26</v>
      </c>
      <c r="M137" s="3">
        <f t="shared" si="30"/>
        <v>40231</v>
      </c>
      <c r="N137" s="3"/>
      <c r="O137" s="3"/>
      <c r="P137" s="3"/>
      <c r="Q137" s="3"/>
      <c r="R137" s="3"/>
      <c r="S137" s="3"/>
      <c r="T137" s="3" t="s">
        <v>408</v>
      </c>
      <c r="U137" s="3" t="s">
        <v>536</v>
      </c>
      <c r="V137" s="3" t="str">
        <f t="shared" si="31"/>
        <v>40231</v>
      </c>
      <c r="W137" s="3"/>
      <c r="X137" s="1" t="str">
        <f t="shared" si="32"/>
        <v>Kentucky</v>
      </c>
    </row>
    <row r="138" spans="1:24" ht="20.100000000000001" customHeight="1" x14ac:dyDescent="0.25">
      <c r="A138" s="3" t="s">
        <v>158</v>
      </c>
      <c r="B138" s="3">
        <v>222064</v>
      </c>
      <c r="C138" s="3">
        <v>82</v>
      </c>
      <c r="D138" s="3" t="str">
        <f t="shared" si="22"/>
        <v>baton rouge, louisiana  70826</v>
      </c>
      <c r="E138" s="3" t="str">
        <f t="shared" si="23"/>
        <v>BATON ROUGE, LOUISIANA  70826</v>
      </c>
      <c r="F138" s="3" t="str">
        <f t="shared" si="24"/>
        <v>Baton Rouge, Louisiana  70826</v>
      </c>
      <c r="G138" s="3"/>
      <c r="H138" s="3" t="str">
        <f t="shared" si="25"/>
        <v>70826</v>
      </c>
      <c r="I138" s="3">
        <f t="shared" si="26"/>
        <v>29</v>
      </c>
      <c r="J138" s="3">
        <f t="shared" si="27"/>
        <v>28</v>
      </c>
      <c r="K138" s="3" t="str">
        <f t="shared" si="28"/>
        <v>222064--82</v>
      </c>
      <c r="L138" s="3" t="str">
        <f t="shared" si="29"/>
        <v>222064--82</v>
      </c>
      <c r="M138" s="3">
        <f t="shared" si="30"/>
        <v>70826</v>
      </c>
      <c r="N138" s="3"/>
      <c r="O138" s="3"/>
      <c r="P138" s="3"/>
      <c r="Q138" s="3"/>
      <c r="R138" s="3"/>
      <c r="S138" s="3"/>
      <c r="T138" s="3" t="s">
        <v>409</v>
      </c>
      <c r="U138" s="3" t="s">
        <v>537</v>
      </c>
      <c r="V138" s="3" t="str">
        <f t="shared" si="31"/>
        <v>70826</v>
      </c>
      <c r="W138" s="3"/>
      <c r="X138" s="1" t="str">
        <f t="shared" si="32"/>
        <v>Louisiana</v>
      </c>
    </row>
    <row r="139" spans="1:24" ht="20.100000000000001" customHeight="1" x14ac:dyDescent="0.25">
      <c r="A139" s="3" t="s">
        <v>159</v>
      </c>
      <c r="B139" s="3">
        <v>112030</v>
      </c>
      <c r="C139" s="3">
        <v>213</v>
      </c>
      <c r="D139" s="3" t="str">
        <f t="shared" si="22"/>
        <v>lafayette, louisiana  70509</v>
      </c>
      <c r="E139" s="3" t="str">
        <f t="shared" si="23"/>
        <v>LAFAYETTE, LOUISIANA  70509</v>
      </c>
      <c r="F139" s="3" t="str">
        <f t="shared" si="24"/>
        <v>Lafayette, Louisiana  70509</v>
      </c>
      <c r="G139" s="3"/>
      <c r="H139" s="3" t="str">
        <f t="shared" si="25"/>
        <v>70509</v>
      </c>
      <c r="I139" s="3">
        <f t="shared" si="26"/>
        <v>27</v>
      </c>
      <c r="J139" s="3">
        <f t="shared" si="27"/>
        <v>26</v>
      </c>
      <c r="K139" s="3" t="str">
        <f t="shared" si="28"/>
        <v>112030--213</v>
      </c>
      <c r="L139" s="3" t="str">
        <f t="shared" si="29"/>
        <v>112030--213</v>
      </c>
      <c r="M139" s="3">
        <f t="shared" si="30"/>
        <v>70509</v>
      </c>
      <c r="N139" s="3"/>
      <c r="O139" s="3"/>
      <c r="P139" s="3"/>
      <c r="Q139" s="3"/>
      <c r="R139" s="3"/>
      <c r="S139" s="3"/>
      <c r="T139" s="3" t="s">
        <v>410</v>
      </c>
      <c r="U139" s="3" t="s">
        <v>537</v>
      </c>
      <c r="V139" s="3" t="str">
        <f t="shared" si="31"/>
        <v>70509</v>
      </c>
      <c r="W139" s="3"/>
      <c r="X139" s="1" t="str">
        <f t="shared" si="32"/>
        <v>Louisiana</v>
      </c>
    </row>
    <row r="140" spans="1:24" ht="20.100000000000001" customHeight="1" x14ac:dyDescent="0.25">
      <c r="A140" s="3" t="s">
        <v>160</v>
      </c>
      <c r="B140" s="3">
        <v>454863</v>
      </c>
      <c r="C140" s="3">
        <v>38</v>
      </c>
      <c r="D140" s="3" t="str">
        <f t="shared" si="22"/>
        <v>new orleans, louisiana  70113</v>
      </c>
      <c r="E140" s="3" t="str">
        <f t="shared" si="23"/>
        <v>NEW ORLEANS, LOUISIANA  70113</v>
      </c>
      <c r="F140" s="3" t="str">
        <f t="shared" si="24"/>
        <v>New Orleans, Louisiana  70113</v>
      </c>
      <c r="G140" s="3"/>
      <c r="H140" s="3" t="str">
        <f t="shared" si="25"/>
        <v>70113</v>
      </c>
      <c r="I140" s="3">
        <f t="shared" si="26"/>
        <v>29</v>
      </c>
      <c r="J140" s="3">
        <f t="shared" si="27"/>
        <v>28</v>
      </c>
      <c r="K140" s="3" t="str">
        <f t="shared" si="28"/>
        <v>454863--38</v>
      </c>
      <c r="L140" s="3" t="str">
        <f t="shared" si="29"/>
        <v>454863--38</v>
      </c>
      <c r="M140" s="3">
        <f t="shared" si="30"/>
        <v>70113</v>
      </c>
      <c r="N140" s="3"/>
      <c r="O140" s="3"/>
      <c r="P140" s="3"/>
      <c r="Q140" s="3"/>
      <c r="R140" s="3"/>
      <c r="S140" s="3"/>
      <c r="T140" s="3" t="s">
        <v>411</v>
      </c>
      <c r="U140" s="3" t="s">
        <v>537</v>
      </c>
      <c r="V140" s="3" t="str">
        <f t="shared" si="31"/>
        <v>70113</v>
      </c>
      <c r="W140" s="3"/>
      <c r="X140" s="1" t="str">
        <f t="shared" si="32"/>
        <v>Louisiana</v>
      </c>
    </row>
    <row r="141" spans="1:24" ht="20.100000000000001" customHeight="1" x14ac:dyDescent="0.25">
      <c r="A141" s="3" t="s">
        <v>161</v>
      </c>
      <c r="B141" s="3">
        <v>198874</v>
      </c>
      <c r="C141" s="3">
        <v>99</v>
      </c>
      <c r="D141" s="3" t="str">
        <f t="shared" si="22"/>
        <v>shreveport, louisiana  71102</v>
      </c>
      <c r="E141" s="3" t="str">
        <f t="shared" si="23"/>
        <v>SHREVEPORT, LOUISIANA  71102</v>
      </c>
      <c r="F141" s="3" t="str">
        <f t="shared" si="24"/>
        <v>Shreveport, Louisiana  71102</v>
      </c>
      <c r="G141" s="3"/>
      <c r="H141" s="3" t="str">
        <f t="shared" si="25"/>
        <v>71102</v>
      </c>
      <c r="I141" s="3">
        <f t="shared" si="26"/>
        <v>28</v>
      </c>
      <c r="J141" s="3">
        <f t="shared" si="27"/>
        <v>27</v>
      </c>
      <c r="K141" s="3" t="str">
        <f t="shared" si="28"/>
        <v>198874--99</v>
      </c>
      <c r="L141" s="3" t="str">
        <f t="shared" si="29"/>
        <v>198874--99</v>
      </c>
      <c r="M141" s="3">
        <f t="shared" si="30"/>
        <v>71102</v>
      </c>
      <c r="N141" s="3"/>
      <c r="O141" s="3"/>
      <c r="P141" s="3"/>
      <c r="Q141" s="3"/>
      <c r="R141" s="3"/>
      <c r="S141" s="3"/>
      <c r="T141" s="3" t="s">
        <v>412</v>
      </c>
      <c r="U141" s="3" t="s">
        <v>537</v>
      </c>
      <c r="V141" s="3" t="str">
        <f t="shared" si="31"/>
        <v>71102</v>
      </c>
      <c r="W141" s="3"/>
      <c r="X141" s="1" t="str">
        <f t="shared" si="32"/>
        <v>Louisiana</v>
      </c>
    </row>
    <row r="142" spans="1:24" ht="20.100000000000001" customHeight="1" x14ac:dyDescent="0.25">
      <c r="A142" s="3" t="s">
        <v>162</v>
      </c>
      <c r="B142" s="3">
        <v>635815</v>
      </c>
      <c r="C142" s="3">
        <v>18</v>
      </c>
      <c r="D142" s="3" t="str">
        <f t="shared" si="22"/>
        <v>baltimore, maryland  21202</v>
      </c>
      <c r="E142" s="3" t="str">
        <f t="shared" si="23"/>
        <v>BALTIMORE, MARYLAND  21202</v>
      </c>
      <c r="F142" s="3" t="str">
        <f t="shared" si="24"/>
        <v>Baltimore, Maryland  21202</v>
      </c>
      <c r="G142" s="3"/>
      <c r="H142" s="3" t="str">
        <f t="shared" si="25"/>
        <v>21202</v>
      </c>
      <c r="I142" s="3">
        <f t="shared" si="26"/>
        <v>26</v>
      </c>
      <c r="J142" s="3">
        <f t="shared" si="27"/>
        <v>25</v>
      </c>
      <c r="K142" s="3" t="str">
        <f t="shared" si="28"/>
        <v>635815--18</v>
      </c>
      <c r="L142" s="3" t="str">
        <f t="shared" si="29"/>
        <v>635815--18</v>
      </c>
      <c r="M142" s="3">
        <f t="shared" si="30"/>
        <v>21202</v>
      </c>
      <c r="N142" s="3"/>
      <c r="O142" s="3"/>
      <c r="P142" s="3"/>
      <c r="Q142" s="3"/>
      <c r="R142" s="3"/>
      <c r="S142" s="3"/>
      <c r="T142" s="3" t="s">
        <v>413</v>
      </c>
      <c r="U142" s="3" t="s">
        <v>538</v>
      </c>
      <c r="V142" s="3" t="str">
        <f t="shared" si="31"/>
        <v>21202</v>
      </c>
      <c r="W142" s="3"/>
      <c r="X142" s="1" t="str">
        <f t="shared" si="32"/>
        <v>Maryland</v>
      </c>
    </row>
    <row r="143" spans="1:24" ht="20.100000000000001" customHeight="1" x14ac:dyDescent="0.25">
      <c r="A143" s="3" t="s">
        <v>163</v>
      </c>
      <c r="B143" s="3">
        <v>559034</v>
      </c>
      <c r="C143" s="3">
        <v>24</v>
      </c>
      <c r="D143" s="3" t="str">
        <f t="shared" si="22"/>
        <v>boston, massachusetts  02205</v>
      </c>
      <c r="E143" s="3" t="str">
        <f t="shared" si="23"/>
        <v>BOSTON, MASSACHUSETTS  02205</v>
      </c>
      <c r="F143" s="3" t="str">
        <f t="shared" si="24"/>
        <v>Boston, Massachusetts  02205</v>
      </c>
      <c r="G143" s="3"/>
      <c r="H143" s="3" t="str">
        <f t="shared" si="25"/>
        <v>02205</v>
      </c>
      <c r="I143" s="3">
        <f t="shared" si="26"/>
        <v>28</v>
      </c>
      <c r="J143" s="3">
        <f t="shared" si="27"/>
        <v>27</v>
      </c>
      <c r="K143" s="3" t="str">
        <f t="shared" si="28"/>
        <v>559034--24</v>
      </c>
      <c r="L143" s="3" t="str">
        <f t="shared" si="29"/>
        <v>559034--24</v>
      </c>
      <c r="M143" s="3">
        <f t="shared" si="30"/>
        <v>2205</v>
      </c>
      <c r="N143" s="3"/>
      <c r="O143" s="3"/>
      <c r="P143" s="3"/>
      <c r="Q143" s="3"/>
      <c r="R143" s="3"/>
      <c r="S143" s="3"/>
      <c r="T143" s="3" t="s">
        <v>414</v>
      </c>
      <c r="U143" s="3" t="s">
        <v>539</v>
      </c>
      <c r="V143" s="3" t="str">
        <f t="shared" si="31"/>
        <v>02205</v>
      </c>
      <c r="W143" s="3"/>
      <c r="X143" s="1" t="str">
        <f t="shared" si="32"/>
        <v>Massachusetts</v>
      </c>
    </row>
    <row r="144" spans="1:24" ht="20.100000000000001" customHeight="1" x14ac:dyDescent="0.25">
      <c r="A144" s="3" t="s">
        <v>164</v>
      </c>
      <c r="B144" s="3">
        <v>100135</v>
      </c>
      <c r="C144" s="3">
        <v>253</v>
      </c>
      <c r="D144" s="3" t="str">
        <f t="shared" si="22"/>
        <v>cambridge, massachusetts  02139</v>
      </c>
      <c r="E144" s="3" t="str">
        <f t="shared" si="23"/>
        <v>CAMBRIDGE, MASSACHUSETTS  02139</v>
      </c>
      <c r="F144" s="3" t="str">
        <f t="shared" si="24"/>
        <v>Cambridge, Massachusetts  02139</v>
      </c>
      <c r="G144" s="3"/>
      <c r="H144" s="3" t="str">
        <f t="shared" si="25"/>
        <v>02139</v>
      </c>
      <c r="I144" s="3">
        <f t="shared" si="26"/>
        <v>31</v>
      </c>
      <c r="J144" s="3">
        <f t="shared" si="27"/>
        <v>30</v>
      </c>
      <c r="K144" s="3" t="str">
        <f t="shared" si="28"/>
        <v>100135--253</v>
      </c>
      <c r="L144" s="3" t="str">
        <f t="shared" si="29"/>
        <v>100135--253</v>
      </c>
      <c r="M144" s="3">
        <f t="shared" si="30"/>
        <v>2139</v>
      </c>
      <c r="N144" s="3"/>
      <c r="O144" s="3"/>
      <c r="P144" s="3"/>
      <c r="Q144" s="3"/>
      <c r="R144" s="3"/>
      <c r="S144" s="3"/>
      <c r="T144" s="3" t="s">
        <v>415</v>
      </c>
      <c r="U144" s="3" t="s">
        <v>539</v>
      </c>
      <c r="V144" s="3" t="str">
        <f t="shared" si="31"/>
        <v>02139</v>
      </c>
      <c r="W144" s="3"/>
      <c r="X144" s="1" t="str">
        <f t="shared" si="32"/>
        <v>Massachusetts</v>
      </c>
    </row>
    <row r="145" spans="1:24" ht="20.100000000000001" customHeight="1" x14ac:dyDescent="0.25">
      <c r="A145" s="3" t="s">
        <v>165</v>
      </c>
      <c r="B145" s="3">
        <v>103111</v>
      </c>
      <c r="C145" s="3">
        <v>243</v>
      </c>
      <c r="D145" s="3" t="str">
        <f t="shared" si="22"/>
        <v>lowell, massachusetts  01853</v>
      </c>
      <c r="E145" s="3" t="str">
        <f t="shared" si="23"/>
        <v>LOWELL, MASSACHUSETTS  01853</v>
      </c>
      <c r="F145" s="3" t="str">
        <f t="shared" si="24"/>
        <v>Lowell, Massachusetts  01853</v>
      </c>
      <c r="G145" s="3"/>
      <c r="H145" s="3" t="str">
        <f t="shared" si="25"/>
        <v>01853</v>
      </c>
      <c r="I145" s="3">
        <f t="shared" si="26"/>
        <v>28</v>
      </c>
      <c r="J145" s="3">
        <f t="shared" si="27"/>
        <v>27</v>
      </c>
      <c r="K145" s="3" t="str">
        <f t="shared" si="28"/>
        <v>103111--243</v>
      </c>
      <c r="L145" s="3" t="str">
        <f t="shared" si="29"/>
        <v>103111--243</v>
      </c>
      <c r="M145" s="3">
        <f t="shared" si="30"/>
        <v>1853</v>
      </c>
      <c r="N145" s="3"/>
      <c r="O145" s="3"/>
      <c r="P145" s="3"/>
      <c r="Q145" s="3"/>
      <c r="R145" s="3"/>
      <c r="S145" s="3"/>
      <c r="T145" s="3" t="s">
        <v>416</v>
      </c>
      <c r="U145" s="3" t="s">
        <v>539</v>
      </c>
      <c r="V145" s="3" t="str">
        <f t="shared" si="31"/>
        <v>01853</v>
      </c>
      <c r="W145" s="3"/>
      <c r="X145" s="1" t="str">
        <f t="shared" si="32"/>
        <v>Massachusetts</v>
      </c>
    </row>
    <row r="146" spans="1:24" ht="20.100000000000001" customHeight="1" x14ac:dyDescent="0.25">
      <c r="A146" s="3" t="s">
        <v>166</v>
      </c>
      <c r="B146" s="3">
        <v>151732</v>
      </c>
      <c r="C146" s="3">
        <v>147</v>
      </c>
      <c r="D146" s="3" t="str">
        <f t="shared" si="22"/>
        <v>springfield, massachusetts  01101</v>
      </c>
      <c r="E146" s="3" t="str">
        <f t="shared" si="23"/>
        <v>SPRINGFIELD, MASSACHUSETTS  01101</v>
      </c>
      <c r="F146" s="3" t="str">
        <f t="shared" si="24"/>
        <v>Springfield, Massachusetts  01101</v>
      </c>
      <c r="G146" s="3"/>
      <c r="H146" s="3" t="str">
        <f t="shared" si="25"/>
        <v>01101</v>
      </c>
      <c r="I146" s="3">
        <f t="shared" si="26"/>
        <v>33</v>
      </c>
      <c r="J146" s="3">
        <f t="shared" si="27"/>
        <v>32</v>
      </c>
      <c r="K146" s="3" t="str">
        <f t="shared" si="28"/>
        <v>151732--147</v>
      </c>
      <c r="L146" s="3" t="str">
        <f t="shared" si="29"/>
        <v>151732--147</v>
      </c>
      <c r="M146" s="3">
        <f t="shared" si="30"/>
        <v>1101</v>
      </c>
      <c r="N146" s="3"/>
      <c r="O146" s="3"/>
      <c r="P146" s="3"/>
      <c r="Q146" s="3"/>
      <c r="R146" s="3"/>
      <c r="S146" s="3"/>
      <c r="T146" s="3" t="s">
        <v>395</v>
      </c>
      <c r="U146" s="3" t="s">
        <v>539</v>
      </c>
      <c r="V146" s="3" t="str">
        <f t="shared" si="31"/>
        <v>01101</v>
      </c>
      <c r="W146" s="3"/>
      <c r="X146" s="1" t="str">
        <f t="shared" si="32"/>
        <v>Massachusetts</v>
      </c>
    </row>
    <row r="147" spans="1:24" ht="20.100000000000001" customHeight="1" x14ac:dyDescent="0.25">
      <c r="A147" s="3" t="s">
        <v>167</v>
      </c>
      <c r="B147" s="3">
        <v>175898</v>
      </c>
      <c r="C147" s="3">
        <v>126</v>
      </c>
      <c r="D147" s="3" t="str">
        <f t="shared" si="22"/>
        <v>worcester, massachusetts  01613</v>
      </c>
      <c r="E147" s="3" t="str">
        <f t="shared" si="23"/>
        <v>WORCESTER, MASSACHUSETTS  01613</v>
      </c>
      <c r="F147" s="3" t="str">
        <f t="shared" si="24"/>
        <v>Worcester, Massachusetts  01613</v>
      </c>
      <c r="G147" s="3"/>
      <c r="H147" s="3" t="str">
        <f t="shared" si="25"/>
        <v>01613</v>
      </c>
      <c r="I147" s="3">
        <f t="shared" si="26"/>
        <v>31</v>
      </c>
      <c r="J147" s="3">
        <f t="shared" si="27"/>
        <v>30</v>
      </c>
      <c r="K147" s="3" t="str">
        <f t="shared" si="28"/>
        <v>175898--126</v>
      </c>
      <c r="L147" s="3" t="str">
        <f t="shared" si="29"/>
        <v>175898--126</v>
      </c>
      <c r="M147" s="3">
        <f t="shared" si="30"/>
        <v>1613</v>
      </c>
      <c r="N147" s="3"/>
      <c r="O147" s="3"/>
      <c r="P147" s="3"/>
      <c r="Q147" s="3"/>
      <c r="R147" s="3"/>
      <c r="S147" s="3"/>
      <c r="T147" s="3" t="s">
        <v>417</v>
      </c>
      <c r="U147" s="3" t="s">
        <v>539</v>
      </c>
      <c r="V147" s="3" t="str">
        <f t="shared" si="31"/>
        <v>01613</v>
      </c>
      <c r="W147" s="3"/>
      <c r="X147" s="1" t="str">
        <f t="shared" si="32"/>
        <v>Massachusetts</v>
      </c>
    </row>
    <row r="148" spans="1:24" ht="20.100000000000001" customHeight="1" x14ac:dyDescent="0.25">
      <c r="A148" s="3" t="s">
        <v>168</v>
      </c>
      <c r="B148" s="3">
        <v>113271</v>
      </c>
      <c r="C148" s="3">
        <v>209</v>
      </c>
      <c r="D148" s="3" t="str">
        <f t="shared" si="22"/>
        <v>ann arbor, michigan  48104</v>
      </c>
      <c r="E148" s="3" t="str">
        <f t="shared" si="23"/>
        <v>ANN ARBOR, MICHIGAN  48104</v>
      </c>
      <c r="F148" s="3" t="str">
        <f t="shared" si="24"/>
        <v>Ann Arbor, Michigan  48104</v>
      </c>
      <c r="G148" s="3"/>
      <c r="H148" s="3" t="str">
        <f t="shared" si="25"/>
        <v>48104</v>
      </c>
      <c r="I148" s="3">
        <f t="shared" si="26"/>
        <v>26</v>
      </c>
      <c r="J148" s="3">
        <f t="shared" si="27"/>
        <v>25</v>
      </c>
      <c r="K148" s="3" t="str">
        <f t="shared" si="28"/>
        <v>113271--209</v>
      </c>
      <c r="L148" s="3" t="str">
        <f t="shared" si="29"/>
        <v>113271--209</v>
      </c>
      <c r="M148" s="3">
        <f t="shared" si="30"/>
        <v>48104</v>
      </c>
      <c r="N148" s="3"/>
      <c r="O148" s="3"/>
      <c r="P148" s="3"/>
      <c r="Q148" s="3"/>
      <c r="R148" s="3"/>
      <c r="S148" s="3"/>
      <c r="T148" s="3" t="s">
        <v>418</v>
      </c>
      <c r="U148" s="3" t="s">
        <v>540</v>
      </c>
      <c r="V148" s="3" t="str">
        <f t="shared" si="31"/>
        <v>48104</v>
      </c>
      <c r="W148" s="3"/>
      <c r="X148" s="1" t="str">
        <f t="shared" si="32"/>
        <v>Michigan</v>
      </c>
    </row>
    <row r="149" spans="1:24" ht="20.100000000000001" customHeight="1" x14ac:dyDescent="0.25">
      <c r="A149" s="3" t="s">
        <v>169</v>
      </c>
      <c r="B149" s="3">
        <v>886671</v>
      </c>
      <c r="C149" s="3">
        <v>11</v>
      </c>
      <c r="D149" s="3" t="str">
        <f t="shared" si="22"/>
        <v>detroit, michigan  48233</v>
      </c>
      <c r="E149" s="3" t="str">
        <f t="shared" si="23"/>
        <v>DETROIT, MICHIGAN  48233</v>
      </c>
      <c r="F149" s="3" t="str">
        <f t="shared" si="24"/>
        <v>Detroit, Michigan  48233</v>
      </c>
      <c r="G149" s="3"/>
      <c r="H149" s="3" t="str">
        <f t="shared" si="25"/>
        <v>48233</v>
      </c>
      <c r="I149" s="3">
        <f t="shared" si="26"/>
        <v>24</v>
      </c>
      <c r="J149" s="3">
        <f t="shared" si="27"/>
        <v>23</v>
      </c>
      <c r="K149" s="3" t="str">
        <f t="shared" si="28"/>
        <v>886671--11</v>
      </c>
      <c r="L149" s="3" t="str">
        <f t="shared" si="29"/>
        <v>886671--11</v>
      </c>
      <c r="M149" s="3">
        <f t="shared" si="30"/>
        <v>48233</v>
      </c>
      <c r="N149" s="3"/>
      <c r="O149" s="3"/>
      <c r="P149" s="3"/>
      <c r="Q149" s="3"/>
      <c r="R149" s="3"/>
      <c r="S149" s="3"/>
      <c r="T149" s="3" t="s">
        <v>419</v>
      </c>
      <c r="U149" s="3" t="s">
        <v>540</v>
      </c>
      <c r="V149" s="3" t="str">
        <f t="shared" si="31"/>
        <v>48233</v>
      </c>
      <c r="W149" s="3"/>
      <c r="X149" s="1" t="str">
        <f t="shared" si="32"/>
        <v>Michigan</v>
      </c>
    </row>
    <row r="150" spans="1:24" ht="20.100000000000001" customHeight="1" x14ac:dyDescent="0.25">
      <c r="A150" s="3" t="s">
        <v>170</v>
      </c>
      <c r="B150" s="3">
        <v>118551</v>
      </c>
      <c r="C150" s="3">
        <v>199</v>
      </c>
      <c r="D150" s="3" t="str">
        <f t="shared" si="22"/>
        <v>flint, michigan  48502</v>
      </c>
      <c r="E150" s="3" t="str">
        <f t="shared" si="23"/>
        <v>FLINT, MICHIGAN  48502</v>
      </c>
      <c r="F150" s="3" t="str">
        <f t="shared" si="24"/>
        <v>Flint, Michigan  48502</v>
      </c>
      <c r="G150" s="3"/>
      <c r="H150" s="3" t="str">
        <f t="shared" si="25"/>
        <v>48502</v>
      </c>
      <c r="I150" s="3">
        <f t="shared" si="26"/>
        <v>22</v>
      </c>
      <c r="J150" s="3">
        <f t="shared" si="27"/>
        <v>21</v>
      </c>
      <c r="K150" s="3" t="str">
        <f t="shared" si="28"/>
        <v>118551--199</v>
      </c>
      <c r="L150" s="3" t="str">
        <f t="shared" si="29"/>
        <v>118551--199</v>
      </c>
      <c r="M150" s="3">
        <f t="shared" si="30"/>
        <v>48502</v>
      </c>
      <c r="N150" s="3"/>
      <c r="O150" s="3"/>
      <c r="P150" s="3"/>
      <c r="Q150" s="3"/>
      <c r="R150" s="3"/>
      <c r="S150" s="3"/>
      <c r="T150" s="3" t="s">
        <v>420</v>
      </c>
      <c r="U150" s="3" t="s">
        <v>540</v>
      </c>
      <c r="V150" s="3" t="str">
        <f t="shared" si="31"/>
        <v>48502</v>
      </c>
      <c r="W150" s="3"/>
      <c r="X150" s="1" t="str">
        <f t="shared" si="32"/>
        <v>Michigan</v>
      </c>
    </row>
    <row r="151" spans="1:24" ht="20.100000000000001" customHeight="1" x14ac:dyDescent="0.25">
      <c r="A151" s="3" t="s">
        <v>171</v>
      </c>
      <c r="B151" s="3">
        <v>193780</v>
      </c>
      <c r="C151" s="3">
        <v>107</v>
      </c>
      <c r="D151" s="3" t="str">
        <f t="shared" si="22"/>
        <v>grand rapids, michigan  49501</v>
      </c>
      <c r="E151" s="3" t="str">
        <f t="shared" si="23"/>
        <v>GRAND RAPIDS, MICHIGAN  49501</v>
      </c>
      <c r="F151" s="3" t="str">
        <f t="shared" si="24"/>
        <v>Grand Rapids, Michigan  49501</v>
      </c>
      <c r="G151" s="3"/>
      <c r="H151" s="3" t="str">
        <f t="shared" si="25"/>
        <v>49501</v>
      </c>
      <c r="I151" s="3">
        <f t="shared" si="26"/>
        <v>29</v>
      </c>
      <c r="J151" s="3">
        <f t="shared" si="27"/>
        <v>28</v>
      </c>
      <c r="K151" s="3" t="str">
        <f t="shared" si="28"/>
        <v>193780--107</v>
      </c>
      <c r="L151" s="3" t="str">
        <f t="shared" si="29"/>
        <v>193780--107</v>
      </c>
      <c r="M151" s="3">
        <f t="shared" si="30"/>
        <v>49501</v>
      </c>
      <c r="N151" s="3"/>
      <c r="O151" s="3"/>
      <c r="P151" s="3"/>
      <c r="Q151" s="3"/>
      <c r="R151" s="3"/>
      <c r="S151" s="3"/>
      <c r="T151" s="3" t="s">
        <v>421</v>
      </c>
      <c r="U151" s="3" t="s">
        <v>540</v>
      </c>
      <c r="V151" s="3" t="str">
        <f t="shared" si="31"/>
        <v>49501</v>
      </c>
      <c r="W151" s="3"/>
      <c r="X151" s="1" t="str">
        <f t="shared" si="32"/>
        <v>Michigan</v>
      </c>
    </row>
    <row r="152" spans="1:24" ht="20.100000000000001" customHeight="1" x14ac:dyDescent="0.25">
      <c r="A152" s="3" t="s">
        <v>172</v>
      </c>
      <c r="B152" s="3">
        <v>115518</v>
      </c>
      <c r="C152" s="3">
        <v>205</v>
      </c>
      <c r="D152" s="3" t="str">
        <f t="shared" si="22"/>
        <v>lansing, michigan  48924</v>
      </c>
      <c r="E152" s="3" t="str">
        <f t="shared" si="23"/>
        <v>LANSING, MICHIGAN  48924</v>
      </c>
      <c r="F152" s="3" t="str">
        <f t="shared" si="24"/>
        <v>Lansing, Michigan  48924</v>
      </c>
      <c r="G152" s="3"/>
      <c r="H152" s="3" t="str">
        <f t="shared" si="25"/>
        <v>48924</v>
      </c>
      <c r="I152" s="3">
        <f t="shared" si="26"/>
        <v>24</v>
      </c>
      <c r="J152" s="3">
        <f t="shared" si="27"/>
        <v>23</v>
      </c>
      <c r="K152" s="3" t="str">
        <f t="shared" si="28"/>
        <v>115518--205</v>
      </c>
      <c r="L152" s="3" t="str">
        <f t="shared" si="29"/>
        <v>115518--205</v>
      </c>
      <c r="M152" s="3">
        <f t="shared" si="30"/>
        <v>48924</v>
      </c>
      <c r="N152" s="3"/>
      <c r="O152" s="3"/>
      <c r="P152" s="3"/>
      <c r="Q152" s="3"/>
      <c r="R152" s="3"/>
      <c r="S152" s="3"/>
      <c r="T152" s="3" t="s">
        <v>422</v>
      </c>
      <c r="U152" s="3" t="s">
        <v>540</v>
      </c>
      <c r="V152" s="3" t="str">
        <f t="shared" si="31"/>
        <v>48924</v>
      </c>
      <c r="W152" s="3"/>
      <c r="X152" s="1" t="str">
        <f t="shared" si="32"/>
        <v>Michigan</v>
      </c>
    </row>
    <row r="153" spans="1:24" ht="20.100000000000001" customHeight="1" x14ac:dyDescent="0.25">
      <c r="A153" s="3" t="s">
        <v>173</v>
      </c>
      <c r="B153" s="3">
        <v>128034</v>
      </c>
      <c r="C153" s="3">
        <v>184</v>
      </c>
      <c r="D153" s="3" t="str">
        <f t="shared" si="22"/>
        <v>sterling heights, michigan  48311</v>
      </c>
      <c r="E153" s="3" t="str">
        <f t="shared" si="23"/>
        <v>STERLING HEIGHTS, MICHIGAN  48311</v>
      </c>
      <c r="F153" s="3" t="str">
        <f t="shared" si="24"/>
        <v>Sterling Heights, Michigan  48311</v>
      </c>
      <c r="G153" s="3"/>
      <c r="H153" s="3" t="str">
        <f t="shared" si="25"/>
        <v>48311</v>
      </c>
      <c r="I153" s="3">
        <f t="shared" si="26"/>
        <v>33</v>
      </c>
      <c r="J153" s="3">
        <f t="shared" si="27"/>
        <v>32</v>
      </c>
      <c r="K153" s="3" t="str">
        <f t="shared" si="28"/>
        <v>128034--184</v>
      </c>
      <c r="L153" s="3" t="str">
        <f t="shared" si="29"/>
        <v>128034--184</v>
      </c>
      <c r="M153" s="3">
        <f t="shared" si="30"/>
        <v>48311</v>
      </c>
      <c r="N153" s="3"/>
      <c r="O153" s="3"/>
      <c r="P153" s="3"/>
      <c r="Q153" s="3"/>
      <c r="R153" s="3"/>
      <c r="S153" s="3"/>
      <c r="T153" s="3" t="s">
        <v>423</v>
      </c>
      <c r="U153" s="3" t="s">
        <v>540</v>
      </c>
      <c r="V153" s="3" t="str">
        <f t="shared" si="31"/>
        <v>48311</v>
      </c>
      <c r="W153" s="3"/>
      <c r="X153" s="1" t="str">
        <f t="shared" si="32"/>
        <v>Michigan</v>
      </c>
    </row>
    <row r="154" spans="1:24" ht="20.100000000000001" customHeight="1" x14ac:dyDescent="0.25">
      <c r="A154" s="3" t="s">
        <v>174</v>
      </c>
      <c r="B154" s="3">
        <v>135311</v>
      </c>
      <c r="C154" s="3">
        <v>172</v>
      </c>
      <c r="D154" s="3" t="str">
        <f t="shared" si="22"/>
        <v>warren, michigan  48090</v>
      </c>
      <c r="E154" s="3" t="str">
        <f t="shared" si="23"/>
        <v>WARREN, MICHIGAN  48090</v>
      </c>
      <c r="F154" s="3" t="str">
        <f t="shared" si="24"/>
        <v>Warren, Michigan  48090</v>
      </c>
      <c r="G154" s="3"/>
      <c r="H154" s="3" t="str">
        <f t="shared" si="25"/>
        <v>48090</v>
      </c>
      <c r="I154" s="3">
        <f t="shared" si="26"/>
        <v>23</v>
      </c>
      <c r="J154" s="3">
        <f t="shared" si="27"/>
        <v>22</v>
      </c>
      <c r="K154" s="3" t="str">
        <f t="shared" si="28"/>
        <v>135311--172</v>
      </c>
      <c r="L154" s="3" t="str">
        <f t="shared" si="29"/>
        <v>135311--172</v>
      </c>
      <c r="M154" s="3">
        <f t="shared" si="30"/>
        <v>48090</v>
      </c>
      <c r="N154" s="3"/>
      <c r="O154" s="3"/>
      <c r="P154" s="3"/>
      <c r="Q154" s="3"/>
      <c r="R154" s="3"/>
      <c r="S154" s="3"/>
      <c r="T154" s="3" t="s">
        <v>424</v>
      </c>
      <c r="U154" s="3" t="s">
        <v>540</v>
      </c>
      <c r="V154" s="3" t="str">
        <f t="shared" si="31"/>
        <v>48090</v>
      </c>
      <c r="W154" s="3"/>
      <c r="X154" s="1" t="str">
        <f t="shared" si="32"/>
        <v>Michigan</v>
      </c>
    </row>
    <row r="155" spans="1:24" ht="20.100000000000001" customHeight="1" x14ac:dyDescent="0.25">
      <c r="A155" s="3" t="s">
        <v>175</v>
      </c>
      <c r="B155" s="3">
        <v>372811</v>
      </c>
      <c r="C155" s="3">
        <v>48</v>
      </c>
      <c r="D155" s="3" t="str">
        <f t="shared" si="22"/>
        <v>minneapolis, minnesota  55401</v>
      </c>
      <c r="E155" s="3" t="str">
        <f t="shared" si="23"/>
        <v>MINNEAPOLIS, MINNESOTA  55401</v>
      </c>
      <c r="F155" s="3" t="str">
        <f t="shared" si="24"/>
        <v>Minneapolis, Minnesota  55401</v>
      </c>
      <c r="G155" s="3"/>
      <c r="H155" s="3" t="str">
        <f t="shared" si="25"/>
        <v>55401</v>
      </c>
      <c r="I155" s="3">
        <f t="shared" si="26"/>
        <v>29</v>
      </c>
      <c r="J155" s="3">
        <f t="shared" si="27"/>
        <v>28</v>
      </c>
      <c r="K155" s="3" t="str">
        <f t="shared" si="28"/>
        <v>372811--48</v>
      </c>
      <c r="L155" s="3" t="str">
        <f t="shared" si="29"/>
        <v>372811--48</v>
      </c>
      <c r="M155" s="3">
        <f t="shared" si="30"/>
        <v>55401</v>
      </c>
      <c r="N155" s="3"/>
      <c r="O155" s="3"/>
      <c r="P155" s="3"/>
      <c r="Q155" s="3"/>
      <c r="R155" s="3"/>
      <c r="S155" s="3"/>
      <c r="T155" s="3" t="s">
        <v>425</v>
      </c>
      <c r="U155" s="3" t="s">
        <v>541</v>
      </c>
      <c r="V155" s="3" t="str">
        <f t="shared" si="31"/>
        <v>55401</v>
      </c>
      <c r="W155" s="3"/>
      <c r="X155" s="1" t="str">
        <f t="shared" si="32"/>
        <v>Minnesota</v>
      </c>
    </row>
    <row r="156" spans="1:24" ht="20.100000000000001" customHeight="1" x14ac:dyDescent="0.25">
      <c r="A156" s="3" t="s">
        <v>176</v>
      </c>
      <c r="B156" s="3">
        <v>275150</v>
      </c>
      <c r="C156" s="3">
        <v>67</v>
      </c>
      <c r="D156" s="3" t="str">
        <f t="shared" si="22"/>
        <v>st. paul, minnesota  55109</v>
      </c>
      <c r="E156" s="3" t="str">
        <f t="shared" si="23"/>
        <v>ST. PAUL, MINNESOTA  55109</v>
      </c>
      <c r="F156" s="3" t="str">
        <f t="shared" si="24"/>
        <v>St. Paul, Minnesota  55109</v>
      </c>
      <c r="G156" s="3"/>
      <c r="H156" s="3" t="str">
        <f t="shared" si="25"/>
        <v>55109</v>
      </c>
      <c r="I156" s="3">
        <f t="shared" si="26"/>
        <v>26</v>
      </c>
      <c r="J156" s="3">
        <f t="shared" si="27"/>
        <v>25</v>
      </c>
      <c r="K156" s="3" t="str">
        <f t="shared" si="28"/>
        <v>275150--67</v>
      </c>
      <c r="L156" s="3" t="str">
        <f t="shared" si="29"/>
        <v>275150--67</v>
      </c>
      <c r="M156" s="3">
        <f t="shared" si="30"/>
        <v>55109</v>
      </c>
      <c r="N156" s="3"/>
      <c r="O156" s="3"/>
      <c r="P156" s="3"/>
      <c r="Q156" s="3"/>
      <c r="R156" s="3"/>
      <c r="S156" s="3"/>
      <c r="T156" s="3" t="s">
        <v>426</v>
      </c>
      <c r="U156" s="3" t="s">
        <v>541</v>
      </c>
      <c r="V156" s="3" t="str">
        <f t="shared" si="31"/>
        <v>55109</v>
      </c>
      <c r="W156" s="3"/>
      <c r="X156" s="1" t="str">
        <f t="shared" si="32"/>
        <v>Minnesota</v>
      </c>
    </row>
    <row r="157" spans="1:24" ht="20.100000000000001" customHeight="1" x14ac:dyDescent="0.25">
      <c r="A157" s="3" t="s">
        <v>177</v>
      </c>
      <c r="B157" s="3">
        <v>177977</v>
      </c>
      <c r="C157" s="3">
        <v>123</v>
      </c>
      <c r="D157" s="3" t="str">
        <f t="shared" si="22"/>
        <v>jackson, mississippi  39205</v>
      </c>
      <c r="E157" s="3" t="str">
        <f t="shared" si="23"/>
        <v>JACKSON, MISSISSIPPI  39205</v>
      </c>
      <c r="F157" s="3" t="str">
        <f t="shared" si="24"/>
        <v>Jackson, Mississippi  39205</v>
      </c>
      <c r="G157" s="3"/>
      <c r="H157" s="3" t="str">
        <f t="shared" si="25"/>
        <v>39205</v>
      </c>
      <c r="I157" s="3">
        <f t="shared" si="26"/>
        <v>27</v>
      </c>
      <c r="J157" s="3">
        <f t="shared" si="27"/>
        <v>26</v>
      </c>
      <c r="K157" s="3" t="str">
        <f t="shared" si="28"/>
        <v>177977--123</v>
      </c>
      <c r="L157" s="3" t="str">
        <f t="shared" si="29"/>
        <v>177977--123</v>
      </c>
      <c r="M157" s="3">
        <f t="shared" si="30"/>
        <v>39205</v>
      </c>
      <c r="N157" s="3"/>
      <c r="O157" s="3"/>
      <c r="P157" s="3"/>
      <c r="Q157" s="3"/>
      <c r="R157" s="3"/>
      <c r="S157" s="3"/>
      <c r="T157" s="3" t="s">
        <v>427</v>
      </c>
      <c r="U157" s="3" t="s">
        <v>542</v>
      </c>
      <c r="V157" s="3" t="str">
        <f t="shared" si="31"/>
        <v>39205</v>
      </c>
      <c r="W157" s="3"/>
      <c r="X157" s="1" t="str">
        <f t="shared" si="32"/>
        <v>Mississippi</v>
      </c>
    </row>
    <row r="158" spans="1:24" ht="20.100000000000001" customHeight="1" x14ac:dyDescent="0.25">
      <c r="A158" s="3" t="s">
        <v>178</v>
      </c>
      <c r="B158" s="3">
        <v>110208</v>
      </c>
      <c r="C158" s="3">
        <v>216</v>
      </c>
      <c r="D158" s="3" t="str">
        <f t="shared" si="22"/>
        <v>independence, missouri  64052</v>
      </c>
      <c r="E158" s="3" t="str">
        <f t="shared" si="23"/>
        <v>INDEPENDENCE, MISSOURI  64052</v>
      </c>
      <c r="F158" s="3" t="str">
        <f t="shared" si="24"/>
        <v>Independence, Missouri  64052</v>
      </c>
      <c r="G158" s="3"/>
      <c r="H158" s="3" t="str">
        <f t="shared" si="25"/>
        <v>64052</v>
      </c>
      <c r="I158" s="3">
        <f t="shared" si="26"/>
        <v>29</v>
      </c>
      <c r="J158" s="3">
        <f t="shared" si="27"/>
        <v>28</v>
      </c>
      <c r="K158" s="3" t="str">
        <f t="shared" si="28"/>
        <v>110208--216</v>
      </c>
      <c r="L158" s="3" t="str">
        <f t="shared" si="29"/>
        <v>110208--216</v>
      </c>
      <c r="M158" s="3">
        <f t="shared" si="30"/>
        <v>64052</v>
      </c>
      <c r="N158" s="3"/>
      <c r="O158" s="3"/>
      <c r="P158" s="3"/>
      <c r="Q158" s="3"/>
      <c r="R158" s="3"/>
      <c r="S158" s="3"/>
      <c r="T158" s="3" t="s">
        <v>428</v>
      </c>
      <c r="U158" s="3" t="s">
        <v>543</v>
      </c>
      <c r="V158" s="3" t="str">
        <f t="shared" si="31"/>
        <v>64052</v>
      </c>
      <c r="W158" s="3"/>
      <c r="X158" s="1" t="str">
        <f t="shared" si="32"/>
        <v>Missouri</v>
      </c>
    </row>
    <row r="159" spans="1:24" ht="20.100000000000001" customHeight="1" x14ac:dyDescent="0.25">
      <c r="A159" s="3" t="s">
        <v>179</v>
      </c>
      <c r="B159" s="3">
        <v>444965</v>
      </c>
      <c r="C159" s="3">
        <v>40</v>
      </c>
      <c r="D159" s="3" t="str">
        <f t="shared" si="22"/>
        <v>kansas city, missouri  64108</v>
      </c>
      <c r="E159" s="3" t="str">
        <f t="shared" si="23"/>
        <v>KANSAS CITY, MISSOURI  64108</v>
      </c>
      <c r="F159" s="3" t="str">
        <f t="shared" si="24"/>
        <v>Kansas City, Missouri  64108</v>
      </c>
      <c r="G159" s="3"/>
      <c r="H159" s="3" t="str">
        <f t="shared" si="25"/>
        <v>64108</v>
      </c>
      <c r="I159" s="3">
        <f t="shared" si="26"/>
        <v>28</v>
      </c>
      <c r="J159" s="3">
        <f t="shared" si="27"/>
        <v>27</v>
      </c>
      <c r="K159" s="3" t="str">
        <f t="shared" si="28"/>
        <v>444965--40</v>
      </c>
      <c r="L159" s="3" t="str">
        <f t="shared" si="29"/>
        <v>444965--40</v>
      </c>
      <c r="M159" s="3">
        <f t="shared" si="30"/>
        <v>64108</v>
      </c>
      <c r="N159" s="3"/>
      <c r="O159" s="3"/>
      <c r="P159" s="3"/>
      <c r="Q159" s="3"/>
      <c r="R159" s="3"/>
      <c r="S159" s="3"/>
      <c r="T159" s="3" t="s">
        <v>402</v>
      </c>
      <c r="U159" s="3" t="s">
        <v>543</v>
      </c>
      <c r="V159" s="3" t="str">
        <f t="shared" si="31"/>
        <v>64108</v>
      </c>
      <c r="W159" s="3"/>
      <c r="X159" s="1" t="str">
        <f t="shared" si="32"/>
        <v>Missouri</v>
      </c>
    </row>
    <row r="160" spans="1:24" ht="20.100000000000001" customHeight="1" x14ac:dyDescent="0.25">
      <c r="A160" s="3" t="s">
        <v>180</v>
      </c>
      <c r="B160" s="3">
        <v>150298</v>
      </c>
      <c r="C160" s="3">
        <v>149</v>
      </c>
      <c r="D160" s="3" t="str">
        <f t="shared" si="22"/>
        <v>springfield, missouri  65801</v>
      </c>
      <c r="E160" s="3" t="str">
        <f t="shared" si="23"/>
        <v>SPRINGFIELD, MISSOURI  65801</v>
      </c>
      <c r="F160" s="3" t="str">
        <f t="shared" si="24"/>
        <v>Springfield, Missouri  65801</v>
      </c>
      <c r="G160" s="3"/>
      <c r="H160" s="3" t="str">
        <f t="shared" si="25"/>
        <v>65801</v>
      </c>
      <c r="I160" s="3">
        <f t="shared" si="26"/>
        <v>28</v>
      </c>
      <c r="J160" s="3">
        <f t="shared" si="27"/>
        <v>27</v>
      </c>
      <c r="K160" s="3" t="str">
        <f t="shared" si="28"/>
        <v>150298--149</v>
      </c>
      <c r="L160" s="3" t="str">
        <f t="shared" si="29"/>
        <v>150298--149</v>
      </c>
      <c r="M160" s="3">
        <f t="shared" si="30"/>
        <v>65801</v>
      </c>
      <c r="N160" s="3"/>
      <c r="O160" s="3"/>
      <c r="P160" s="3"/>
      <c r="Q160" s="3"/>
      <c r="R160" s="3"/>
      <c r="S160" s="3"/>
      <c r="T160" s="3" t="s">
        <v>395</v>
      </c>
      <c r="U160" s="3" t="s">
        <v>543</v>
      </c>
      <c r="V160" s="3" t="str">
        <f t="shared" si="31"/>
        <v>65801</v>
      </c>
      <c r="W160" s="3"/>
      <c r="X160" s="1" t="str">
        <f t="shared" si="32"/>
        <v>Missouri</v>
      </c>
    </row>
    <row r="161" spans="1:24" ht="20.100000000000001" customHeight="1" x14ac:dyDescent="0.25">
      <c r="A161" s="3" t="s">
        <v>181</v>
      </c>
      <c r="B161" s="3">
        <v>344362</v>
      </c>
      <c r="C161" s="3">
        <v>52</v>
      </c>
      <c r="D161" s="3" t="str">
        <f t="shared" si="22"/>
        <v>st. louis, missouri  63155</v>
      </c>
      <c r="E161" s="3" t="str">
        <f t="shared" si="23"/>
        <v>ST. LOUIS, MISSOURI  63155</v>
      </c>
      <c r="F161" s="3" t="str">
        <f t="shared" si="24"/>
        <v>St. Louis, Missouri  63155</v>
      </c>
      <c r="G161" s="3"/>
      <c r="H161" s="3" t="str">
        <f t="shared" si="25"/>
        <v>63155</v>
      </c>
      <c r="I161" s="3">
        <f t="shared" si="26"/>
        <v>26</v>
      </c>
      <c r="J161" s="3">
        <f t="shared" si="27"/>
        <v>25</v>
      </c>
      <c r="K161" s="3" t="str">
        <f t="shared" si="28"/>
        <v>344362--52</v>
      </c>
      <c r="L161" s="3" t="str">
        <f t="shared" si="29"/>
        <v>344362--52</v>
      </c>
      <c r="M161" s="3">
        <f t="shared" si="30"/>
        <v>63155</v>
      </c>
      <c r="N161" s="3"/>
      <c r="O161" s="3"/>
      <c r="P161" s="3"/>
      <c r="Q161" s="3"/>
      <c r="R161" s="3"/>
      <c r="S161" s="3"/>
      <c r="T161" s="3" t="s">
        <v>429</v>
      </c>
      <c r="U161" s="3" t="s">
        <v>543</v>
      </c>
      <c r="V161" s="3" t="str">
        <f t="shared" si="31"/>
        <v>63155</v>
      </c>
      <c r="W161" s="3"/>
      <c r="X161" s="1" t="str">
        <f t="shared" si="32"/>
        <v>Missouri</v>
      </c>
    </row>
    <row r="162" spans="1:24" ht="20.100000000000001" customHeight="1" x14ac:dyDescent="0.25">
      <c r="A162" s="3" t="s">
        <v>182</v>
      </c>
      <c r="B162" s="3">
        <v>239213</v>
      </c>
      <c r="C162" s="3">
        <v>74</v>
      </c>
      <c r="D162" s="3" t="str">
        <f t="shared" si="22"/>
        <v>lincoln, nebraska  68501</v>
      </c>
      <c r="E162" s="3" t="str">
        <f t="shared" si="23"/>
        <v>LINCOLN, NEBRASKA  68501</v>
      </c>
      <c r="F162" s="3" t="str">
        <f t="shared" si="24"/>
        <v>Lincoln, Nebraska  68501</v>
      </c>
      <c r="G162" s="3"/>
      <c r="H162" s="3" t="str">
        <f t="shared" si="25"/>
        <v>68501</v>
      </c>
      <c r="I162" s="3">
        <f t="shared" si="26"/>
        <v>24</v>
      </c>
      <c r="J162" s="3">
        <f t="shared" si="27"/>
        <v>23</v>
      </c>
      <c r="K162" s="3" t="str">
        <f t="shared" si="28"/>
        <v>239213--74</v>
      </c>
      <c r="L162" s="3" t="str">
        <f t="shared" si="29"/>
        <v>239213--74</v>
      </c>
      <c r="M162" s="3">
        <f t="shared" si="30"/>
        <v>68501</v>
      </c>
      <c r="N162" s="3"/>
      <c r="O162" s="3"/>
      <c r="P162" s="3"/>
      <c r="Q162" s="3"/>
      <c r="R162" s="3"/>
      <c r="S162" s="3"/>
      <c r="T162" s="3" t="s">
        <v>430</v>
      </c>
      <c r="U162" s="3" t="s">
        <v>544</v>
      </c>
      <c r="V162" s="3" t="str">
        <f t="shared" si="31"/>
        <v>68501</v>
      </c>
      <c r="W162" s="3"/>
      <c r="X162" s="1" t="str">
        <f t="shared" si="32"/>
        <v>Nebraska</v>
      </c>
    </row>
    <row r="163" spans="1:24" ht="20.100000000000001" customHeight="1" x14ac:dyDescent="0.25">
      <c r="A163" s="3" t="s">
        <v>183</v>
      </c>
      <c r="B163" s="3">
        <v>414521</v>
      </c>
      <c r="C163" s="3">
        <v>43</v>
      </c>
      <c r="D163" s="3" t="str">
        <f t="shared" si="22"/>
        <v>omaha, nebraska  68108</v>
      </c>
      <c r="E163" s="3" t="str">
        <f t="shared" si="23"/>
        <v>OMAHA, NEBRASKA  68108</v>
      </c>
      <c r="F163" s="3" t="str">
        <f t="shared" si="24"/>
        <v>Omaha, Nebraska  68108</v>
      </c>
      <c r="G163" s="3"/>
      <c r="H163" s="3" t="str">
        <f t="shared" si="25"/>
        <v>68108</v>
      </c>
      <c r="I163" s="3">
        <f t="shared" si="26"/>
        <v>22</v>
      </c>
      <c r="J163" s="3">
        <f t="shared" si="27"/>
        <v>21</v>
      </c>
      <c r="K163" s="3" t="str">
        <f t="shared" si="28"/>
        <v>414521--43</v>
      </c>
      <c r="L163" s="3" t="str">
        <f t="shared" si="29"/>
        <v>414521--43</v>
      </c>
      <c r="M163" s="3">
        <f t="shared" si="30"/>
        <v>68108</v>
      </c>
      <c r="N163" s="3"/>
      <c r="O163" s="3"/>
      <c r="P163" s="3"/>
      <c r="Q163" s="3"/>
      <c r="R163" s="3"/>
      <c r="S163" s="3"/>
      <c r="T163" s="3" t="s">
        <v>431</v>
      </c>
      <c r="U163" s="3" t="s">
        <v>544</v>
      </c>
      <c r="V163" s="3" t="str">
        <f t="shared" si="31"/>
        <v>68108</v>
      </c>
      <c r="W163" s="3"/>
      <c r="X163" s="1" t="str">
        <f t="shared" si="32"/>
        <v>Nebraska</v>
      </c>
    </row>
    <row r="164" spans="1:24" ht="20.100000000000001" customHeight="1" x14ac:dyDescent="0.25">
      <c r="A164" s="3" t="s">
        <v>184</v>
      </c>
      <c r="B164" s="3">
        <v>232146</v>
      </c>
      <c r="C164" s="3">
        <v>76</v>
      </c>
      <c r="D164" s="3" t="str">
        <f t="shared" si="22"/>
        <v>henderson, nevada  89015</v>
      </c>
      <c r="E164" s="3" t="str">
        <f t="shared" si="23"/>
        <v>HENDERSON, NEVADA  89015</v>
      </c>
      <c r="F164" s="3" t="str">
        <f t="shared" si="24"/>
        <v>Henderson, Nevada  89015</v>
      </c>
      <c r="G164" s="3"/>
      <c r="H164" s="3" t="str">
        <f t="shared" si="25"/>
        <v>89015</v>
      </c>
      <c r="I164" s="3">
        <f t="shared" si="26"/>
        <v>24</v>
      </c>
      <c r="J164" s="3">
        <f t="shared" si="27"/>
        <v>23</v>
      </c>
      <c r="K164" s="3" t="str">
        <f t="shared" si="28"/>
        <v>232146--76</v>
      </c>
      <c r="L164" s="3" t="str">
        <f t="shared" si="29"/>
        <v>232146--76</v>
      </c>
      <c r="M164" s="3">
        <f t="shared" si="30"/>
        <v>89015</v>
      </c>
      <c r="N164" s="3"/>
      <c r="O164" s="3"/>
      <c r="P164" s="3"/>
      <c r="Q164" s="3"/>
      <c r="R164" s="3"/>
      <c r="S164" s="3"/>
      <c r="T164" s="3" t="s">
        <v>432</v>
      </c>
      <c r="U164" s="3" t="s">
        <v>545</v>
      </c>
      <c r="V164" s="3" t="str">
        <f t="shared" si="31"/>
        <v>89015</v>
      </c>
      <c r="W164" s="3"/>
      <c r="X164" s="1" t="str">
        <f t="shared" si="32"/>
        <v>Nevada</v>
      </c>
    </row>
    <row r="165" spans="1:24" ht="20.100000000000001" customHeight="1" x14ac:dyDescent="0.25">
      <c r="A165" s="3" t="s">
        <v>185</v>
      </c>
      <c r="B165" s="3">
        <v>545147</v>
      </c>
      <c r="C165" s="3">
        <v>29</v>
      </c>
      <c r="D165" s="3" t="str">
        <f t="shared" si="22"/>
        <v>las vegas, nevada  89199</v>
      </c>
      <c r="E165" s="3" t="str">
        <f t="shared" si="23"/>
        <v>LAS VEGAS, NEVADA  89199</v>
      </c>
      <c r="F165" s="3" t="str">
        <f t="shared" si="24"/>
        <v>Las Vegas, Nevada  89199</v>
      </c>
      <c r="G165" s="3"/>
      <c r="H165" s="3" t="str">
        <f t="shared" si="25"/>
        <v>89199</v>
      </c>
      <c r="I165" s="3">
        <f t="shared" si="26"/>
        <v>24</v>
      </c>
      <c r="J165" s="3">
        <f t="shared" si="27"/>
        <v>23</v>
      </c>
      <c r="K165" s="3" t="str">
        <f t="shared" si="28"/>
        <v>545147--29</v>
      </c>
      <c r="L165" s="3" t="str">
        <f t="shared" si="29"/>
        <v>545147--29</v>
      </c>
      <c r="M165" s="3">
        <f t="shared" si="30"/>
        <v>89199</v>
      </c>
      <c r="N165" s="3"/>
      <c r="O165" s="3"/>
      <c r="P165" s="3"/>
      <c r="Q165" s="3"/>
      <c r="R165" s="3"/>
      <c r="S165" s="3"/>
      <c r="T165" s="3" t="s">
        <v>433</v>
      </c>
      <c r="U165" s="3" t="s">
        <v>545</v>
      </c>
      <c r="V165" s="3" t="str">
        <f t="shared" si="31"/>
        <v>89199</v>
      </c>
      <c r="W165" s="3"/>
      <c r="X165" s="1" t="str">
        <f t="shared" si="32"/>
        <v>Nevada</v>
      </c>
    </row>
    <row r="166" spans="1:24" ht="20.100000000000001" customHeight="1" x14ac:dyDescent="0.25">
      <c r="A166" s="3" t="s">
        <v>186</v>
      </c>
      <c r="B166" s="3">
        <v>176635</v>
      </c>
      <c r="C166" s="3">
        <v>125</v>
      </c>
      <c r="D166" s="3" t="str">
        <f t="shared" si="22"/>
        <v>north las vegas, nevada  89030</v>
      </c>
      <c r="E166" s="3" t="str">
        <f t="shared" si="23"/>
        <v>NORTH LAS VEGAS, NEVADA  89030</v>
      </c>
      <c r="F166" s="3" t="str">
        <f t="shared" si="24"/>
        <v>North Las Vegas, Nevada  89030</v>
      </c>
      <c r="G166" s="3"/>
      <c r="H166" s="3" t="str">
        <f t="shared" si="25"/>
        <v>89030</v>
      </c>
      <c r="I166" s="3">
        <f t="shared" si="26"/>
        <v>30</v>
      </c>
      <c r="J166" s="3">
        <f t="shared" si="27"/>
        <v>29</v>
      </c>
      <c r="K166" s="3" t="str">
        <f t="shared" si="28"/>
        <v>176635--125</v>
      </c>
      <c r="L166" s="3" t="str">
        <f t="shared" si="29"/>
        <v>176635--125</v>
      </c>
      <c r="M166" s="3">
        <f t="shared" si="30"/>
        <v>89030</v>
      </c>
      <c r="N166" s="3"/>
      <c r="O166" s="3"/>
      <c r="P166" s="3"/>
      <c r="Q166" s="3"/>
      <c r="R166" s="3"/>
      <c r="S166" s="3"/>
      <c r="T166" s="3" t="s">
        <v>434</v>
      </c>
      <c r="U166" s="3" t="s">
        <v>545</v>
      </c>
      <c r="V166" s="3" t="str">
        <f t="shared" si="31"/>
        <v>89030</v>
      </c>
      <c r="W166" s="3"/>
      <c r="X166" s="1" t="str">
        <f t="shared" si="32"/>
        <v>Nevada</v>
      </c>
    </row>
    <row r="167" spans="1:24" ht="20.100000000000001" customHeight="1" x14ac:dyDescent="0.25">
      <c r="A167" s="3" t="s">
        <v>187</v>
      </c>
      <c r="B167" s="3">
        <v>203550</v>
      </c>
      <c r="C167" s="3">
        <v>95</v>
      </c>
      <c r="D167" s="3" t="str">
        <f t="shared" si="22"/>
        <v>reno, nevada  89510</v>
      </c>
      <c r="E167" s="3" t="str">
        <f t="shared" si="23"/>
        <v>RENO, NEVADA  89510</v>
      </c>
      <c r="F167" s="3" t="str">
        <f t="shared" si="24"/>
        <v>Reno, Nevada  89510</v>
      </c>
      <c r="G167" s="3"/>
      <c r="H167" s="3" t="str">
        <f t="shared" si="25"/>
        <v>89510</v>
      </c>
      <c r="I167" s="3">
        <f t="shared" si="26"/>
        <v>19</v>
      </c>
      <c r="J167" s="3">
        <f t="shared" si="27"/>
        <v>18</v>
      </c>
      <c r="K167" s="3" t="str">
        <f t="shared" si="28"/>
        <v>203550--95</v>
      </c>
      <c r="L167" s="3" t="str">
        <f t="shared" si="29"/>
        <v>203550--95</v>
      </c>
      <c r="M167" s="3">
        <f t="shared" si="30"/>
        <v>89510</v>
      </c>
      <c r="N167" s="3"/>
      <c r="O167" s="3"/>
      <c r="P167" s="3"/>
      <c r="Q167" s="3"/>
      <c r="R167" s="3"/>
      <c r="S167" s="3"/>
      <c r="T167" s="3" t="s">
        <v>435</v>
      </c>
      <c r="U167" s="3" t="s">
        <v>545</v>
      </c>
      <c r="V167" s="3" t="str">
        <f t="shared" si="31"/>
        <v>89510</v>
      </c>
      <c r="W167" s="3"/>
      <c r="X167" s="1" t="str">
        <f t="shared" si="32"/>
        <v>Nevada</v>
      </c>
    </row>
    <row r="168" spans="1:24" ht="20.100000000000001" customHeight="1" x14ac:dyDescent="0.25">
      <c r="A168" s="3" t="s">
        <v>188</v>
      </c>
      <c r="B168" s="3">
        <v>109691</v>
      </c>
      <c r="C168" s="3">
        <v>219</v>
      </c>
      <c r="D168" s="3" t="str">
        <f t="shared" si="22"/>
        <v>manchester, new hampshire  03103</v>
      </c>
      <c r="E168" s="3" t="str">
        <f t="shared" si="23"/>
        <v>MANCHESTER, NEW HAMPSHIRE  03103</v>
      </c>
      <c r="F168" s="3" t="str">
        <f t="shared" si="24"/>
        <v>Manchester, New Hampshire  03103</v>
      </c>
      <c r="G168" s="3"/>
      <c r="H168" s="3" t="str">
        <f t="shared" si="25"/>
        <v>03103</v>
      </c>
      <c r="I168" s="3">
        <f t="shared" si="26"/>
        <v>32</v>
      </c>
      <c r="J168" s="3">
        <f t="shared" si="27"/>
        <v>31</v>
      </c>
      <c r="K168" s="3" t="str">
        <f t="shared" si="28"/>
        <v>109691--219</v>
      </c>
      <c r="L168" s="3" t="str">
        <f t="shared" si="29"/>
        <v>109691--219</v>
      </c>
      <c r="M168" s="3">
        <f t="shared" si="30"/>
        <v>3103</v>
      </c>
      <c r="N168" s="3"/>
      <c r="O168" s="3"/>
      <c r="P168" s="3"/>
      <c r="Q168" s="3"/>
      <c r="R168" s="3"/>
      <c r="S168" s="3"/>
      <c r="T168" s="3" t="s">
        <v>436</v>
      </c>
      <c r="U168" s="3" t="s">
        <v>546</v>
      </c>
      <c r="V168" s="3" t="str">
        <f t="shared" si="31"/>
        <v>03103</v>
      </c>
      <c r="W168" s="3"/>
      <c r="X168" s="1" t="str">
        <f t="shared" si="32"/>
        <v>New Hampshire</v>
      </c>
    </row>
    <row r="169" spans="1:24" ht="20.100000000000001" customHeight="1" x14ac:dyDescent="0.25">
      <c r="A169" s="3" t="s">
        <v>189</v>
      </c>
      <c r="B169" s="3">
        <v>125809</v>
      </c>
      <c r="C169" s="3">
        <v>186</v>
      </c>
      <c r="D169" s="3" t="str">
        <f t="shared" si="22"/>
        <v>elizabeth, new jersey  07208</v>
      </c>
      <c r="E169" s="3" t="str">
        <f t="shared" si="23"/>
        <v>ELIZABETH, NEW JERSEY  07208</v>
      </c>
      <c r="F169" s="3" t="str">
        <f t="shared" si="24"/>
        <v>Elizabeth, New Jersey  07208</v>
      </c>
      <c r="G169" s="3"/>
      <c r="H169" s="3" t="str">
        <f t="shared" si="25"/>
        <v>07208</v>
      </c>
      <c r="I169" s="3">
        <f t="shared" si="26"/>
        <v>28</v>
      </c>
      <c r="J169" s="3">
        <f t="shared" si="27"/>
        <v>27</v>
      </c>
      <c r="K169" s="3" t="str">
        <f t="shared" si="28"/>
        <v>125809--186</v>
      </c>
      <c r="L169" s="3" t="str">
        <f t="shared" si="29"/>
        <v>125809--186</v>
      </c>
      <c r="M169" s="3">
        <f t="shared" si="30"/>
        <v>7208</v>
      </c>
      <c r="N169" s="3"/>
      <c r="O169" s="3"/>
      <c r="P169" s="3"/>
      <c r="Q169" s="3"/>
      <c r="R169" s="3"/>
      <c r="S169" s="3"/>
      <c r="T169" s="3" t="s">
        <v>437</v>
      </c>
      <c r="U169" s="3" t="s">
        <v>547</v>
      </c>
      <c r="V169" s="3" t="str">
        <f t="shared" si="31"/>
        <v>07208</v>
      </c>
      <c r="W169" s="3"/>
      <c r="X169" s="1" t="str">
        <f t="shared" si="32"/>
        <v>New Jersey</v>
      </c>
    </row>
    <row r="170" spans="1:24" ht="20.100000000000001" customHeight="1" x14ac:dyDescent="0.25">
      <c r="A170" s="3" t="s">
        <v>190</v>
      </c>
      <c r="B170" s="3">
        <v>239614</v>
      </c>
      <c r="C170" s="3">
        <v>72</v>
      </c>
      <c r="D170" s="3" t="str">
        <f t="shared" si="22"/>
        <v>jersey city, new jersey  07302</v>
      </c>
      <c r="E170" s="3" t="str">
        <f t="shared" si="23"/>
        <v>JERSEY CITY, NEW JERSEY  07302</v>
      </c>
      <c r="F170" s="3" t="str">
        <f t="shared" si="24"/>
        <v>Jersey City, New Jersey  07302</v>
      </c>
      <c r="G170" s="3"/>
      <c r="H170" s="3" t="str">
        <f t="shared" si="25"/>
        <v>07302</v>
      </c>
      <c r="I170" s="3">
        <f t="shared" si="26"/>
        <v>30</v>
      </c>
      <c r="J170" s="3">
        <f t="shared" si="27"/>
        <v>29</v>
      </c>
      <c r="K170" s="3" t="str">
        <f t="shared" si="28"/>
        <v>239614--72</v>
      </c>
      <c r="L170" s="3" t="str">
        <f t="shared" si="29"/>
        <v>239614--72</v>
      </c>
      <c r="M170" s="3">
        <f t="shared" si="30"/>
        <v>7302</v>
      </c>
      <c r="N170" s="3"/>
      <c r="O170" s="3"/>
      <c r="P170" s="3"/>
      <c r="Q170" s="3"/>
      <c r="R170" s="3"/>
      <c r="S170" s="3"/>
      <c r="T170" s="3" t="s">
        <v>438</v>
      </c>
      <c r="U170" s="3" t="s">
        <v>547</v>
      </c>
      <c r="V170" s="3" t="str">
        <f t="shared" si="31"/>
        <v>07302</v>
      </c>
      <c r="W170" s="3"/>
      <c r="X170" s="1" t="str">
        <f t="shared" si="32"/>
        <v>New Jersey</v>
      </c>
    </row>
    <row r="171" spans="1:24" ht="20.100000000000001" customHeight="1" x14ac:dyDescent="0.25">
      <c r="A171" s="3" t="s">
        <v>191</v>
      </c>
      <c r="B171" s="3">
        <v>280666</v>
      </c>
      <c r="C171" s="3">
        <v>65</v>
      </c>
      <c r="D171" s="3" t="str">
        <f t="shared" si="22"/>
        <v>newark, new jersey  07102</v>
      </c>
      <c r="E171" s="3" t="str">
        <f t="shared" si="23"/>
        <v>NEWARK, NEW JERSEY  07102</v>
      </c>
      <c r="F171" s="3" t="str">
        <f t="shared" si="24"/>
        <v>Newark, New Jersey  07102</v>
      </c>
      <c r="G171" s="3"/>
      <c r="H171" s="3" t="str">
        <f t="shared" si="25"/>
        <v>07102</v>
      </c>
      <c r="I171" s="3">
        <f t="shared" si="26"/>
        <v>25</v>
      </c>
      <c r="J171" s="3">
        <f t="shared" si="27"/>
        <v>24</v>
      </c>
      <c r="K171" s="3" t="str">
        <f t="shared" si="28"/>
        <v>280666--65</v>
      </c>
      <c r="L171" s="3" t="str">
        <f t="shared" si="29"/>
        <v>280666--65</v>
      </c>
      <c r="M171" s="3">
        <f t="shared" si="30"/>
        <v>7102</v>
      </c>
      <c r="N171" s="3"/>
      <c r="O171" s="3"/>
      <c r="P171" s="3"/>
      <c r="Q171" s="3"/>
      <c r="R171" s="3"/>
      <c r="S171" s="3"/>
      <c r="T171" s="3" t="s">
        <v>439</v>
      </c>
      <c r="U171" s="3" t="s">
        <v>547</v>
      </c>
      <c r="V171" s="3" t="str">
        <f t="shared" si="31"/>
        <v>07102</v>
      </c>
      <c r="W171" s="3"/>
      <c r="X171" s="1" t="str">
        <f t="shared" si="32"/>
        <v>New Jersey</v>
      </c>
    </row>
    <row r="172" spans="1:24" ht="20.100000000000001" customHeight="1" x14ac:dyDescent="0.25">
      <c r="A172" s="3" t="s">
        <v>192</v>
      </c>
      <c r="B172" s="3">
        <v>149843</v>
      </c>
      <c r="C172" s="3">
        <v>150</v>
      </c>
      <c r="D172" s="3" t="str">
        <f t="shared" si="22"/>
        <v>paterson, new jersey  07510</v>
      </c>
      <c r="E172" s="3" t="str">
        <f t="shared" si="23"/>
        <v>PATERSON, NEW JERSEY  07510</v>
      </c>
      <c r="F172" s="3" t="str">
        <f t="shared" si="24"/>
        <v>Paterson, New Jersey  07510</v>
      </c>
      <c r="G172" s="3"/>
      <c r="H172" s="3" t="str">
        <f t="shared" si="25"/>
        <v>07510</v>
      </c>
      <c r="I172" s="3">
        <f t="shared" si="26"/>
        <v>27</v>
      </c>
      <c r="J172" s="3">
        <f t="shared" si="27"/>
        <v>26</v>
      </c>
      <c r="K172" s="3" t="str">
        <f t="shared" si="28"/>
        <v>149843--150</v>
      </c>
      <c r="L172" s="3" t="str">
        <f t="shared" si="29"/>
        <v>149843--150</v>
      </c>
      <c r="M172" s="3">
        <f t="shared" si="30"/>
        <v>7510</v>
      </c>
      <c r="N172" s="3"/>
      <c r="O172" s="3"/>
      <c r="P172" s="3"/>
      <c r="Q172" s="3"/>
      <c r="R172" s="3"/>
      <c r="S172" s="3"/>
      <c r="T172" s="3" t="s">
        <v>440</v>
      </c>
      <c r="U172" s="3" t="s">
        <v>547</v>
      </c>
      <c r="V172" s="3" t="str">
        <f t="shared" si="31"/>
        <v>07510</v>
      </c>
      <c r="W172" s="3"/>
      <c r="X172" s="1" t="str">
        <f t="shared" si="32"/>
        <v>New Jersey</v>
      </c>
    </row>
    <row r="173" spans="1:24" ht="20.100000000000001" customHeight="1" x14ac:dyDescent="0.25">
      <c r="A173" s="3" t="s">
        <v>193</v>
      </c>
      <c r="B173" s="3">
        <v>494236</v>
      </c>
      <c r="C173" s="3">
        <v>33</v>
      </c>
      <c r="D173" s="3" t="str">
        <f t="shared" si="22"/>
        <v>albuquerque, new mexico  87101</v>
      </c>
      <c r="E173" s="3" t="str">
        <f t="shared" si="23"/>
        <v>ALBUQUERQUE, NEW MEXICO  87101</v>
      </c>
      <c r="F173" s="3" t="str">
        <f t="shared" si="24"/>
        <v>Albuquerque, New Mexico  87101</v>
      </c>
      <c r="G173" s="3"/>
      <c r="H173" s="3" t="str">
        <f t="shared" si="25"/>
        <v>87101</v>
      </c>
      <c r="I173" s="3">
        <f t="shared" si="26"/>
        <v>30</v>
      </c>
      <c r="J173" s="3">
        <f t="shared" si="27"/>
        <v>29</v>
      </c>
      <c r="K173" s="3" t="str">
        <f t="shared" si="28"/>
        <v>494236--33</v>
      </c>
      <c r="L173" s="3" t="str">
        <f t="shared" si="29"/>
        <v>494236--33</v>
      </c>
      <c r="M173" s="3">
        <f t="shared" si="30"/>
        <v>87101</v>
      </c>
      <c r="N173" s="3"/>
      <c r="O173" s="3"/>
      <c r="P173" s="3"/>
      <c r="Q173" s="3"/>
      <c r="R173" s="3"/>
      <c r="S173" s="3"/>
      <c r="T173" s="3" t="s">
        <v>441</v>
      </c>
      <c r="U173" s="3" t="s">
        <v>548</v>
      </c>
      <c r="V173" s="3" t="str">
        <f t="shared" si="31"/>
        <v>87101</v>
      </c>
      <c r="W173" s="3"/>
      <c r="X173" s="1" t="str">
        <f t="shared" si="32"/>
        <v>New Mexico</v>
      </c>
    </row>
    <row r="174" spans="1:24" ht="20.100000000000001" customHeight="1" x14ac:dyDescent="0.25">
      <c r="A174" s="3" t="s">
        <v>194</v>
      </c>
      <c r="B174" s="3">
        <v>279745</v>
      </c>
      <c r="C174" s="3">
        <v>66</v>
      </c>
      <c r="D174" s="3" t="str">
        <f t="shared" si="22"/>
        <v>buffalo, new york   14240</v>
      </c>
      <c r="E174" s="3" t="str">
        <f t="shared" si="23"/>
        <v>BUFFALO, NEW YORK   14240</v>
      </c>
      <c r="F174" s="3" t="str">
        <f t="shared" si="24"/>
        <v>Buffalo, New York   14240</v>
      </c>
      <c r="G174" s="3"/>
      <c r="H174" s="3" t="str">
        <f t="shared" si="25"/>
        <v>14240</v>
      </c>
      <c r="I174" s="3">
        <f t="shared" si="26"/>
        <v>25</v>
      </c>
      <c r="J174" s="3">
        <f t="shared" si="27"/>
        <v>23</v>
      </c>
      <c r="K174" s="3" t="str">
        <f t="shared" si="28"/>
        <v>279745--66</v>
      </c>
      <c r="L174" s="3" t="str">
        <f t="shared" si="29"/>
        <v>279745--66</v>
      </c>
      <c r="M174" s="3">
        <f t="shared" si="30"/>
        <v>14240</v>
      </c>
      <c r="N174" s="3"/>
      <c r="O174" s="3"/>
      <c r="P174" s="3"/>
      <c r="Q174" s="3"/>
      <c r="R174" s="3"/>
      <c r="S174" s="3"/>
      <c r="T174" s="3" t="s">
        <v>442</v>
      </c>
      <c r="U174" s="3" t="s">
        <v>443</v>
      </c>
      <c r="V174" s="3" t="str">
        <f t="shared" si="31"/>
        <v>14240</v>
      </c>
      <c r="W174" s="3"/>
      <c r="X174" s="1" t="str">
        <f t="shared" si="32"/>
        <v>New York</v>
      </c>
    </row>
    <row r="175" spans="1:24" ht="20.100000000000001" customHeight="1" x14ac:dyDescent="0.25">
      <c r="A175" s="3" t="s">
        <v>195</v>
      </c>
      <c r="B175" s="3">
        <v>8143197</v>
      </c>
      <c r="C175" s="3">
        <v>1</v>
      </c>
      <c r="D175" s="3" t="str">
        <f t="shared" si="22"/>
        <v>new york, new york   10199</v>
      </c>
      <c r="E175" s="3" t="str">
        <f t="shared" si="23"/>
        <v>NEW YORK, NEW YORK   10199</v>
      </c>
      <c r="F175" s="3" t="str">
        <f t="shared" si="24"/>
        <v>New York, New York   10199</v>
      </c>
      <c r="G175" s="3"/>
      <c r="H175" s="3" t="str">
        <f t="shared" si="25"/>
        <v>10199</v>
      </c>
      <c r="I175" s="3">
        <f t="shared" si="26"/>
        <v>26</v>
      </c>
      <c r="J175" s="3">
        <f t="shared" si="27"/>
        <v>24</v>
      </c>
      <c r="K175" s="3" t="str">
        <f t="shared" si="28"/>
        <v>8143197--1</v>
      </c>
      <c r="L175" s="3" t="str">
        <f t="shared" si="29"/>
        <v>8143197--1</v>
      </c>
      <c r="M175" s="3">
        <f t="shared" si="30"/>
        <v>10199</v>
      </c>
      <c r="N175" s="3"/>
      <c r="O175" s="3"/>
      <c r="P175" s="3"/>
      <c r="Q175" s="3"/>
      <c r="R175" s="3"/>
      <c r="S175" s="3"/>
      <c r="T175" s="3" t="s">
        <v>443</v>
      </c>
      <c r="U175" s="3" t="s">
        <v>443</v>
      </c>
      <c r="V175" s="3" t="str">
        <f t="shared" si="31"/>
        <v>10199</v>
      </c>
      <c r="W175" s="3"/>
      <c r="X175" s="1" t="str">
        <f t="shared" si="32"/>
        <v>New York</v>
      </c>
    </row>
    <row r="176" spans="1:24" ht="20.100000000000001" customHeight="1" x14ac:dyDescent="0.25">
      <c r="A176" s="3" t="s">
        <v>196</v>
      </c>
      <c r="B176" s="3">
        <v>211091</v>
      </c>
      <c r="C176" s="3">
        <v>88</v>
      </c>
      <c r="D176" s="3" t="str">
        <f t="shared" si="22"/>
        <v>rochester, new york   14692</v>
      </c>
      <c r="E176" s="3" t="str">
        <f t="shared" si="23"/>
        <v>ROCHESTER, NEW YORK   14692</v>
      </c>
      <c r="F176" s="3" t="str">
        <f t="shared" si="24"/>
        <v>Rochester, New York   14692</v>
      </c>
      <c r="G176" s="3"/>
      <c r="H176" s="3" t="str">
        <f t="shared" si="25"/>
        <v>14692</v>
      </c>
      <c r="I176" s="3">
        <f t="shared" si="26"/>
        <v>27</v>
      </c>
      <c r="J176" s="3">
        <f t="shared" si="27"/>
        <v>25</v>
      </c>
      <c r="K176" s="3" t="str">
        <f t="shared" si="28"/>
        <v>211091--88</v>
      </c>
      <c r="L176" s="3" t="str">
        <f t="shared" si="29"/>
        <v>211091--88</v>
      </c>
      <c r="M176" s="3">
        <f t="shared" si="30"/>
        <v>14692</v>
      </c>
      <c r="N176" s="3"/>
      <c r="O176" s="3"/>
      <c r="P176" s="3"/>
      <c r="Q176" s="3"/>
      <c r="R176" s="3"/>
      <c r="S176" s="3"/>
      <c r="T176" s="3" t="s">
        <v>444</v>
      </c>
      <c r="U176" s="3" t="s">
        <v>443</v>
      </c>
      <c r="V176" s="3" t="str">
        <f t="shared" si="31"/>
        <v>14692</v>
      </c>
      <c r="W176" s="3"/>
      <c r="X176" s="1" t="str">
        <f t="shared" si="32"/>
        <v>New York</v>
      </c>
    </row>
    <row r="177" spans="1:24" ht="20.100000000000001" customHeight="1" x14ac:dyDescent="0.25">
      <c r="A177" s="3" t="s">
        <v>197</v>
      </c>
      <c r="B177" s="3">
        <v>141683</v>
      </c>
      <c r="C177" s="3">
        <v>162</v>
      </c>
      <c r="D177" s="3" t="str">
        <f t="shared" si="22"/>
        <v>syracuse, new york   13220</v>
      </c>
      <c r="E177" s="3" t="str">
        <f t="shared" si="23"/>
        <v>SYRACUSE, NEW YORK   13220</v>
      </c>
      <c r="F177" s="3" t="str">
        <f t="shared" si="24"/>
        <v>Syracuse, New York   13220</v>
      </c>
      <c r="G177" s="3"/>
      <c r="H177" s="3" t="str">
        <f t="shared" si="25"/>
        <v>13220</v>
      </c>
      <c r="I177" s="3">
        <f t="shared" si="26"/>
        <v>26</v>
      </c>
      <c r="J177" s="3">
        <f t="shared" si="27"/>
        <v>24</v>
      </c>
      <c r="K177" s="3" t="str">
        <f t="shared" si="28"/>
        <v>141683--162</v>
      </c>
      <c r="L177" s="3" t="str">
        <f t="shared" si="29"/>
        <v>141683--162</v>
      </c>
      <c r="M177" s="3">
        <f t="shared" si="30"/>
        <v>13220</v>
      </c>
      <c r="N177" s="3"/>
      <c r="O177" s="3"/>
      <c r="P177" s="3"/>
      <c r="Q177" s="3"/>
      <c r="R177" s="3"/>
      <c r="S177" s="3"/>
      <c r="T177" s="3" t="s">
        <v>445</v>
      </c>
      <c r="U177" s="3" t="s">
        <v>443</v>
      </c>
      <c r="V177" s="3" t="str">
        <f t="shared" si="31"/>
        <v>13220</v>
      </c>
      <c r="W177" s="3"/>
      <c r="X177" s="1" t="str">
        <f t="shared" si="32"/>
        <v>New York</v>
      </c>
    </row>
    <row r="178" spans="1:24" ht="20.100000000000001" customHeight="1" x14ac:dyDescent="0.25">
      <c r="A178" s="3" t="s">
        <v>198</v>
      </c>
      <c r="B178" s="3">
        <v>196425</v>
      </c>
      <c r="C178" s="3">
        <v>102</v>
      </c>
      <c r="D178" s="3" t="str">
        <f t="shared" si="22"/>
        <v>yonkers, new york   10701</v>
      </c>
      <c r="E178" s="3" t="str">
        <f t="shared" si="23"/>
        <v>YONKERS, NEW YORK   10701</v>
      </c>
      <c r="F178" s="3" t="str">
        <f t="shared" si="24"/>
        <v>Yonkers, New York   10701</v>
      </c>
      <c r="G178" s="3"/>
      <c r="H178" s="3" t="str">
        <f t="shared" si="25"/>
        <v>10701</v>
      </c>
      <c r="I178" s="3">
        <f t="shared" si="26"/>
        <v>25</v>
      </c>
      <c r="J178" s="3">
        <f t="shared" si="27"/>
        <v>23</v>
      </c>
      <c r="K178" s="3" t="str">
        <f t="shared" si="28"/>
        <v>196425--102</v>
      </c>
      <c r="L178" s="3" t="str">
        <f t="shared" si="29"/>
        <v>196425--102</v>
      </c>
      <c r="M178" s="3">
        <f t="shared" si="30"/>
        <v>10701</v>
      </c>
      <c r="N178" s="3"/>
      <c r="O178" s="3"/>
      <c r="P178" s="3"/>
      <c r="Q178" s="3"/>
      <c r="R178" s="3"/>
      <c r="S178" s="3"/>
      <c r="T178" s="3" t="s">
        <v>446</v>
      </c>
      <c r="U178" s="3" t="s">
        <v>443</v>
      </c>
      <c r="V178" s="3" t="str">
        <f t="shared" si="31"/>
        <v>10701</v>
      </c>
      <c r="W178" s="3"/>
      <c r="X178" s="1" t="str">
        <f t="shared" si="32"/>
        <v>New York</v>
      </c>
    </row>
    <row r="179" spans="1:24" ht="20.100000000000001" customHeight="1" x14ac:dyDescent="0.25">
      <c r="A179" s="3" t="s">
        <v>199</v>
      </c>
      <c r="B179" s="3">
        <v>106439</v>
      </c>
      <c r="C179" s="3">
        <v>228</v>
      </c>
      <c r="D179" s="3" t="str">
        <f t="shared" si="22"/>
        <v>cary, north carolina  27511</v>
      </c>
      <c r="E179" s="3" t="str">
        <f t="shared" si="23"/>
        <v>CARY, NORTH CAROLINA  27511</v>
      </c>
      <c r="F179" s="3" t="str">
        <f t="shared" si="24"/>
        <v>Cary, North Carolina  27511</v>
      </c>
      <c r="G179" s="3"/>
      <c r="H179" s="3" t="str">
        <f t="shared" si="25"/>
        <v>27511</v>
      </c>
      <c r="I179" s="3">
        <f t="shared" si="26"/>
        <v>27</v>
      </c>
      <c r="J179" s="3">
        <f t="shared" si="27"/>
        <v>26</v>
      </c>
      <c r="K179" s="3" t="str">
        <f t="shared" si="28"/>
        <v>106439--228</v>
      </c>
      <c r="L179" s="3" t="str">
        <f t="shared" si="29"/>
        <v>106439--228</v>
      </c>
      <c r="M179" s="3">
        <f t="shared" si="30"/>
        <v>27511</v>
      </c>
      <c r="N179" s="3"/>
      <c r="O179" s="3"/>
      <c r="P179" s="3"/>
      <c r="Q179" s="3"/>
      <c r="R179" s="3"/>
      <c r="S179" s="3"/>
      <c r="T179" s="3" t="s">
        <v>447</v>
      </c>
      <c r="U179" s="3" t="s">
        <v>549</v>
      </c>
      <c r="V179" s="3" t="str">
        <f t="shared" si="31"/>
        <v>27511</v>
      </c>
      <c r="W179" s="3"/>
      <c r="X179" s="1" t="str">
        <f t="shared" si="32"/>
        <v>North Carolina</v>
      </c>
    </row>
    <row r="180" spans="1:24" ht="20.100000000000001" customHeight="1" x14ac:dyDescent="0.25">
      <c r="A180" s="3" t="s">
        <v>200</v>
      </c>
      <c r="B180" s="3">
        <v>610949</v>
      </c>
      <c r="C180" s="3">
        <v>20</v>
      </c>
      <c r="D180" s="3" t="str">
        <f t="shared" si="22"/>
        <v>charlotte, north carolina  28228</v>
      </c>
      <c r="E180" s="3" t="str">
        <f t="shared" si="23"/>
        <v>CHARLOTTE, NORTH CAROLINA  28228</v>
      </c>
      <c r="F180" s="3" t="str">
        <f t="shared" si="24"/>
        <v>Charlotte, North Carolina  28228</v>
      </c>
      <c r="G180" s="3"/>
      <c r="H180" s="3" t="str">
        <f t="shared" si="25"/>
        <v>28228</v>
      </c>
      <c r="I180" s="3">
        <f t="shared" si="26"/>
        <v>32</v>
      </c>
      <c r="J180" s="3">
        <f t="shared" si="27"/>
        <v>31</v>
      </c>
      <c r="K180" s="3" t="str">
        <f t="shared" si="28"/>
        <v>610949--20</v>
      </c>
      <c r="L180" s="3" t="str">
        <f t="shared" si="29"/>
        <v>610949--20</v>
      </c>
      <c r="M180" s="3">
        <f t="shared" si="30"/>
        <v>28228</v>
      </c>
      <c r="N180" s="3"/>
      <c r="O180" s="3"/>
      <c r="P180" s="3"/>
      <c r="Q180" s="3"/>
      <c r="R180" s="3"/>
      <c r="S180" s="3"/>
      <c r="T180" s="3" t="s">
        <v>448</v>
      </c>
      <c r="U180" s="3" t="s">
        <v>549</v>
      </c>
      <c r="V180" s="3" t="str">
        <f t="shared" si="31"/>
        <v>28228</v>
      </c>
      <c r="W180" s="3"/>
      <c r="X180" s="1" t="str">
        <f t="shared" si="32"/>
        <v>North Carolina</v>
      </c>
    </row>
    <row r="181" spans="1:24" ht="20.100000000000001" customHeight="1" x14ac:dyDescent="0.25">
      <c r="A181" s="3" t="s">
        <v>201</v>
      </c>
      <c r="B181" s="3">
        <v>204845</v>
      </c>
      <c r="C181" s="3">
        <v>94</v>
      </c>
      <c r="D181" s="3" t="str">
        <f t="shared" si="22"/>
        <v>durham, north carolina  27701</v>
      </c>
      <c r="E181" s="3" t="str">
        <f t="shared" si="23"/>
        <v>DURHAM, NORTH CAROLINA  27701</v>
      </c>
      <c r="F181" s="3" t="str">
        <f t="shared" si="24"/>
        <v>Durham, North Carolina  27701</v>
      </c>
      <c r="G181" s="3"/>
      <c r="H181" s="3" t="str">
        <f t="shared" si="25"/>
        <v>27701</v>
      </c>
      <c r="I181" s="3">
        <f t="shared" si="26"/>
        <v>29</v>
      </c>
      <c r="J181" s="3">
        <f t="shared" si="27"/>
        <v>28</v>
      </c>
      <c r="K181" s="3" t="str">
        <f t="shared" si="28"/>
        <v>204845--94</v>
      </c>
      <c r="L181" s="3" t="str">
        <f t="shared" si="29"/>
        <v>204845--94</v>
      </c>
      <c r="M181" s="3">
        <f t="shared" si="30"/>
        <v>27701</v>
      </c>
      <c r="N181" s="3"/>
      <c r="O181" s="3"/>
      <c r="P181" s="3"/>
      <c r="Q181" s="3"/>
      <c r="R181" s="3"/>
      <c r="S181" s="3"/>
      <c r="T181" s="3" t="s">
        <v>449</v>
      </c>
      <c r="U181" s="3" t="s">
        <v>549</v>
      </c>
      <c r="V181" s="3" t="str">
        <f t="shared" si="31"/>
        <v>27701</v>
      </c>
      <c r="W181" s="3"/>
      <c r="X181" s="1" t="str">
        <f t="shared" si="32"/>
        <v>North Carolina</v>
      </c>
    </row>
    <row r="182" spans="1:24" ht="20.100000000000001" customHeight="1" x14ac:dyDescent="0.25">
      <c r="A182" s="3" t="s">
        <v>202</v>
      </c>
      <c r="B182" s="3">
        <v>129928</v>
      </c>
      <c r="C182" s="3">
        <v>179</v>
      </c>
      <c r="D182" s="3" t="str">
        <f t="shared" si="22"/>
        <v>fayetteville, north carolina  28302</v>
      </c>
      <c r="E182" s="3" t="str">
        <f t="shared" si="23"/>
        <v>FAYETTEVILLE, NORTH CAROLINA  28302</v>
      </c>
      <c r="F182" s="3" t="str">
        <f t="shared" si="24"/>
        <v>Fayetteville, North Carolina  28302</v>
      </c>
      <c r="G182" s="3"/>
      <c r="H182" s="3" t="str">
        <f t="shared" si="25"/>
        <v>28302</v>
      </c>
      <c r="I182" s="3">
        <f t="shared" si="26"/>
        <v>35</v>
      </c>
      <c r="J182" s="3">
        <f t="shared" si="27"/>
        <v>34</v>
      </c>
      <c r="K182" s="3" t="str">
        <f t="shared" si="28"/>
        <v>129928--179</v>
      </c>
      <c r="L182" s="3" t="str">
        <f t="shared" si="29"/>
        <v>129928--179</v>
      </c>
      <c r="M182" s="3">
        <f t="shared" si="30"/>
        <v>28302</v>
      </c>
      <c r="N182" s="3"/>
      <c r="O182" s="3"/>
      <c r="P182" s="3"/>
      <c r="Q182" s="3"/>
      <c r="R182" s="3"/>
      <c r="S182" s="3"/>
      <c r="T182" s="3" t="s">
        <v>450</v>
      </c>
      <c r="U182" s="3" t="s">
        <v>549</v>
      </c>
      <c r="V182" s="3" t="str">
        <f t="shared" si="31"/>
        <v>28302</v>
      </c>
      <c r="W182" s="3"/>
      <c r="X182" s="1" t="str">
        <f t="shared" si="32"/>
        <v>North Carolina</v>
      </c>
    </row>
    <row r="183" spans="1:24" ht="20.100000000000001" customHeight="1" x14ac:dyDescent="0.25">
      <c r="A183" s="3" t="s">
        <v>203</v>
      </c>
      <c r="B183" s="3">
        <v>231962</v>
      </c>
      <c r="C183" s="3">
        <v>77</v>
      </c>
      <c r="D183" s="3" t="str">
        <f t="shared" si="22"/>
        <v>greensboro, north carolina  27420</v>
      </c>
      <c r="E183" s="3" t="str">
        <f t="shared" si="23"/>
        <v>GREENSBORO, NORTH CAROLINA  27420</v>
      </c>
      <c r="F183" s="3" t="str">
        <f t="shared" si="24"/>
        <v>Greensboro, North Carolina  27420</v>
      </c>
      <c r="G183" s="3"/>
      <c r="H183" s="3" t="str">
        <f t="shared" si="25"/>
        <v>27420</v>
      </c>
      <c r="I183" s="3">
        <f t="shared" si="26"/>
        <v>33</v>
      </c>
      <c r="J183" s="3">
        <f t="shared" si="27"/>
        <v>32</v>
      </c>
      <c r="K183" s="3" t="str">
        <f t="shared" si="28"/>
        <v>231962--77</v>
      </c>
      <c r="L183" s="3" t="str">
        <f t="shared" si="29"/>
        <v>231962--77</v>
      </c>
      <c r="M183" s="3">
        <f t="shared" si="30"/>
        <v>27420</v>
      </c>
      <c r="N183" s="3"/>
      <c r="O183" s="3"/>
      <c r="P183" s="3"/>
      <c r="Q183" s="3"/>
      <c r="R183" s="3"/>
      <c r="S183" s="3"/>
      <c r="T183" s="3" t="s">
        <v>451</v>
      </c>
      <c r="U183" s="3" t="s">
        <v>549</v>
      </c>
      <c r="V183" s="3" t="str">
        <f t="shared" si="31"/>
        <v>27420</v>
      </c>
      <c r="W183" s="3"/>
      <c r="X183" s="1" t="str">
        <f t="shared" si="32"/>
        <v>North Carolina</v>
      </c>
    </row>
    <row r="184" spans="1:24" ht="20.100000000000001" customHeight="1" x14ac:dyDescent="0.25">
      <c r="A184" s="3" t="s">
        <v>204</v>
      </c>
      <c r="B184" s="3">
        <v>341530</v>
      </c>
      <c r="C184" s="3">
        <v>53</v>
      </c>
      <c r="D184" s="3" t="str">
        <f t="shared" si="22"/>
        <v>raleigh, north carolina  27613</v>
      </c>
      <c r="E184" s="3" t="str">
        <f t="shared" si="23"/>
        <v>RALEIGH, NORTH CAROLINA  27613</v>
      </c>
      <c r="F184" s="3" t="str">
        <f t="shared" si="24"/>
        <v>Raleigh, North Carolina  27613</v>
      </c>
      <c r="G184" s="3"/>
      <c r="H184" s="3" t="str">
        <f t="shared" si="25"/>
        <v>27613</v>
      </c>
      <c r="I184" s="3">
        <f t="shared" si="26"/>
        <v>30</v>
      </c>
      <c r="J184" s="3">
        <f t="shared" si="27"/>
        <v>29</v>
      </c>
      <c r="K184" s="3" t="str">
        <f t="shared" si="28"/>
        <v>341530--53</v>
      </c>
      <c r="L184" s="3" t="str">
        <f t="shared" si="29"/>
        <v>341530--53</v>
      </c>
      <c r="M184" s="3">
        <f t="shared" si="30"/>
        <v>27613</v>
      </c>
      <c r="N184" s="3"/>
      <c r="O184" s="3"/>
      <c r="P184" s="3"/>
      <c r="Q184" s="3"/>
      <c r="R184" s="3"/>
      <c r="S184" s="3"/>
      <c r="T184" s="3" t="s">
        <v>452</v>
      </c>
      <c r="U184" s="3" t="s">
        <v>549</v>
      </c>
      <c r="V184" s="3" t="str">
        <f t="shared" si="31"/>
        <v>27613</v>
      </c>
      <c r="W184" s="3"/>
      <c r="X184" s="1" t="str">
        <f t="shared" si="32"/>
        <v>North Carolina</v>
      </c>
    </row>
    <row r="185" spans="1:24" ht="20.100000000000001" customHeight="1" x14ac:dyDescent="0.25">
      <c r="A185" s="3" t="s">
        <v>205</v>
      </c>
      <c r="B185" s="3">
        <v>193755</v>
      </c>
      <c r="C185" s="3">
        <v>109</v>
      </c>
      <c r="D185" s="3" t="str">
        <f t="shared" si="22"/>
        <v>winston, north carolina  27102</v>
      </c>
      <c r="E185" s="3" t="str">
        <f t="shared" si="23"/>
        <v>WINSTON, NORTH CAROLINA  27102</v>
      </c>
      <c r="F185" s="3" t="str">
        <f t="shared" si="24"/>
        <v>Winston, North Carolina  27102</v>
      </c>
      <c r="G185" s="3"/>
      <c r="H185" s="3" t="str">
        <f t="shared" si="25"/>
        <v>27102</v>
      </c>
      <c r="I185" s="3">
        <f t="shared" si="26"/>
        <v>30</v>
      </c>
      <c r="J185" s="3">
        <f t="shared" si="27"/>
        <v>29</v>
      </c>
      <c r="K185" s="3" t="str">
        <f t="shared" si="28"/>
        <v>193755--109</v>
      </c>
      <c r="L185" s="3" t="str">
        <f t="shared" si="29"/>
        <v>193755--109</v>
      </c>
      <c r="M185" s="3">
        <f t="shared" si="30"/>
        <v>27102</v>
      </c>
      <c r="N185" s="3"/>
      <c r="O185" s="3"/>
      <c r="P185" s="3"/>
      <c r="Q185" s="3"/>
      <c r="R185" s="3"/>
      <c r="S185" s="3"/>
      <c r="T185" s="3" t="s">
        <v>453</v>
      </c>
      <c r="U185" s="3" t="s">
        <v>549</v>
      </c>
      <c r="V185" s="3" t="str">
        <f t="shared" si="31"/>
        <v>27102</v>
      </c>
      <c r="W185" s="3"/>
      <c r="X185" s="1" t="str">
        <f t="shared" si="32"/>
        <v>North Carolina</v>
      </c>
    </row>
    <row r="186" spans="1:24" ht="20.100000000000001" customHeight="1" x14ac:dyDescent="0.25">
      <c r="A186" s="3" t="s">
        <v>206</v>
      </c>
      <c r="B186" s="3">
        <v>210795</v>
      </c>
      <c r="C186" s="3">
        <v>89</v>
      </c>
      <c r="D186" s="3" t="str">
        <f t="shared" si="22"/>
        <v>akron, ohio  44309</v>
      </c>
      <c r="E186" s="3" t="str">
        <f t="shared" si="23"/>
        <v>AKRON, OHIO  44309</v>
      </c>
      <c r="F186" s="3" t="str">
        <f t="shared" si="24"/>
        <v>Akron, Ohio  44309</v>
      </c>
      <c r="G186" s="3"/>
      <c r="H186" s="3" t="str">
        <f t="shared" si="25"/>
        <v>44309</v>
      </c>
      <c r="I186" s="3">
        <f t="shared" si="26"/>
        <v>18</v>
      </c>
      <c r="J186" s="3">
        <f t="shared" si="27"/>
        <v>17</v>
      </c>
      <c r="K186" s="3" t="str">
        <f t="shared" si="28"/>
        <v>210795--89</v>
      </c>
      <c r="L186" s="3" t="str">
        <f t="shared" si="29"/>
        <v>210795--89</v>
      </c>
      <c r="M186" s="3">
        <f t="shared" si="30"/>
        <v>44309</v>
      </c>
      <c r="N186" s="3"/>
      <c r="O186" s="3"/>
      <c r="P186" s="3"/>
      <c r="Q186" s="3"/>
      <c r="R186" s="3"/>
      <c r="S186" s="3"/>
      <c r="T186" s="3" t="s">
        <v>454</v>
      </c>
      <c r="U186" s="3" t="s">
        <v>550</v>
      </c>
      <c r="V186" s="3" t="str">
        <f t="shared" si="31"/>
        <v>44309</v>
      </c>
      <c r="W186" s="3"/>
      <c r="X186" s="1" t="str">
        <f t="shared" si="32"/>
        <v>Ohio</v>
      </c>
    </row>
    <row r="187" spans="1:24" ht="20.100000000000001" customHeight="1" x14ac:dyDescent="0.25">
      <c r="A187" s="3" t="s">
        <v>207</v>
      </c>
      <c r="B187" s="3">
        <v>308728</v>
      </c>
      <c r="C187" s="3">
        <v>58</v>
      </c>
      <c r="D187" s="3" t="str">
        <f t="shared" si="22"/>
        <v>cincinnati, ohio  45225</v>
      </c>
      <c r="E187" s="3" t="str">
        <f t="shared" si="23"/>
        <v>CINCINNATI, OHIO  45225</v>
      </c>
      <c r="F187" s="3" t="str">
        <f t="shared" si="24"/>
        <v>Cincinnati, Ohio  45225</v>
      </c>
      <c r="G187" s="3"/>
      <c r="H187" s="3" t="str">
        <f t="shared" si="25"/>
        <v>45225</v>
      </c>
      <c r="I187" s="3">
        <f t="shared" si="26"/>
        <v>23</v>
      </c>
      <c r="J187" s="3">
        <f t="shared" si="27"/>
        <v>22</v>
      </c>
      <c r="K187" s="3" t="str">
        <f t="shared" si="28"/>
        <v>308728--58</v>
      </c>
      <c r="L187" s="3" t="str">
        <f t="shared" si="29"/>
        <v>308728--58</v>
      </c>
      <c r="M187" s="3">
        <f t="shared" si="30"/>
        <v>45225</v>
      </c>
      <c r="N187" s="3"/>
      <c r="O187" s="3"/>
      <c r="P187" s="3"/>
      <c r="Q187" s="3"/>
      <c r="R187" s="3"/>
      <c r="S187" s="3"/>
      <c r="T187" s="3" t="s">
        <v>455</v>
      </c>
      <c r="U187" s="3" t="s">
        <v>550</v>
      </c>
      <c r="V187" s="3" t="str">
        <f t="shared" si="31"/>
        <v>45225</v>
      </c>
      <c r="W187" s="3"/>
      <c r="X187" s="1" t="str">
        <f t="shared" si="32"/>
        <v>Ohio</v>
      </c>
    </row>
    <row r="188" spans="1:24" ht="20.100000000000001" customHeight="1" x14ac:dyDescent="0.25">
      <c r="A188" s="3" t="s">
        <v>208</v>
      </c>
      <c r="B188" s="3">
        <v>452208</v>
      </c>
      <c r="C188" s="3">
        <v>39</v>
      </c>
      <c r="D188" s="3" t="str">
        <f t="shared" si="22"/>
        <v>cleveland, ohio  44101</v>
      </c>
      <c r="E188" s="3" t="str">
        <f t="shared" si="23"/>
        <v>CLEVELAND, OHIO  44101</v>
      </c>
      <c r="F188" s="3" t="str">
        <f t="shared" si="24"/>
        <v>Cleveland, Ohio  44101</v>
      </c>
      <c r="G188" s="3"/>
      <c r="H188" s="3" t="str">
        <f t="shared" si="25"/>
        <v>44101</v>
      </c>
      <c r="I188" s="3">
        <f t="shared" si="26"/>
        <v>22</v>
      </c>
      <c r="J188" s="3">
        <f t="shared" si="27"/>
        <v>21</v>
      </c>
      <c r="K188" s="3" t="str">
        <f t="shared" si="28"/>
        <v>452208--39</v>
      </c>
      <c r="L188" s="3" t="str">
        <f t="shared" si="29"/>
        <v>452208--39</v>
      </c>
      <c r="M188" s="3">
        <f t="shared" si="30"/>
        <v>44101</v>
      </c>
      <c r="N188" s="3"/>
      <c r="O188" s="3"/>
      <c r="P188" s="3"/>
      <c r="Q188" s="3"/>
      <c r="R188" s="3"/>
      <c r="S188" s="3"/>
      <c r="T188" s="3" t="s">
        <v>456</v>
      </c>
      <c r="U188" s="3" t="s">
        <v>550</v>
      </c>
      <c r="V188" s="3" t="str">
        <f t="shared" si="31"/>
        <v>44101</v>
      </c>
      <c r="W188" s="3"/>
      <c r="X188" s="1" t="str">
        <f t="shared" si="32"/>
        <v>Ohio</v>
      </c>
    </row>
    <row r="189" spans="1:24" ht="20.100000000000001" customHeight="1" x14ac:dyDescent="0.25">
      <c r="A189" s="3" t="s">
        <v>209</v>
      </c>
      <c r="B189" s="3">
        <v>730657</v>
      </c>
      <c r="C189" s="3">
        <v>15</v>
      </c>
      <c r="D189" s="3" t="str">
        <f t="shared" si="22"/>
        <v>columbus, ohio  43216</v>
      </c>
      <c r="E189" s="3" t="str">
        <f t="shared" si="23"/>
        <v>COLUMBUS, OHIO  43216</v>
      </c>
      <c r="F189" s="3" t="str">
        <f t="shared" si="24"/>
        <v>Columbus, Ohio  43216</v>
      </c>
      <c r="G189" s="3"/>
      <c r="H189" s="3" t="str">
        <f t="shared" si="25"/>
        <v>43216</v>
      </c>
      <c r="I189" s="3">
        <f t="shared" si="26"/>
        <v>21</v>
      </c>
      <c r="J189" s="3">
        <f t="shared" si="27"/>
        <v>20</v>
      </c>
      <c r="K189" s="3" t="str">
        <f t="shared" si="28"/>
        <v>730657--15</v>
      </c>
      <c r="L189" s="3" t="str">
        <f t="shared" si="29"/>
        <v>730657--15</v>
      </c>
      <c r="M189" s="3">
        <f t="shared" si="30"/>
        <v>43216</v>
      </c>
      <c r="N189" s="3"/>
      <c r="O189" s="3"/>
      <c r="P189" s="3"/>
      <c r="Q189" s="3"/>
      <c r="R189" s="3"/>
      <c r="S189" s="3"/>
      <c r="T189" s="3" t="s">
        <v>387</v>
      </c>
      <c r="U189" s="3" t="s">
        <v>550</v>
      </c>
      <c r="V189" s="3" t="str">
        <f t="shared" si="31"/>
        <v>43216</v>
      </c>
      <c r="W189" s="3"/>
      <c r="X189" s="1" t="str">
        <f t="shared" si="32"/>
        <v>Ohio</v>
      </c>
    </row>
    <row r="190" spans="1:24" ht="20.100000000000001" customHeight="1" x14ac:dyDescent="0.25">
      <c r="A190" s="3" t="s">
        <v>210</v>
      </c>
      <c r="B190" s="3">
        <v>158873</v>
      </c>
      <c r="C190" s="3">
        <v>140</v>
      </c>
      <c r="D190" s="3" t="str">
        <f t="shared" si="22"/>
        <v>dayton, ohio  45401</v>
      </c>
      <c r="E190" s="3" t="str">
        <f t="shared" si="23"/>
        <v>DAYTON, OHIO  45401</v>
      </c>
      <c r="F190" s="3" t="str">
        <f t="shared" si="24"/>
        <v>Dayton, Ohio  45401</v>
      </c>
      <c r="G190" s="3"/>
      <c r="H190" s="3" t="str">
        <f t="shared" si="25"/>
        <v>45401</v>
      </c>
      <c r="I190" s="3">
        <f t="shared" si="26"/>
        <v>19</v>
      </c>
      <c r="J190" s="3">
        <f t="shared" si="27"/>
        <v>18</v>
      </c>
      <c r="K190" s="3" t="str">
        <f t="shared" si="28"/>
        <v>158873--140</v>
      </c>
      <c r="L190" s="3" t="str">
        <f t="shared" si="29"/>
        <v>158873--140</v>
      </c>
      <c r="M190" s="3">
        <f t="shared" si="30"/>
        <v>45401</v>
      </c>
      <c r="N190" s="3"/>
      <c r="O190" s="3"/>
      <c r="P190" s="3"/>
      <c r="Q190" s="3"/>
      <c r="R190" s="3"/>
      <c r="S190" s="3"/>
      <c r="T190" s="3" t="s">
        <v>457</v>
      </c>
      <c r="U190" s="3" t="s">
        <v>550</v>
      </c>
      <c r="V190" s="3" t="str">
        <f t="shared" si="31"/>
        <v>45401</v>
      </c>
      <c r="W190" s="3"/>
      <c r="X190" s="1" t="str">
        <f t="shared" si="32"/>
        <v>Ohio</v>
      </c>
    </row>
    <row r="191" spans="1:24" ht="20.100000000000001" customHeight="1" x14ac:dyDescent="0.25">
      <c r="A191" s="3" t="s">
        <v>211</v>
      </c>
      <c r="B191" s="3">
        <v>301285</v>
      </c>
      <c r="C191" s="3">
        <v>59</v>
      </c>
      <c r="D191" s="3" t="str">
        <f t="shared" si="22"/>
        <v>toledo, ohio  43601</v>
      </c>
      <c r="E191" s="3" t="str">
        <f t="shared" si="23"/>
        <v>TOLEDO, OHIO  43601</v>
      </c>
      <c r="F191" s="3" t="str">
        <f t="shared" si="24"/>
        <v>Toledo, Ohio  43601</v>
      </c>
      <c r="G191" s="3"/>
      <c r="H191" s="3" t="str">
        <f t="shared" si="25"/>
        <v>43601</v>
      </c>
      <c r="I191" s="3">
        <f t="shared" si="26"/>
        <v>19</v>
      </c>
      <c r="J191" s="3">
        <f t="shared" si="27"/>
        <v>18</v>
      </c>
      <c r="K191" s="3" t="str">
        <f t="shared" si="28"/>
        <v>301285--59</v>
      </c>
      <c r="L191" s="3" t="str">
        <f t="shared" si="29"/>
        <v>301285--59</v>
      </c>
      <c r="M191" s="3">
        <f t="shared" si="30"/>
        <v>43601</v>
      </c>
      <c r="N191" s="3"/>
      <c r="O191" s="3"/>
      <c r="P191" s="3"/>
      <c r="Q191" s="3"/>
      <c r="R191" s="3"/>
      <c r="S191" s="3"/>
      <c r="T191" s="3" t="s">
        <v>458</v>
      </c>
      <c r="U191" s="3" t="s">
        <v>550</v>
      </c>
      <c r="V191" s="3" t="str">
        <f t="shared" si="31"/>
        <v>43601</v>
      </c>
      <c r="W191" s="3"/>
      <c r="X191" s="1" t="str">
        <f t="shared" si="32"/>
        <v>Ohio</v>
      </c>
    </row>
    <row r="192" spans="1:24" ht="20.100000000000001" customHeight="1" x14ac:dyDescent="0.25">
      <c r="A192" s="3" t="s">
        <v>212</v>
      </c>
      <c r="B192" s="3">
        <v>101719</v>
      </c>
      <c r="C192" s="3">
        <v>246</v>
      </c>
      <c r="D192" s="3" t="str">
        <f t="shared" si="22"/>
        <v>norman, oklahoma  73019</v>
      </c>
      <c r="E192" s="3" t="str">
        <f t="shared" si="23"/>
        <v>NORMAN, OKLAHOMA  73019</v>
      </c>
      <c r="F192" s="3" t="str">
        <f t="shared" si="24"/>
        <v>Norman, Oklahoma  73019</v>
      </c>
      <c r="G192" s="3"/>
      <c r="H192" s="3" t="str">
        <f t="shared" si="25"/>
        <v>73019</v>
      </c>
      <c r="I192" s="3">
        <f t="shared" si="26"/>
        <v>23</v>
      </c>
      <c r="J192" s="3">
        <f t="shared" si="27"/>
        <v>22</v>
      </c>
      <c r="K192" s="3" t="str">
        <f t="shared" si="28"/>
        <v>101719--246</v>
      </c>
      <c r="L192" s="3" t="str">
        <f t="shared" si="29"/>
        <v>101719--246</v>
      </c>
      <c r="M192" s="3">
        <f t="shared" si="30"/>
        <v>73019</v>
      </c>
      <c r="N192" s="3"/>
      <c r="O192" s="3"/>
      <c r="P192" s="3"/>
      <c r="Q192" s="3"/>
      <c r="R192" s="3"/>
      <c r="S192" s="3"/>
      <c r="T192" s="3" t="s">
        <v>459</v>
      </c>
      <c r="U192" s="3" t="s">
        <v>551</v>
      </c>
      <c r="V192" s="3" t="str">
        <f t="shared" si="31"/>
        <v>73019</v>
      </c>
      <c r="W192" s="3"/>
      <c r="X192" s="1" t="str">
        <f t="shared" si="32"/>
        <v>Oklahoma</v>
      </c>
    </row>
    <row r="193" spans="1:24" ht="20.100000000000001" customHeight="1" x14ac:dyDescent="0.25">
      <c r="A193" s="3" t="s">
        <v>213</v>
      </c>
      <c r="B193" s="3">
        <v>531324</v>
      </c>
      <c r="C193" s="3">
        <v>31</v>
      </c>
      <c r="D193" s="3" t="str">
        <f t="shared" si="22"/>
        <v>oklahoma city, oklahoma  73125</v>
      </c>
      <c r="E193" s="3" t="str">
        <f t="shared" si="23"/>
        <v>OKLAHOMA CITY, OKLAHOMA  73125</v>
      </c>
      <c r="F193" s="3" t="str">
        <f t="shared" si="24"/>
        <v>Oklahoma City, Oklahoma  73125</v>
      </c>
      <c r="G193" s="3"/>
      <c r="H193" s="3" t="str">
        <f t="shared" si="25"/>
        <v>73125</v>
      </c>
      <c r="I193" s="3">
        <f t="shared" si="26"/>
        <v>30</v>
      </c>
      <c r="J193" s="3">
        <f t="shared" si="27"/>
        <v>29</v>
      </c>
      <c r="K193" s="3" t="str">
        <f t="shared" si="28"/>
        <v>531324--31</v>
      </c>
      <c r="L193" s="3" t="str">
        <f t="shared" si="29"/>
        <v>531324--31</v>
      </c>
      <c r="M193" s="3">
        <f t="shared" si="30"/>
        <v>73125</v>
      </c>
      <c r="N193" s="3"/>
      <c r="O193" s="3"/>
      <c r="P193" s="3"/>
      <c r="Q193" s="3"/>
      <c r="R193" s="3"/>
      <c r="S193" s="3"/>
      <c r="T193" s="3" t="s">
        <v>460</v>
      </c>
      <c r="U193" s="3" t="s">
        <v>551</v>
      </c>
      <c r="V193" s="3" t="str">
        <f t="shared" si="31"/>
        <v>73125</v>
      </c>
      <c r="W193" s="3"/>
      <c r="X193" s="1" t="str">
        <f t="shared" si="32"/>
        <v>Oklahoma</v>
      </c>
    </row>
    <row r="194" spans="1:24" ht="20.100000000000001" customHeight="1" x14ac:dyDescent="0.25">
      <c r="A194" s="3" t="s">
        <v>214</v>
      </c>
      <c r="B194" s="3">
        <v>382457</v>
      </c>
      <c r="C194" s="3">
        <v>46</v>
      </c>
      <c r="D194" s="3" t="str">
        <f t="shared" si="22"/>
        <v>tulsa, oklahoma  74107</v>
      </c>
      <c r="E194" s="3" t="str">
        <f t="shared" si="23"/>
        <v>TULSA, OKLAHOMA  74107</v>
      </c>
      <c r="F194" s="3" t="str">
        <f t="shared" si="24"/>
        <v>Tulsa, Oklahoma  74107</v>
      </c>
      <c r="G194" s="3"/>
      <c r="H194" s="3" t="str">
        <f t="shared" si="25"/>
        <v>74107</v>
      </c>
      <c r="I194" s="3">
        <f t="shared" si="26"/>
        <v>22</v>
      </c>
      <c r="J194" s="3">
        <f t="shared" si="27"/>
        <v>21</v>
      </c>
      <c r="K194" s="3" t="str">
        <f t="shared" si="28"/>
        <v>382457--46</v>
      </c>
      <c r="L194" s="3" t="str">
        <f t="shared" si="29"/>
        <v>382457--46</v>
      </c>
      <c r="M194" s="3">
        <f t="shared" si="30"/>
        <v>74107</v>
      </c>
      <c r="N194" s="3"/>
      <c r="O194" s="3"/>
      <c r="P194" s="3"/>
      <c r="Q194" s="3"/>
      <c r="R194" s="3"/>
      <c r="S194" s="3"/>
      <c r="T194" s="3" t="s">
        <v>461</v>
      </c>
      <c r="U194" s="3" t="s">
        <v>551</v>
      </c>
      <c r="V194" s="3" t="str">
        <f t="shared" si="31"/>
        <v>74107</v>
      </c>
      <c r="W194" s="3"/>
      <c r="X194" s="1" t="str">
        <f t="shared" si="32"/>
        <v>Oklahoma</v>
      </c>
    </row>
    <row r="195" spans="1:24" ht="20.100000000000001" customHeight="1" x14ac:dyDescent="0.25">
      <c r="A195" s="3" t="s">
        <v>215</v>
      </c>
      <c r="B195" s="3">
        <v>144515</v>
      </c>
      <c r="C195" s="3">
        <v>156</v>
      </c>
      <c r="D195" s="3" t="str">
        <f t="shared" ref="D195:D254" si="33">LOWER(A195)</f>
        <v>eugene, oregon  97401</v>
      </c>
      <c r="E195" s="3" t="str">
        <f t="shared" ref="E195:E254" si="34">UPPER(A195)</f>
        <v>EUGENE, OREGON  97401</v>
      </c>
      <c r="F195" s="3" t="str">
        <f t="shared" ref="F195:F254" si="35">PROPER(D195)</f>
        <v>Eugene, Oregon  97401</v>
      </c>
      <c r="G195" s="3"/>
      <c r="H195" s="3" t="str">
        <f t="shared" ref="H195:H254" si="36">RIGHT(A195,5)</f>
        <v>97401</v>
      </c>
      <c r="I195" s="3">
        <f t="shared" ref="I195:I254" si="37">LEN(A195)</f>
        <v>21</v>
      </c>
      <c r="J195" s="3">
        <f t="shared" ref="J195:J254" si="38">LEN(TRIM(A195))</f>
        <v>20</v>
      </c>
      <c r="K195" s="3" t="str">
        <f t="shared" ref="K195:K254" si="39">B195&amp;"--"&amp;C195</f>
        <v>144515--156</v>
      </c>
      <c r="L195" s="3" t="str">
        <f t="shared" ref="L195:L254" si="40">_xlfn.CONCAT(B195,"--",C195)</f>
        <v>144515--156</v>
      </c>
      <c r="M195" s="3">
        <f t="shared" ref="M195:M254" si="41">VALUE(H195)</f>
        <v>97401</v>
      </c>
      <c r="N195" s="3"/>
      <c r="O195" s="3"/>
      <c r="P195" s="3"/>
      <c r="Q195" s="3"/>
      <c r="R195" s="3"/>
      <c r="S195" s="3"/>
      <c r="T195" s="3" t="s">
        <v>462</v>
      </c>
      <c r="U195" s="3" t="s">
        <v>552</v>
      </c>
      <c r="V195" s="3" t="str">
        <f t="shared" ref="V195:V254" si="42">RIGHT(A195,5)</f>
        <v>97401</v>
      </c>
      <c r="W195" s="3"/>
      <c r="X195" s="1" t="str">
        <f t="shared" ref="X195:X254" si="43">TRIM(MID(A195,FIND(",",A195)+1,LEN(A195)-FIND(",",A195)-5))</f>
        <v>Oregon</v>
      </c>
    </row>
    <row r="196" spans="1:24" ht="20.100000000000001" customHeight="1" x14ac:dyDescent="0.25">
      <c r="A196" s="3" t="s">
        <v>216</v>
      </c>
      <c r="B196" s="3">
        <v>533427</v>
      </c>
      <c r="C196" s="3">
        <v>30</v>
      </c>
      <c r="D196" s="3" t="str">
        <f t="shared" si="33"/>
        <v>portland, oregon  97208</v>
      </c>
      <c r="E196" s="3" t="str">
        <f t="shared" si="34"/>
        <v>PORTLAND, OREGON  97208</v>
      </c>
      <c r="F196" s="3" t="str">
        <f t="shared" si="35"/>
        <v>Portland, Oregon  97208</v>
      </c>
      <c r="G196" s="3"/>
      <c r="H196" s="3" t="str">
        <f t="shared" si="36"/>
        <v>97208</v>
      </c>
      <c r="I196" s="3">
        <f t="shared" si="37"/>
        <v>23</v>
      </c>
      <c r="J196" s="3">
        <f t="shared" si="38"/>
        <v>22</v>
      </c>
      <c r="K196" s="3" t="str">
        <f t="shared" si="39"/>
        <v>533427--30</v>
      </c>
      <c r="L196" s="3" t="str">
        <f t="shared" si="40"/>
        <v>533427--30</v>
      </c>
      <c r="M196" s="3">
        <f t="shared" si="41"/>
        <v>97208</v>
      </c>
      <c r="N196" s="3"/>
      <c r="O196" s="3"/>
      <c r="P196" s="3"/>
      <c r="Q196" s="3"/>
      <c r="R196" s="3"/>
      <c r="S196" s="3"/>
      <c r="T196" s="3" t="s">
        <v>463</v>
      </c>
      <c r="U196" s="3" t="s">
        <v>552</v>
      </c>
      <c r="V196" s="3" t="str">
        <f t="shared" si="42"/>
        <v>97208</v>
      </c>
      <c r="W196" s="3"/>
      <c r="X196" s="1" t="str">
        <f t="shared" si="43"/>
        <v>Oregon</v>
      </c>
    </row>
    <row r="197" spans="1:24" ht="20.100000000000001" customHeight="1" x14ac:dyDescent="0.25">
      <c r="A197" s="3" t="s">
        <v>217</v>
      </c>
      <c r="B197" s="3">
        <v>148751</v>
      </c>
      <c r="C197" s="3">
        <v>152</v>
      </c>
      <c r="D197" s="3" t="str">
        <f t="shared" si="33"/>
        <v>salem, oregon  97309</v>
      </c>
      <c r="E197" s="3" t="str">
        <f t="shared" si="34"/>
        <v>SALEM, OREGON  97309</v>
      </c>
      <c r="F197" s="3" t="str">
        <f t="shared" si="35"/>
        <v>Salem, Oregon  97309</v>
      </c>
      <c r="G197" s="3"/>
      <c r="H197" s="3" t="str">
        <f t="shared" si="36"/>
        <v>97309</v>
      </c>
      <c r="I197" s="3">
        <f t="shared" si="37"/>
        <v>20</v>
      </c>
      <c r="J197" s="3">
        <f t="shared" si="38"/>
        <v>19</v>
      </c>
      <c r="K197" s="3" t="str">
        <f t="shared" si="39"/>
        <v>148751--152</v>
      </c>
      <c r="L197" s="3" t="str">
        <f t="shared" si="40"/>
        <v>148751--152</v>
      </c>
      <c r="M197" s="3">
        <f t="shared" si="41"/>
        <v>97309</v>
      </c>
      <c r="N197" s="3"/>
      <c r="O197" s="3"/>
      <c r="P197" s="3"/>
      <c r="Q197" s="3"/>
      <c r="R197" s="3"/>
      <c r="S197" s="3"/>
      <c r="T197" s="3" t="s">
        <v>464</v>
      </c>
      <c r="U197" s="3" t="s">
        <v>552</v>
      </c>
      <c r="V197" s="3" t="str">
        <f t="shared" si="42"/>
        <v>97309</v>
      </c>
      <c r="W197" s="3"/>
      <c r="X197" s="1" t="str">
        <f t="shared" si="43"/>
        <v>Oregon</v>
      </c>
    </row>
    <row r="198" spans="1:24" ht="20.100000000000001" customHeight="1" x14ac:dyDescent="0.25">
      <c r="A198" s="3" t="s">
        <v>218</v>
      </c>
      <c r="B198" s="3">
        <v>106992</v>
      </c>
      <c r="C198" s="3">
        <v>225</v>
      </c>
      <c r="D198" s="3" t="str">
        <f t="shared" si="33"/>
        <v>allentown, pennsylvania  18101</v>
      </c>
      <c r="E198" s="3" t="str">
        <f t="shared" si="34"/>
        <v>ALLENTOWN, PENNSYLVANIA  18101</v>
      </c>
      <c r="F198" s="3" t="str">
        <f t="shared" si="35"/>
        <v>Allentown, Pennsylvania  18101</v>
      </c>
      <c r="G198" s="3"/>
      <c r="H198" s="3" t="str">
        <f t="shared" si="36"/>
        <v>18101</v>
      </c>
      <c r="I198" s="3">
        <f t="shared" si="37"/>
        <v>30</v>
      </c>
      <c r="J198" s="3">
        <f t="shared" si="38"/>
        <v>29</v>
      </c>
      <c r="K198" s="3" t="str">
        <f t="shared" si="39"/>
        <v>106992--225</v>
      </c>
      <c r="L198" s="3" t="str">
        <f t="shared" si="40"/>
        <v>106992--225</v>
      </c>
      <c r="M198" s="3">
        <f t="shared" si="41"/>
        <v>18101</v>
      </c>
      <c r="N198" s="3"/>
      <c r="O198" s="3"/>
      <c r="P198" s="3"/>
      <c r="Q198" s="3"/>
      <c r="R198" s="3"/>
      <c r="S198" s="3"/>
      <c r="T198" s="3" t="s">
        <v>465</v>
      </c>
      <c r="U198" s="3" t="s">
        <v>553</v>
      </c>
      <c r="V198" s="3" t="str">
        <f t="shared" si="42"/>
        <v>18101</v>
      </c>
      <c r="W198" s="3"/>
      <c r="X198" s="1" t="str">
        <f t="shared" si="43"/>
        <v>Pennsylvania</v>
      </c>
    </row>
    <row r="199" spans="1:24" ht="20.100000000000001" customHeight="1" x14ac:dyDescent="0.25">
      <c r="A199" s="3" t="s">
        <v>219</v>
      </c>
      <c r="B199" s="3">
        <v>102612</v>
      </c>
      <c r="C199" s="3">
        <v>244</v>
      </c>
      <c r="D199" s="3" t="str">
        <f t="shared" si="33"/>
        <v>erie, pennsylvania  16515</v>
      </c>
      <c r="E199" s="3" t="str">
        <f t="shared" si="34"/>
        <v>ERIE, PENNSYLVANIA  16515</v>
      </c>
      <c r="F199" s="3" t="str">
        <f t="shared" si="35"/>
        <v>Erie, Pennsylvania  16515</v>
      </c>
      <c r="G199" s="3"/>
      <c r="H199" s="3" t="str">
        <f t="shared" si="36"/>
        <v>16515</v>
      </c>
      <c r="I199" s="3">
        <f t="shared" si="37"/>
        <v>25</v>
      </c>
      <c r="J199" s="3">
        <f t="shared" si="38"/>
        <v>24</v>
      </c>
      <c r="K199" s="3" t="str">
        <f t="shared" si="39"/>
        <v>102612--244</v>
      </c>
      <c r="L199" s="3" t="str">
        <f t="shared" si="40"/>
        <v>102612--244</v>
      </c>
      <c r="M199" s="3">
        <f t="shared" si="41"/>
        <v>16515</v>
      </c>
      <c r="N199" s="3"/>
      <c r="O199" s="3"/>
      <c r="P199" s="3"/>
      <c r="Q199" s="3"/>
      <c r="R199" s="3"/>
      <c r="S199" s="3"/>
      <c r="T199" s="3" t="s">
        <v>466</v>
      </c>
      <c r="U199" s="3" t="s">
        <v>553</v>
      </c>
      <c r="V199" s="3" t="str">
        <f t="shared" si="42"/>
        <v>16515</v>
      </c>
      <c r="W199" s="3"/>
      <c r="X199" s="1" t="str">
        <f t="shared" si="43"/>
        <v>Pennsylvania</v>
      </c>
    </row>
    <row r="200" spans="1:24" ht="20.100000000000001" customHeight="1" x14ac:dyDescent="0.25">
      <c r="A200" s="3" t="s">
        <v>220</v>
      </c>
      <c r="B200" s="3">
        <v>1463281</v>
      </c>
      <c r="C200" s="3">
        <v>5</v>
      </c>
      <c r="D200" s="3" t="str">
        <f t="shared" si="33"/>
        <v>philadelphia, pennsylvania  19104</v>
      </c>
      <c r="E200" s="3" t="str">
        <f t="shared" si="34"/>
        <v>PHILADELPHIA, PENNSYLVANIA  19104</v>
      </c>
      <c r="F200" s="3" t="str">
        <f t="shared" si="35"/>
        <v>Philadelphia, Pennsylvania  19104</v>
      </c>
      <c r="G200" s="3"/>
      <c r="H200" s="3" t="str">
        <f t="shared" si="36"/>
        <v>19104</v>
      </c>
      <c r="I200" s="3">
        <f t="shared" si="37"/>
        <v>33</v>
      </c>
      <c r="J200" s="3">
        <f t="shared" si="38"/>
        <v>32</v>
      </c>
      <c r="K200" s="3" t="str">
        <f t="shared" si="39"/>
        <v>1463281--5</v>
      </c>
      <c r="L200" s="3" t="str">
        <f t="shared" si="40"/>
        <v>1463281--5</v>
      </c>
      <c r="M200" s="3">
        <f t="shared" si="41"/>
        <v>19104</v>
      </c>
      <c r="N200" s="3"/>
      <c r="O200" s="3"/>
      <c r="P200" s="3"/>
      <c r="Q200" s="3"/>
      <c r="R200" s="3"/>
      <c r="S200" s="3"/>
      <c r="T200" s="3" t="s">
        <v>467</v>
      </c>
      <c r="U200" s="3" t="s">
        <v>553</v>
      </c>
      <c r="V200" s="3" t="str">
        <f t="shared" si="42"/>
        <v>19104</v>
      </c>
      <c r="W200" s="3"/>
      <c r="X200" s="1" t="str">
        <f t="shared" si="43"/>
        <v>Pennsylvania</v>
      </c>
    </row>
    <row r="201" spans="1:24" ht="20.100000000000001" customHeight="1" x14ac:dyDescent="0.25">
      <c r="A201" s="3" t="s">
        <v>221</v>
      </c>
      <c r="B201" s="3">
        <v>316718</v>
      </c>
      <c r="C201" s="3">
        <v>57</v>
      </c>
      <c r="D201" s="3" t="str">
        <f t="shared" si="33"/>
        <v>pittsburgh, pennsylvania  15290</v>
      </c>
      <c r="E201" s="3" t="str">
        <f t="shared" si="34"/>
        <v>PITTSBURGH, PENNSYLVANIA  15290</v>
      </c>
      <c r="F201" s="3" t="str">
        <f t="shared" si="35"/>
        <v>Pittsburgh, Pennsylvania  15290</v>
      </c>
      <c r="G201" s="3"/>
      <c r="H201" s="3" t="str">
        <f t="shared" si="36"/>
        <v>15290</v>
      </c>
      <c r="I201" s="3">
        <f t="shared" si="37"/>
        <v>31</v>
      </c>
      <c r="J201" s="3">
        <f t="shared" si="38"/>
        <v>30</v>
      </c>
      <c r="K201" s="3" t="str">
        <f t="shared" si="39"/>
        <v>316718--57</v>
      </c>
      <c r="L201" s="3" t="str">
        <f t="shared" si="40"/>
        <v>316718--57</v>
      </c>
      <c r="M201" s="3">
        <f t="shared" si="41"/>
        <v>15290</v>
      </c>
      <c r="N201" s="3"/>
      <c r="O201" s="3"/>
      <c r="P201" s="3"/>
      <c r="Q201" s="3"/>
      <c r="R201" s="3"/>
      <c r="S201" s="3"/>
      <c r="T201" s="3" t="s">
        <v>468</v>
      </c>
      <c r="U201" s="3" t="s">
        <v>553</v>
      </c>
      <c r="V201" s="3" t="str">
        <f t="shared" si="42"/>
        <v>15290</v>
      </c>
      <c r="W201" s="3"/>
      <c r="X201" s="1" t="str">
        <f t="shared" si="43"/>
        <v>Pennsylvania</v>
      </c>
    </row>
    <row r="202" spans="1:24" ht="20.100000000000001" customHeight="1" x14ac:dyDescent="0.25">
      <c r="A202" s="3" t="s">
        <v>222</v>
      </c>
      <c r="B202" s="3">
        <v>176862</v>
      </c>
      <c r="C202" s="3">
        <v>124</v>
      </c>
      <c r="D202" s="3" t="str">
        <f t="shared" si="33"/>
        <v>providence, rhode island  02904</v>
      </c>
      <c r="E202" s="3" t="str">
        <f t="shared" si="34"/>
        <v>PROVIDENCE, RHODE ISLAND  02904</v>
      </c>
      <c r="F202" s="3" t="str">
        <f t="shared" si="35"/>
        <v>Providence, Rhode Island  02904</v>
      </c>
      <c r="G202" s="3"/>
      <c r="H202" s="3" t="str">
        <f t="shared" si="36"/>
        <v>02904</v>
      </c>
      <c r="I202" s="3">
        <f t="shared" si="37"/>
        <v>31</v>
      </c>
      <c r="J202" s="3">
        <f t="shared" si="38"/>
        <v>30</v>
      </c>
      <c r="K202" s="3" t="str">
        <f t="shared" si="39"/>
        <v>176862--124</v>
      </c>
      <c r="L202" s="3" t="str">
        <f t="shared" si="40"/>
        <v>176862--124</v>
      </c>
      <c r="M202" s="3">
        <f t="shared" si="41"/>
        <v>2904</v>
      </c>
      <c r="N202" s="3"/>
      <c r="O202" s="3"/>
      <c r="P202" s="3"/>
      <c r="Q202" s="3"/>
      <c r="R202" s="3"/>
      <c r="S202" s="3"/>
      <c r="T202" s="3" t="s">
        <v>469</v>
      </c>
      <c r="U202" s="3" t="s">
        <v>554</v>
      </c>
      <c r="V202" s="3" t="str">
        <f t="shared" si="42"/>
        <v>02904</v>
      </c>
      <c r="W202" s="3"/>
      <c r="X202" s="1" t="str">
        <f t="shared" si="43"/>
        <v>Rhode Island</v>
      </c>
    </row>
    <row r="203" spans="1:24" ht="20.100000000000001" customHeight="1" x14ac:dyDescent="0.25">
      <c r="A203" s="3" t="s">
        <v>223</v>
      </c>
      <c r="B203" s="3">
        <v>106712</v>
      </c>
      <c r="C203" s="3">
        <v>226</v>
      </c>
      <c r="D203" s="3" t="str">
        <f t="shared" si="33"/>
        <v>charleston, south carolina  29401</v>
      </c>
      <c r="E203" s="3" t="str">
        <f t="shared" si="34"/>
        <v>CHARLESTON, SOUTH CAROLINA  29401</v>
      </c>
      <c r="F203" s="3" t="str">
        <f t="shared" si="35"/>
        <v>Charleston, South Carolina  29401</v>
      </c>
      <c r="G203" s="3"/>
      <c r="H203" s="3" t="str">
        <f t="shared" si="36"/>
        <v>29401</v>
      </c>
      <c r="I203" s="3">
        <f t="shared" si="37"/>
        <v>33</v>
      </c>
      <c r="J203" s="3">
        <f t="shared" si="38"/>
        <v>32</v>
      </c>
      <c r="K203" s="3" t="str">
        <f t="shared" si="39"/>
        <v>106712--226</v>
      </c>
      <c r="L203" s="3" t="str">
        <f t="shared" si="40"/>
        <v>106712--226</v>
      </c>
      <c r="M203" s="3">
        <f t="shared" si="41"/>
        <v>29401</v>
      </c>
      <c r="N203" s="3"/>
      <c r="O203" s="3"/>
      <c r="P203" s="3"/>
      <c r="Q203" s="3"/>
      <c r="R203" s="3"/>
      <c r="S203" s="3"/>
      <c r="T203" s="3" t="s">
        <v>470</v>
      </c>
      <c r="U203" s="3" t="s">
        <v>555</v>
      </c>
      <c r="V203" s="3" t="str">
        <f t="shared" si="42"/>
        <v>29401</v>
      </c>
      <c r="W203" s="3"/>
      <c r="X203" s="1" t="str">
        <f t="shared" si="43"/>
        <v>South Carolina</v>
      </c>
    </row>
    <row r="204" spans="1:24" ht="20.100000000000001" customHeight="1" x14ac:dyDescent="0.25">
      <c r="A204" s="3" t="s">
        <v>224</v>
      </c>
      <c r="B204" s="3">
        <v>117088</v>
      </c>
      <c r="C204" s="3">
        <v>202</v>
      </c>
      <c r="D204" s="3" t="str">
        <f t="shared" si="33"/>
        <v>columbia, south carolina  29201</v>
      </c>
      <c r="E204" s="3" t="str">
        <f t="shared" si="34"/>
        <v>COLUMBIA, SOUTH CAROLINA  29201</v>
      </c>
      <c r="F204" s="3" t="str">
        <f t="shared" si="35"/>
        <v>Columbia, South Carolina  29201</v>
      </c>
      <c r="G204" s="3"/>
      <c r="H204" s="3" t="str">
        <f t="shared" si="36"/>
        <v>29201</v>
      </c>
      <c r="I204" s="3">
        <f t="shared" si="37"/>
        <v>31</v>
      </c>
      <c r="J204" s="3">
        <f t="shared" si="38"/>
        <v>30</v>
      </c>
      <c r="K204" s="3" t="str">
        <f t="shared" si="39"/>
        <v>117088--202</v>
      </c>
      <c r="L204" s="3" t="str">
        <f t="shared" si="40"/>
        <v>117088--202</v>
      </c>
      <c r="M204" s="3">
        <f t="shared" si="41"/>
        <v>29201</v>
      </c>
      <c r="N204" s="3"/>
      <c r="O204" s="3"/>
      <c r="P204" s="3"/>
      <c r="Q204" s="3"/>
      <c r="R204" s="3"/>
      <c r="S204" s="3"/>
      <c r="T204" s="3" t="s">
        <v>471</v>
      </c>
      <c r="U204" s="3" t="s">
        <v>555</v>
      </c>
      <c r="V204" s="3" t="str">
        <f t="shared" si="42"/>
        <v>29201</v>
      </c>
      <c r="W204" s="3"/>
      <c r="X204" s="1" t="str">
        <f t="shared" si="43"/>
        <v>South Carolina</v>
      </c>
    </row>
    <row r="205" spans="1:24" ht="20.100000000000001" customHeight="1" x14ac:dyDescent="0.25">
      <c r="A205" s="3" t="s">
        <v>225</v>
      </c>
      <c r="B205" s="3">
        <v>139517</v>
      </c>
      <c r="C205" s="3">
        <v>167</v>
      </c>
      <c r="D205" s="3" t="str">
        <f t="shared" si="33"/>
        <v>sioux falls, south dakota  57104</v>
      </c>
      <c r="E205" s="3" t="str">
        <f t="shared" si="34"/>
        <v>SIOUX FALLS, SOUTH DAKOTA  57104</v>
      </c>
      <c r="F205" s="3" t="str">
        <f t="shared" si="35"/>
        <v>Sioux Falls, South Dakota  57104</v>
      </c>
      <c r="G205" s="3"/>
      <c r="H205" s="3" t="str">
        <f t="shared" si="36"/>
        <v>57104</v>
      </c>
      <c r="I205" s="3">
        <f t="shared" si="37"/>
        <v>32</v>
      </c>
      <c r="J205" s="3">
        <f t="shared" si="38"/>
        <v>31</v>
      </c>
      <c r="K205" s="3" t="str">
        <f t="shared" si="39"/>
        <v>139517--167</v>
      </c>
      <c r="L205" s="3" t="str">
        <f t="shared" si="40"/>
        <v>139517--167</v>
      </c>
      <c r="M205" s="3">
        <f t="shared" si="41"/>
        <v>57104</v>
      </c>
      <c r="N205" s="3"/>
      <c r="O205" s="3"/>
      <c r="P205" s="3"/>
      <c r="Q205" s="3"/>
      <c r="R205" s="3"/>
      <c r="S205" s="3"/>
      <c r="T205" s="3" t="s">
        <v>472</v>
      </c>
      <c r="U205" s="3" t="s">
        <v>556</v>
      </c>
      <c r="V205" s="3" t="str">
        <f t="shared" si="42"/>
        <v>57104</v>
      </c>
      <c r="W205" s="3"/>
      <c r="X205" s="1" t="str">
        <f t="shared" si="43"/>
        <v>South Dakota</v>
      </c>
    </row>
    <row r="206" spans="1:24" ht="20.100000000000001" customHeight="1" x14ac:dyDescent="0.25">
      <c r="A206" s="3" t="s">
        <v>226</v>
      </c>
      <c r="B206" s="3">
        <v>154762</v>
      </c>
      <c r="C206" s="3">
        <v>143</v>
      </c>
      <c r="D206" s="3" t="str">
        <f t="shared" si="33"/>
        <v>chattanooga, tennessee  37421</v>
      </c>
      <c r="E206" s="3" t="str">
        <f t="shared" si="34"/>
        <v>CHATTANOOGA, TENNESSEE  37421</v>
      </c>
      <c r="F206" s="3" t="str">
        <f t="shared" si="35"/>
        <v>Chattanooga, Tennessee  37421</v>
      </c>
      <c r="G206" s="3"/>
      <c r="H206" s="3" t="str">
        <f t="shared" si="36"/>
        <v>37421</v>
      </c>
      <c r="I206" s="3">
        <f t="shared" si="37"/>
        <v>29</v>
      </c>
      <c r="J206" s="3">
        <f t="shared" si="38"/>
        <v>28</v>
      </c>
      <c r="K206" s="3" t="str">
        <f t="shared" si="39"/>
        <v>154762--143</v>
      </c>
      <c r="L206" s="3" t="str">
        <f t="shared" si="40"/>
        <v>154762--143</v>
      </c>
      <c r="M206" s="3">
        <f t="shared" si="41"/>
        <v>37421</v>
      </c>
      <c r="N206" s="3"/>
      <c r="O206" s="3"/>
      <c r="P206" s="3"/>
      <c r="Q206" s="3"/>
      <c r="R206" s="3"/>
      <c r="S206" s="3"/>
      <c r="T206" s="3" t="s">
        <v>473</v>
      </c>
      <c r="U206" s="3" t="s">
        <v>557</v>
      </c>
      <c r="V206" s="3" t="str">
        <f t="shared" si="42"/>
        <v>37421</v>
      </c>
      <c r="W206" s="3"/>
      <c r="X206" s="1" t="str">
        <f t="shared" si="43"/>
        <v>Tennessee</v>
      </c>
    </row>
    <row r="207" spans="1:24" ht="20.100000000000001" customHeight="1" x14ac:dyDescent="0.25">
      <c r="A207" s="3" t="s">
        <v>227</v>
      </c>
      <c r="B207" s="3">
        <v>112878</v>
      </c>
      <c r="C207" s="3">
        <v>210</v>
      </c>
      <c r="D207" s="3" t="str">
        <f t="shared" si="33"/>
        <v>clarksville, tennessee  37043</v>
      </c>
      <c r="E207" s="3" t="str">
        <f t="shared" si="34"/>
        <v>CLARKSVILLE, TENNESSEE  37043</v>
      </c>
      <c r="F207" s="3" t="str">
        <f t="shared" si="35"/>
        <v>Clarksville, Tennessee  37043</v>
      </c>
      <c r="G207" s="3"/>
      <c r="H207" s="3" t="str">
        <f t="shared" si="36"/>
        <v>37043</v>
      </c>
      <c r="I207" s="3">
        <f t="shared" si="37"/>
        <v>29</v>
      </c>
      <c r="J207" s="3">
        <f t="shared" si="38"/>
        <v>28</v>
      </c>
      <c r="K207" s="3" t="str">
        <f t="shared" si="39"/>
        <v>112878--210</v>
      </c>
      <c r="L207" s="3" t="str">
        <f t="shared" si="40"/>
        <v>112878--210</v>
      </c>
      <c r="M207" s="3">
        <f t="shared" si="41"/>
        <v>37043</v>
      </c>
      <c r="N207" s="3"/>
      <c r="O207" s="3"/>
      <c r="P207" s="3"/>
      <c r="Q207" s="3"/>
      <c r="R207" s="3"/>
      <c r="S207" s="3"/>
      <c r="T207" s="3" t="s">
        <v>474</v>
      </c>
      <c r="U207" s="3" t="s">
        <v>557</v>
      </c>
      <c r="V207" s="3" t="str">
        <f t="shared" si="42"/>
        <v>37043</v>
      </c>
      <c r="W207" s="3"/>
      <c r="X207" s="1" t="str">
        <f t="shared" si="43"/>
        <v>Tennessee</v>
      </c>
    </row>
    <row r="208" spans="1:24" ht="20.100000000000001" customHeight="1" x14ac:dyDescent="0.25">
      <c r="A208" s="3" t="s">
        <v>228</v>
      </c>
      <c r="B208" s="3">
        <v>180130</v>
      </c>
      <c r="C208" s="3">
        <v>119</v>
      </c>
      <c r="D208" s="3" t="str">
        <f t="shared" si="33"/>
        <v>knoxville, tennessee  37950</v>
      </c>
      <c r="E208" s="3" t="str">
        <f t="shared" si="34"/>
        <v>KNOXVILLE, TENNESSEE  37950</v>
      </c>
      <c r="F208" s="3" t="str">
        <f t="shared" si="35"/>
        <v>Knoxville, Tennessee  37950</v>
      </c>
      <c r="G208" s="3"/>
      <c r="H208" s="3" t="str">
        <f t="shared" si="36"/>
        <v>37950</v>
      </c>
      <c r="I208" s="3">
        <f t="shared" si="37"/>
        <v>27</v>
      </c>
      <c r="J208" s="3">
        <f t="shared" si="38"/>
        <v>26</v>
      </c>
      <c r="K208" s="3" t="str">
        <f t="shared" si="39"/>
        <v>180130--119</v>
      </c>
      <c r="L208" s="3" t="str">
        <f t="shared" si="40"/>
        <v>180130--119</v>
      </c>
      <c r="M208" s="3">
        <f t="shared" si="41"/>
        <v>37950</v>
      </c>
      <c r="N208" s="3"/>
      <c r="O208" s="3"/>
      <c r="P208" s="3"/>
      <c r="Q208" s="3"/>
      <c r="R208" s="3"/>
      <c r="S208" s="3"/>
      <c r="T208" s="3" t="s">
        <v>475</v>
      </c>
      <c r="U208" s="3" t="s">
        <v>557</v>
      </c>
      <c r="V208" s="3" t="str">
        <f t="shared" si="42"/>
        <v>37950</v>
      </c>
      <c r="W208" s="3"/>
      <c r="X208" s="1" t="str">
        <f t="shared" si="43"/>
        <v>Tennessee</v>
      </c>
    </row>
    <row r="209" spans="1:24" ht="20.100000000000001" customHeight="1" x14ac:dyDescent="0.25">
      <c r="A209" s="3" t="s">
        <v>229</v>
      </c>
      <c r="B209" s="3">
        <v>672277</v>
      </c>
      <c r="C209" s="3">
        <v>17</v>
      </c>
      <c r="D209" s="3" t="str">
        <f t="shared" si="33"/>
        <v>memphis, tennessee  38101</v>
      </c>
      <c r="E209" s="3" t="str">
        <f t="shared" si="34"/>
        <v>MEMPHIS, TENNESSEE  38101</v>
      </c>
      <c r="F209" s="3" t="str">
        <f t="shared" si="35"/>
        <v>Memphis, Tennessee  38101</v>
      </c>
      <c r="G209" s="3"/>
      <c r="H209" s="3" t="str">
        <f t="shared" si="36"/>
        <v>38101</v>
      </c>
      <c r="I209" s="3">
        <f t="shared" si="37"/>
        <v>25</v>
      </c>
      <c r="J209" s="3">
        <f t="shared" si="38"/>
        <v>24</v>
      </c>
      <c r="K209" s="3" t="str">
        <f t="shared" si="39"/>
        <v>672277--17</v>
      </c>
      <c r="L209" s="3" t="str">
        <f t="shared" si="40"/>
        <v>672277--17</v>
      </c>
      <c r="M209" s="3">
        <f t="shared" si="41"/>
        <v>38101</v>
      </c>
      <c r="N209" s="3"/>
      <c r="O209" s="3"/>
      <c r="P209" s="3"/>
      <c r="Q209" s="3"/>
      <c r="R209" s="3"/>
      <c r="S209" s="3"/>
      <c r="T209" s="3" t="s">
        <v>476</v>
      </c>
      <c r="U209" s="3" t="s">
        <v>557</v>
      </c>
      <c r="V209" s="3" t="str">
        <f t="shared" si="42"/>
        <v>38101</v>
      </c>
      <c r="W209" s="3"/>
      <c r="X209" s="1" t="str">
        <f t="shared" si="43"/>
        <v>Tennessee</v>
      </c>
    </row>
    <row r="210" spans="1:24" ht="20.100000000000001" customHeight="1" x14ac:dyDescent="0.25">
      <c r="A210" s="3" t="s">
        <v>230</v>
      </c>
      <c r="B210" s="3">
        <v>549110</v>
      </c>
      <c r="C210" s="3">
        <v>28</v>
      </c>
      <c r="D210" s="3" t="str">
        <f t="shared" si="33"/>
        <v>nashville, tennessee  37230</v>
      </c>
      <c r="E210" s="3" t="str">
        <f t="shared" si="34"/>
        <v>NASHVILLE, TENNESSEE  37230</v>
      </c>
      <c r="F210" s="3" t="str">
        <f t="shared" si="35"/>
        <v>Nashville, Tennessee  37230</v>
      </c>
      <c r="G210" s="3"/>
      <c r="H210" s="3" t="str">
        <f t="shared" si="36"/>
        <v>37230</v>
      </c>
      <c r="I210" s="3">
        <f t="shared" si="37"/>
        <v>27</v>
      </c>
      <c r="J210" s="3">
        <f t="shared" si="38"/>
        <v>26</v>
      </c>
      <c r="K210" s="3" t="str">
        <f t="shared" si="39"/>
        <v>549110--28</v>
      </c>
      <c r="L210" s="3" t="str">
        <f t="shared" si="40"/>
        <v>549110--28</v>
      </c>
      <c r="M210" s="3">
        <f t="shared" si="41"/>
        <v>37230</v>
      </c>
      <c r="N210" s="3"/>
      <c r="O210" s="3"/>
      <c r="P210" s="3"/>
      <c r="Q210" s="3"/>
      <c r="R210" s="3"/>
      <c r="S210" s="3"/>
      <c r="T210" s="3" t="s">
        <v>477</v>
      </c>
      <c r="U210" s="3" t="s">
        <v>557</v>
      </c>
      <c r="V210" s="3" t="str">
        <f t="shared" si="42"/>
        <v>37230</v>
      </c>
      <c r="W210" s="3"/>
      <c r="X210" s="1" t="str">
        <f t="shared" si="43"/>
        <v>Tennessee</v>
      </c>
    </row>
    <row r="211" spans="1:24" ht="20.100000000000001" customHeight="1" x14ac:dyDescent="0.25">
      <c r="A211" s="3" t="s">
        <v>231</v>
      </c>
      <c r="B211" s="3">
        <v>114757</v>
      </c>
      <c r="C211" s="3">
        <v>206</v>
      </c>
      <c r="D211" s="3" t="str">
        <f t="shared" si="33"/>
        <v>abilene, texas  79604</v>
      </c>
      <c r="E211" s="3" t="str">
        <f t="shared" si="34"/>
        <v>ABILENE, TEXAS  79604</v>
      </c>
      <c r="F211" s="3" t="str">
        <f t="shared" si="35"/>
        <v>Abilene, Texas  79604</v>
      </c>
      <c r="G211" s="3"/>
      <c r="H211" s="3" t="str">
        <f t="shared" si="36"/>
        <v>79604</v>
      </c>
      <c r="I211" s="3">
        <f t="shared" si="37"/>
        <v>21</v>
      </c>
      <c r="J211" s="3">
        <f t="shared" si="38"/>
        <v>20</v>
      </c>
      <c r="K211" s="3" t="str">
        <f t="shared" si="39"/>
        <v>114757--206</v>
      </c>
      <c r="L211" s="3" t="str">
        <f t="shared" si="40"/>
        <v>114757--206</v>
      </c>
      <c r="M211" s="3">
        <f t="shared" si="41"/>
        <v>79604</v>
      </c>
      <c r="N211" s="3"/>
      <c r="O211" s="3"/>
      <c r="P211" s="3"/>
      <c r="Q211" s="3"/>
      <c r="R211" s="3"/>
      <c r="S211" s="3"/>
      <c r="T211" s="3" t="s">
        <v>478</v>
      </c>
      <c r="U211" s="3" t="s">
        <v>558</v>
      </c>
      <c r="V211" s="3" t="str">
        <f t="shared" si="42"/>
        <v>79604</v>
      </c>
      <c r="W211" s="3"/>
      <c r="X211" s="1" t="str">
        <f t="shared" si="43"/>
        <v>Texas</v>
      </c>
    </row>
    <row r="212" spans="1:24" ht="20.100000000000001" customHeight="1" x14ac:dyDescent="0.25">
      <c r="A212" s="3" t="s">
        <v>232</v>
      </c>
      <c r="B212" s="3">
        <v>183021</v>
      </c>
      <c r="C212" s="3">
        <v>118</v>
      </c>
      <c r="D212" s="3" t="str">
        <f t="shared" si="33"/>
        <v>amarillo, texas  79120</v>
      </c>
      <c r="E212" s="3" t="str">
        <f t="shared" si="34"/>
        <v>AMARILLO, TEXAS  79120</v>
      </c>
      <c r="F212" s="3" t="str">
        <f t="shared" si="35"/>
        <v>Amarillo, Texas  79120</v>
      </c>
      <c r="G212" s="3"/>
      <c r="H212" s="3" t="str">
        <f t="shared" si="36"/>
        <v>79120</v>
      </c>
      <c r="I212" s="3">
        <f t="shared" si="37"/>
        <v>22</v>
      </c>
      <c r="J212" s="3">
        <f t="shared" si="38"/>
        <v>21</v>
      </c>
      <c r="K212" s="3" t="str">
        <f t="shared" si="39"/>
        <v>183021--118</v>
      </c>
      <c r="L212" s="3" t="str">
        <f t="shared" si="40"/>
        <v>183021--118</v>
      </c>
      <c r="M212" s="3">
        <f t="shared" si="41"/>
        <v>79120</v>
      </c>
      <c r="N212" s="3"/>
      <c r="O212" s="3"/>
      <c r="P212" s="3"/>
      <c r="Q212" s="3"/>
      <c r="R212" s="3"/>
      <c r="S212" s="3"/>
      <c r="T212" s="3" t="s">
        <v>479</v>
      </c>
      <c r="U212" s="3" t="s">
        <v>558</v>
      </c>
      <c r="V212" s="3" t="str">
        <f t="shared" si="42"/>
        <v>79120</v>
      </c>
      <c r="W212" s="3"/>
      <c r="X212" s="1" t="str">
        <f t="shared" si="43"/>
        <v>Texas</v>
      </c>
    </row>
    <row r="213" spans="1:24" ht="20.100000000000001" customHeight="1" x14ac:dyDescent="0.25">
      <c r="A213" s="3" t="s">
        <v>233</v>
      </c>
      <c r="B213" s="3">
        <v>362805</v>
      </c>
      <c r="C213" s="3">
        <v>50</v>
      </c>
      <c r="D213" s="3" t="str">
        <f t="shared" si="33"/>
        <v>arlington, texas  76004</v>
      </c>
      <c r="E213" s="3" t="str">
        <f t="shared" si="34"/>
        <v>ARLINGTON, TEXAS  76004</v>
      </c>
      <c r="F213" s="3" t="str">
        <f t="shared" si="35"/>
        <v>Arlington, Texas  76004</v>
      </c>
      <c r="G213" s="3"/>
      <c r="H213" s="3" t="str">
        <f t="shared" si="36"/>
        <v>76004</v>
      </c>
      <c r="I213" s="3">
        <f t="shared" si="37"/>
        <v>23</v>
      </c>
      <c r="J213" s="3">
        <f t="shared" si="38"/>
        <v>22</v>
      </c>
      <c r="K213" s="3" t="str">
        <f t="shared" si="39"/>
        <v>362805--50</v>
      </c>
      <c r="L213" s="3" t="str">
        <f t="shared" si="40"/>
        <v>362805--50</v>
      </c>
      <c r="M213" s="3">
        <f t="shared" si="41"/>
        <v>76004</v>
      </c>
      <c r="N213" s="3"/>
      <c r="O213" s="3"/>
      <c r="P213" s="3"/>
      <c r="Q213" s="3"/>
      <c r="R213" s="3"/>
      <c r="S213" s="3"/>
      <c r="T213" s="3" t="s">
        <v>480</v>
      </c>
      <c r="U213" s="3" t="s">
        <v>558</v>
      </c>
      <c r="V213" s="3" t="str">
        <f t="shared" si="42"/>
        <v>76004</v>
      </c>
      <c r="W213" s="3"/>
      <c r="X213" s="1" t="str">
        <f t="shared" si="43"/>
        <v>Texas</v>
      </c>
    </row>
    <row r="214" spans="1:24" ht="20.100000000000001" customHeight="1" x14ac:dyDescent="0.25">
      <c r="A214" s="3" t="s">
        <v>234</v>
      </c>
      <c r="B214" s="3">
        <v>690252</v>
      </c>
      <c r="C214" s="3">
        <v>16</v>
      </c>
      <c r="D214" s="3" t="str">
        <f t="shared" si="33"/>
        <v>austin, texas  78710</v>
      </c>
      <c r="E214" s="3" t="str">
        <f t="shared" si="34"/>
        <v>AUSTIN, TEXAS  78710</v>
      </c>
      <c r="F214" s="3" t="str">
        <f t="shared" si="35"/>
        <v>Austin, Texas  78710</v>
      </c>
      <c r="G214" s="3"/>
      <c r="H214" s="3" t="str">
        <f t="shared" si="36"/>
        <v>78710</v>
      </c>
      <c r="I214" s="3">
        <f t="shared" si="37"/>
        <v>20</v>
      </c>
      <c r="J214" s="3">
        <f t="shared" si="38"/>
        <v>19</v>
      </c>
      <c r="K214" s="3" t="str">
        <f t="shared" si="39"/>
        <v>690252--16</v>
      </c>
      <c r="L214" s="3" t="str">
        <f t="shared" si="40"/>
        <v>690252--16</v>
      </c>
      <c r="M214" s="3">
        <f t="shared" si="41"/>
        <v>78710</v>
      </c>
      <c r="N214" s="3"/>
      <c r="O214" s="3"/>
      <c r="P214" s="3"/>
      <c r="Q214" s="3"/>
      <c r="R214" s="3"/>
      <c r="S214" s="3"/>
      <c r="T214" s="3" t="s">
        <v>481</v>
      </c>
      <c r="U214" s="3" t="s">
        <v>558</v>
      </c>
      <c r="V214" s="3" t="str">
        <f t="shared" si="42"/>
        <v>78710</v>
      </c>
      <c r="W214" s="3"/>
      <c r="X214" s="1" t="str">
        <f t="shared" si="43"/>
        <v>Texas</v>
      </c>
    </row>
    <row r="215" spans="1:24" ht="20.100000000000001" customHeight="1" x14ac:dyDescent="0.25">
      <c r="A215" s="3" t="s">
        <v>235</v>
      </c>
      <c r="B215" s="3">
        <v>111799</v>
      </c>
      <c r="C215" s="3">
        <v>214</v>
      </c>
      <c r="D215" s="3" t="str">
        <f t="shared" si="33"/>
        <v>beaumont, texas  77707</v>
      </c>
      <c r="E215" s="3" t="str">
        <f t="shared" si="34"/>
        <v>BEAUMONT, TEXAS  77707</v>
      </c>
      <c r="F215" s="3" t="str">
        <f t="shared" si="35"/>
        <v>Beaumont, Texas  77707</v>
      </c>
      <c r="G215" s="3"/>
      <c r="H215" s="3" t="str">
        <f t="shared" si="36"/>
        <v>77707</v>
      </c>
      <c r="I215" s="3">
        <f t="shared" si="37"/>
        <v>22</v>
      </c>
      <c r="J215" s="3">
        <f t="shared" si="38"/>
        <v>21</v>
      </c>
      <c r="K215" s="3" t="str">
        <f t="shared" si="39"/>
        <v>111799--214</v>
      </c>
      <c r="L215" s="3" t="str">
        <f t="shared" si="40"/>
        <v>111799--214</v>
      </c>
      <c r="M215" s="3">
        <f t="shared" si="41"/>
        <v>77707</v>
      </c>
      <c r="N215" s="3"/>
      <c r="O215" s="3"/>
      <c r="P215" s="3"/>
      <c r="Q215" s="3"/>
      <c r="R215" s="3"/>
      <c r="S215" s="3"/>
      <c r="T215" s="3" t="s">
        <v>482</v>
      </c>
      <c r="U215" s="3" t="s">
        <v>558</v>
      </c>
      <c r="V215" s="3" t="str">
        <f t="shared" si="42"/>
        <v>77707</v>
      </c>
      <c r="W215" s="3"/>
      <c r="X215" s="1" t="str">
        <f t="shared" si="43"/>
        <v>Texas</v>
      </c>
    </row>
    <row r="216" spans="1:24" ht="20.100000000000001" customHeight="1" x14ac:dyDescent="0.25">
      <c r="A216" s="3" t="s">
        <v>236</v>
      </c>
      <c r="B216" s="3">
        <v>167493</v>
      </c>
      <c r="C216" s="3">
        <v>132</v>
      </c>
      <c r="D216" s="3" t="str">
        <f t="shared" si="33"/>
        <v>brownsville, texas  78520</v>
      </c>
      <c r="E216" s="3" t="str">
        <f t="shared" si="34"/>
        <v>BROWNSVILLE, TEXAS  78520</v>
      </c>
      <c r="F216" s="3" t="str">
        <f t="shared" si="35"/>
        <v>Brownsville, Texas  78520</v>
      </c>
      <c r="G216" s="3"/>
      <c r="H216" s="3" t="str">
        <f t="shared" si="36"/>
        <v>78520</v>
      </c>
      <c r="I216" s="3">
        <f t="shared" si="37"/>
        <v>25</v>
      </c>
      <c r="J216" s="3">
        <f t="shared" si="38"/>
        <v>24</v>
      </c>
      <c r="K216" s="3" t="str">
        <f t="shared" si="39"/>
        <v>167493--132</v>
      </c>
      <c r="L216" s="3" t="str">
        <f t="shared" si="40"/>
        <v>167493--132</v>
      </c>
      <c r="M216" s="3">
        <f t="shared" si="41"/>
        <v>78520</v>
      </c>
      <c r="N216" s="3"/>
      <c r="O216" s="3"/>
      <c r="P216" s="3"/>
      <c r="Q216" s="3"/>
      <c r="R216" s="3"/>
      <c r="S216" s="3"/>
      <c r="T216" s="3" t="s">
        <v>483</v>
      </c>
      <c r="U216" s="3" t="s">
        <v>558</v>
      </c>
      <c r="V216" s="3" t="str">
        <f t="shared" si="42"/>
        <v>78520</v>
      </c>
      <c r="W216" s="3"/>
      <c r="X216" s="1" t="str">
        <f t="shared" si="43"/>
        <v>Texas</v>
      </c>
    </row>
    <row r="217" spans="1:24" ht="20.100000000000001" customHeight="1" x14ac:dyDescent="0.25">
      <c r="A217" s="3" t="s">
        <v>237</v>
      </c>
      <c r="B217" s="3">
        <v>118870</v>
      </c>
      <c r="C217" s="3">
        <v>197</v>
      </c>
      <c r="D217" s="3" t="str">
        <f t="shared" si="33"/>
        <v>carrollton, texas  75006</v>
      </c>
      <c r="E217" s="3" t="str">
        <f t="shared" si="34"/>
        <v>CARROLLTON, TEXAS  75006</v>
      </c>
      <c r="F217" s="3" t="str">
        <f t="shared" si="35"/>
        <v>Carrollton, Texas  75006</v>
      </c>
      <c r="G217" s="3"/>
      <c r="H217" s="3" t="str">
        <f t="shared" si="36"/>
        <v>75006</v>
      </c>
      <c r="I217" s="3">
        <f t="shared" si="37"/>
        <v>24</v>
      </c>
      <c r="J217" s="3">
        <f t="shared" si="38"/>
        <v>23</v>
      </c>
      <c r="K217" s="3" t="str">
        <f t="shared" si="39"/>
        <v>118870--197</v>
      </c>
      <c r="L217" s="3" t="str">
        <f t="shared" si="40"/>
        <v>118870--197</v>
      </c>
      <c r="M217" s="3">
        <f t="shared" si="41"/>
        <v>75006</v>
      </c>
      <c r="N217" s="3"/>
      <c r="O217" s="3"/>
      <c r="P217" s="3"/>
      <c r="Q217" s="3"/>
      <c r="R217" s="3"/>
      <c r="S217" s="3"/>
      <c r="T217" s="3" t="s">
        <v>484</v>
      </c>
      <c r="U217" s="3" t="s">
        <v>558</v>
      </c>
      <c r="V217" s="3" t="str">
        <f t="shared" si="42"/>
        <v>75006</v>
      </c>
      <c r="W217" s="3"/>
      <c r="X217" s="1" t="str">
        <f t="shared" si="43"/>
        <v>Texas</v>
      </c>
    </row>
    <row r="218" spans="1:24" ht="20.100000000000001" customHeight="1" x14ac:dyDescent="0.25">
      <c r="A218" s="3" t="s">
        <v>238</v>
      </c>
      <c r="B218" s="3">
        <v>283474</v>
      </c>
      <c r="C218" s="3">
        <v>64</v>
      </c>
      <c r="D218" s="3" t="str">
        <f t="shared" si="33"/>
        <v>corpus christi, texas  78469</v>
      </c>
      <c r="E218" s="3" t="str">
        <f t="shared" si="34"/>
        <v>CORPUS CHRISTI, TEXAS  78469</v>
      </c>
      <c r="F218" s="3" t="str">
        <f t="shared" si="35"/>
        <v>Corpus Christi, Texas  78469</v>
      </c>
      <c r="G218" s="3"/>
      <c r="H218" s="3" t="str">
        <f t="shared" si="36"/>
        <v>78469</v>
      </c>
      <c r="I218" s="3">
        <f t="shared" si="37"/>
        <v>28</v>
      </c>
      <c r="J218" s="3">
        <f t="shared" si="38"/>
        <v>27</v>
      </c>
      <c r="K218" s="3" t="str">
        <f t="shared" si="39"/>
        <v>283474--64</v>
      </c>
      <c r="L218" s="3" t="str">
        <f t="shared" si="40"/>
        <v>283474--64</v>
      </c>
      <c r="M218" s="3">
        <f t="shared" si="41"/>
        <v>78469</v>
      </c>
      <c r="N218" s="3"/>
      <c r="O218" s="3"/>
      <c r="P218" s="3"/>
      <c r="Q218" s="3"/>
      <c r="R218" s="3"/>
      <c r="S218" s="3"/>
      <c r="T218" s="3" t="s">
        <v>485</v>
      </c>
      <c r="U218" s="3" t="s">
        <v>558</v>
      </c>
      <c r="V218" s="3" t="str">
        <f t="shared" si="42"/>
        <v>78469</v>
      </c>
      <c r="W218" s="3"/>
      <c r="X218" s="1" t="str">
        <f t="shared" si="43"/>
        <v>Texas</v>
      </c>
    </row>
    <row r="219" spans="1:24" ht="20.100000000000001" customHeight="1" x14ac:dyDescent="0.25">
      <c r="A219" s="3" t="s">
        <v>239</v>
      </c>
      <c r="B219" s="3">
        <v>1213825</v>
      </c>
      <c r="C219" s="3">
        <v>9</v>
      </c>
      <c r="D219" s="3" t="str">
        <f t="shared" si="33"/>
        <v>dallas, texas  75260</v>
      </c>
      <c r="E219" s="3" t="str">
        <f t="shared" si="34"/>
        <v>DALLAS, TEXAS  75260</v>
      </c>
      <c r="F219" s="3" t="str">
        <f t="shared" si="35"/>
        <v>Dallas, Texas  75260</v>
      </c>
      <c r="G219" s="3"/>
      <c r="H219" s="3" t="str">
        <f t="shared" si="36"/>
        <v>75260</v>
      </c>
      <c r="I219" s="3">
        <f t="shared" si="37"/>
        <v>20</v>
      </c>
      <c r="J219" s="3">
        <f t="shared" si="38"/>
        <v>19</v>
      </c>
      <c r="K219" s="3" t="str">
        <f t="shared" si="39"/>
        <v>1213825--9</v>
      </c>
      <c r="L219" s="3" t="str">
        <f t="shared" si="40"/>
        <v>1213825--9</v>
      </c>
      <c r="M219" s="3">
        <f t="shared" si="41"/>
        <v>75260</v>
      </c>
      <c r="N219" s="3"/>
      <c r="O219" s="3"/>
      <c r="P219" s="3"/>
      <c r="Q219" s="3"/>
      <c r="R219" s="3"/>
      <c r="S219" s="3"/>
      <c r="T219" s="3" t="s">
        <v>486</v>
      </c>
      <c r="U219" s="3" t="s">
        <v>558</v>
      </c>
      <c r="V219" s="3" t="str">
        <f t="shared" si="42"/>
        <v>75260</v>
      </c>
      <c r="W219" s="3"/>
      <c r="X219" s="1" t="str">
        <f t="shared" si="43"/>
        <v>Texas</v>
      </c>
    </row>
    <row r="220" spans="1:24" ht="20.100000000000001" customHeight="1" x14ac:dyDescent="0.25">
      <c r="A220" s="3" t="s">
        <v>240</v>
      </c>
      <c r="B220" s="3">
        <v>104153</v>
      </c>
      <c r="C220" s="3">
        <v>237</v>
      </c>
      <c r="D220" s="3" t="str">
        <f t="shared" si="33"/>
        <v>denton, texas  76201</v>
      </c>
      <c r="E220" s="3" t="str">
        <f t="shared" si="34"/>
        <v>DENTON, TEXAS  76201</v>
      </c>
      <c r="F220" s="3" t="str">
        <f t="shared" si="35"/>
        <v>Denton, Texas  76201</v>
      </c>
      <c r="G220" s="3"/>
      <c r="H220" s="3" t="str">
        <f t="shared" si="36"/>
        <v>76201</v>
      </c>
      <c r="I220" s="3">
        <f t="shared" si="37"/>
        <v>20</v>
      </c>
      <c r="J220" s="3">
        <f t="shared" si="38"/>
        <v>19</v>
      </c>
      <c r="K220" s="3" t="str">
        <f t="shared" si="39"/>
        <v>104153--237</v>
      </c>
      <c r="L220" s="3" t="str">
        <f t="shared" si="40"/>
        <v>104153--237</v>
      </c>
      <c r="M220" s="3">
        <f t="shared" si="41"/>
        <v>76201</v>
      </c>
      <c r="N220" s="3"/>
      <c r="O220" s="3"/>
      <c r="P220" s="3"/>
      <c r="Q220" s="3"/>
      <c r="R220" s="3"/>
      <c r="S220" s="3"/>
      <c r="T220" s="3" t="s">
        <v>487</v>
      </c>
      <c r="U220" s="3" t="s">
        <v>558</v>
      </c>
      <c r="V220" s="3" t="str">
        <f t="shared" si="42"/>
        <v>76201</v>
      </c>
      <c r="W220" s="3"/>
      <c r="X220" s="1" t="str">
        <f t="shared" si="43"/>
        <v>Texas</v>
      </c>
    </row>
    <row r="221" spans="1:24" ht="20.100000000000001" customHeight="1" x14ac:dyDescent="0.25">
      <c r="A221" s="3" t="s">
        <v>241</v>
      </c>
      <c r="B221" s="3">
        <v>598590</v>
      </c>
      <c r="C221" s="3">
        <v>21</v>
      </c>
      <c r="D221" s="3" t="str">
        <f t="shared" si="33"/>
        <v>el paso, texas  79910</v>
      </c>
      <c r="E221" s="3" t="str">
        <f t="shared" si="34"/>
        <v>EL PASO, TEXAS  79910</v>
      </c>
      <c r="F221" s="3" t="str">
        <f t="shared" si="35"/>
        <v>El Paso, Texas  79910</v>
      </c>
      <c r="G221" s="3"/>
      <c r="H221" s="3" t="str">
        <f t="shared" si="36"/>
        <v>79910</v>
      </c>
      <c r="I221" s="3">
        <f t="shared" si="37"/>
        <v>21</v>
      </c>
      <c r="J221" s="3">
        <f t="shared" si="38"/>
        <v>20</v>
      </c>
      <c r="K221" s="3" t="str">
        <f t="shared" si="39"/>
        <v>598590--21</v>
      </c>
      <c r="L221" s="3" t="str">
        <f t="shared" si="40"/>
        <v>598590--21</v>
      </c>
      <c r="M221" s="3">
        <f t="shared" si="41"/>
        <v>79910</v>
      </c>
      <c r="N221" s="3"/>
      <c r="O221" s="3"/>
      <c r="P221" s="3"/>
      <c r="Q221" s="3"/>
      <c r="R221" s="3"/>
      <c r="S221" s="3"/>
      <c r="T221" s="3" t="s">
        <v>488</v>
      </c>
      <c r="U221" s="3" t="s">
        <v>558</v>
      </c>
      <c r="V221" s="3" t="str">
        <f t="shared" si="42"/>
        <v>79910</v>
      </c>
      <c r="W221" s="3"/>
      <c r="X221" s="1" t="str">
        <f t="shared" si="43"/>
        <v>Texas</v>
      </c>
    </row>
    <row r="222" spans="1:24" ht="20.100000000000001" customHeight="1" x14ac:dyDescent="0.25">
      <c r="A222" s="3" t="s">
        <v>242</v>
      </c>
      <c r="B222" s="3">
        <v>624067</v>
      </c>
      <c r="C222" s="3">
        <v>19</v>
      </c>
      <c r="D222" s="3" t="str">
        <f t="shared" si="33"/>
        <v>fort worth, texas  76161</v>
      </c>
      <c r="E222" s="3" t="str">
        <f t="shared" si="34"/>
        <v>FORT WORTH, TEXAS  76161</v>
      </c>
      <c r="F222" s="3" t="str">
        <f t="shared" si="35"/>
        <v>Fort Worth, Texas  76161</v>
      </c>
      <c r="G222" s="3"/>
      <c r="H222" s="3" t="str">
        <f t="shared" si="36"/>
        <v>76161</v>
      </c>
      <c r="I222" s="3">
        <f t="shared" si="37"/>
        <v>24</v>
      </c>
      <c r="J222" s="3">
        <f t="shared" si="38"/>
        <v>23</v>
      </c>
      <c r="K222" s="3" t="str">
        <f t="shared" si="39"/>
        <v>624067--19</v>
      </c>
      <c r="L222" s="3" t="str">
        <f t="shared" si="40"/>
        <v>624067--19</v>
      </c>
      <c r="M222" s="3">
        <f t="shared" si="41"/>
        <v>76161</v>
      </c>
      <c r="N222" s="3"/>
      <c r="O222" s="3"/>
      <c r="P222" s="3"/>
      <c r="Q222" s="3"/>
      <c r="R222" s="3"/>
      <c r="S222" s="3"/>
      <c r="T222" s="3" t="s">
        <v>489</v>
      </c>
      <c r="U222" s="3" t="s">
        <v>558</v>
      </c>
      <c r="V222" s="3" t="str">
        <f t="shared" si="42"/>
        <v>76161</v>
      </c>
      <c r="W222" s="3"/>
      <c r="X222" s="1" t="str">
        <f t="shared" si="43"/>
        <v>Texas</v>
      </c>
    </row>
    <row r="223" spans="1:24" ht="20.100000000000001" customHeight="1" x14ac:dyDescent="0.25">
      <c r="A223" s="3" t="s">
        <v>243</v>
      </c>
      <c r="B223" s="3">
        <v>216346</v>
      </c>
      <c r="C223" s="3">
        <v>86</v>
      </c>
      <c r="D223" s="3" t="str">
        <f t="shared" si="33"/>
        <v>garland, texas  75040</v>
      </c>
      <c r="E223" s="3" t="str">
        <f t="shared" si="34"/>
        <v>GARLAND, TEXAS  75040</v>
      </c>
      <c r="F223" s="3" t="str">
        <f t="shared" si="35"/>
        <v>Garland, Texas  75040</v>
      </c>
      <c r="G223" s="3"/>
      <c r="H223" s="3" t="str">
        <f t="shared" si="36"/>
        <v>75040</v>
      </c>
      <c r="I223" s="3">
        <f t="shared" si="37"/>
        <v>21</v>
      </c>
      <c r="J223" s="3">
        <f t="shared" si="38"/>
        <v>20</v>
      </c>
      <c r="K223" s="3" t="str">
        <f t="shared" si="39"/>
        <v>216346--86</v>
      </c>
      <c r="L223" s="3" t="str">
        <f t="shared" si="40"/>
        <v>216346--86</v>
      </c>
      <c r="M223" s="3">
        <f t="shared" si="41"/>
        <v>75040</v>
      </c>
      <c r="N223" s="3"/>
      <c r="O223" s="3"/>
      <c r="P223" s="3"/>
      <c r="Q223" s="3"/>
      <c r="R223" s="3"/>
      <c r="S223" s="3"/>
      <c r="T223" s="3" t="s">
        <v>490</v>
      </c>
      <c r="U223" s="3" t="s">
        <v>558</v>
      </c>
      <c r="V223" s="3" t="str">
        <f t="shared" si="42"/>
        <v>75040</v>
      </c>
      <c r="W223" s="3"/>
      <c r="X223" s="1" t="str">
        <f t="shared" si="43"/>
        <v>Texas</v>
      </c>
    </row>
    <row r="224" spans="1:24" ht="20.100000000000001" customHeight="1" x14ac:dyDescent="0.25">
      <c r="A224" s="3" t="s">
        <v>244</v>
      </c>
      <c r="B224" s="3">
        <v>144337</v>
      </c>
      <c r="C224" s="3">
        <v>157</v>
      </c>
      <c r="D224" s="3" t="str">
        <f t="shared" si="33"/>
        <v>grand prairie, texas  75051</v>
      </c>
      <c r="E224" s="3" t="str">
        <f t="shared" si="34"/>
        <v>GRAND PRAIRIE, TEXAS  75051</v>
      </c>
      <c r="F224" s="3" t="str">
        <f t="shared" si="35"/>
        <v>Grand Prairie, Texas  75051</v>
      </c>
      <c r="G224" s="3"/>
      <c r="H224" s="3" t="str">
        <f t="shared" si="36"/>
        <v>75051</v>
      </c>
      <c r="I224" s="3">
        <f t="shared" si="37"/>
        <v>27</v>
      </c>
      <c r="J224" s="3">
        <f t="shared" si="38"/>
        <v>26</v>
      </c>
      <c r="K224" s="3" t="str">
        <f t="shared" si="39"/>
        <v>144337--157</v>
      </c>
      <c r="L224" s="3" t="str">
        <f t="shared" si="40"/>
        <v>144337--157</v>
      </c>
      <c r="M224" s="3">
        <f t="shared" si="41"/>
        <v>75051</v>
      </c>
      <c r="N224" s="3"/>
      <c r="O224" s="3"/>
      <c r="P224" s="3"/>
      <c r="Q224" s="3"/>
      <c r="R224" s="3"/>
      <c r="S224" s="3"/>
      <c r="T224" s="3" t="s">
        <v>491</v>
      </c>
      <c r="U224" s="3" t="s">
        <v>558</v>
      </c>
      <c r="V224" s="3" t="str">
        <f t="shared" si="42"/>
        <v>75051</v>
      </c>
      <c r="W224" s="3"/>
      <c r="X224" s="1" t="str">
        <f t="shared" si="43"/>
        <v>Texas</v>
      </c>
    </row>
    <row r="225" spans="1:24" ht="20.100000000000001" customHeight="1" x14ac:dyDescent="0.25">
      <c r="A225" s="3" t="s">
        <v>245</v>
      </c>
      <c r="B225" s="3">
        <v>2016582</v>
      </c>
      <c r="C225" s="3">
        <v>4</v>
      </c>
      <c r="D225" s="3" t="str">
        <f t="shared" si="33"/>
        <v>houston, texas  77201</v>
      </c>
      <c r="E225" s="3" t="str">
        <f t="shared" si="34"/>
        <v>HOUSTON, TEXAS  77201</v>
      </c>
      <c r="F225" s="3" t="str">
        <f t="shared" si="35"/>
        <v>Houston, Texas  77201</v>
      </c>
      <c r="G225" s="3"/>
      <c r="H225" s="3" t="str">
        <f t="shared" si="36"/>
        <v>77201</v>
      </c>
      <c r="I225" s="3">
        <f t="shared" si="37"/>
        <v>21</v>
      </c>
      <c r="J225" s="3">
        <f t="shared" si="38"/>
        <v>20</v>
      </c>
      <c r="K225" s="3" t="str">
        <f t="shared" si="39"/>
        <v>2016582--4</v>
      </c>
      <c r="L225" s="3" t="str">
        <f t="shared" si="40"/>
        <v>2016582--4</v>
      </c>
      <c r="M225" s="3">
        <f t="shared" si="41"/>
        <v>77201</v>
      </c>
      <c r="N225" s="3"/>
      <c r="O225" s="3"/>
      <c r="P225" s="3"/>
      <c r="Q225" s="3"/>
      <c r="R225" s="3"/>
      <c r="S225" s="3"/>
      <c r="T225" s="3" t="s">
        <v>492</v>
      </c>
      <c r="U225" s="3" t="s">
        <v>558</v>
      </c>
      <c r="V225" s="3" t="str">
        <f t="shared" si="42"/>
        <v>77201</v>
      </c>
      <c r="W225" s="3"/>
      <c r="X225" s="1" t="str">
        <f t="shared" si="43"/>
        <v>Texas</v>
      </c>
    </row>
    <row r="226" spans="1:24" ht="20.100000000000001" customHeight="1" x14ac:dyDescent="0.25">
      <c r="A226" s="3" t="s">
        <v>246</v>
      </c>
      <c r="B226" s="3">
        <v>193649</v>
      </c>
      <c r="C226" s="3">
        <v>110</v>
      </c>
      <c r="D226" s="3" t="str">
        <f t="shared" si="33"/>
        <v>irving, texas  75061</v>
      </c>
      <c r="E226" s="3" t="str">
        <f t="shared" si="34"/>
        <v>IRVING, TEXAS  75061</v>
      </c>
      <c r="F226" s="3" t="str">
        <f t="shared" si="35"/>
        <v>Irving, Texas  75061</v>
      </c>
      <c r="G226" s="3"/>
      <c r="H226" s="3" t="str">
        <f t="shared" si="36"/>
        <v>75061</v>
      </c>
      <c r="I226" s="3">
        <f t="shared" si="37"/>
        <v>20</v>
      </c>
      <c r="J226" s="3">
        <f t="shared" si="38"/>
        <v>19</v>
      </c>
      <c r="K226" s="3" t="str">
        <f t="shared" si="39"/>
        <v>193649--110</v>
      </c>
      <c r="L226" s="3" t="str">
        <f t="shared" si="40"/>
        <v>193649--110</v>
      </c>
      <c r="M226" s="3">
        <f t="shared" si="41"/>
        <v>75061</v>
      </c>
      <c r="N226" s="3"/>
      <c r="O226" s="3"/>
      <c r="P226" s="3"/>
      <c r="Q226" s="3"/>
      <c r="R226" s="3"/>
      <c r="S226" s="3"/>
      <c r="T226" s="3" t="s">
        <v>493</v>
      </c>
      <c r="U226" s="3" t="s">
        <v>558</v>
      </c>
      <c r="V226" s="3" t="str">
        <f t="shared" si="42"/>
        <v>75061</v>
      </c>
      <c r="W226" s="3"/>
      <c r="X226" s="1" t="str">
        <f t="shared" si="43"/>
        <v>Texas</v>
      </c>
    </row>
    <row r="227" spans="1:24" ht="20.100000000000001" customHeight="1" x14ac:dyDescent="0.25">
      <c r="A227" s="3" t="s">
        <v>247</v>
      </c>
      <c r="B227" s="3">
        <v>100233</v>
      </c>
      <c r="C227" s="3">
        <v>251</v>
      </c>
      <c r="D227" s="3" t="str">
        <f t="shared" si="33"/>
        <v>killeen, texas  76541</v>
      </c>
      <c r="E227" s="3" t="str">
        <f t="shared" si="34"/>
        <v>KILLEEN, TEXAS  76541</v>
      </c>
      <c r="F227" s="3" t="str">
        <f t="shared" si="35"/>
        <v>Killeen, Texas  76541</v>
      </c>
      <c r="G227" s="3"/>
      <c r="H227" s="3" t="str">
        <f t="shared" si="36"/>
        <v>76541</v>
      </c>
      <c r="I227" s="3">
        <f t="shared" si="37"/>
        <v>21</v>
      </c>
      <c r="J227" s="3">
        <f t="shared" si="38"/>
        <v>20</v>
      </c>
      <c r="K227" s="3" t="str">
        <f t="shared" si="39"/>
        <v>100233--251</v>
      </c>
      <c r="L227" s="3" t="str">
        <f t="shared" si="40"/>
        <v>100233--251</v>
      </c>
      <c r="M227" s="3">
        <f t="shared" si="41"/>
        <v>76541</v>
      </c>
      <c r="N227" s="3"/>
      <c r="O227" s="3"/>
      <c r="P227" s="3"/>
      <c r="Q227" s="3"/>
      <c r="R227" s="3"/>
      <c r="S227" s="3"/>
      <c r="T227" s="3" t="s">
        <v>494</v>
      </c>
      <c r="U227" s="3" t="s">
        <v>558</v>
      </c>
      <c r="V227" s="3" t="str">
        <f t="shared" si="42"/>
        <v>76541</v>
      </c>
      <c r="W227" s="3"/>
      <c r="X227" s="1" t="str">
        <f t="shared" si="43"/>
        <v>Texas</v>
      </c>
    </row>
    <row r="228" spans="1:24" ht="20.100000000000001" customHeight="1" x14ac:dyDescent="0.25">
      <c r="A228" s="3" t="s">
        <v>248</v>
      </c>
      <c r="B228" s="3">
        <v>208754</v>
      </c>
      <c r="C228" s="3">
        <v>92</v>
      </c>
      <c r="D228" s="3" t="str">
        <f t="shared" si="33"/>
        <v>laredo, texas  78041</v>
      </c>
      <c r="E228" s="3" t="str">
        <f t="shared" si="34"/>
        <v>LAREDO, TEXAS  78041</v>
      </c>
      <c r="F228" s="3" t="str">
        <f t="shared" si="35"/>
        <v>Laredo, Texas  78041</v>
      </c>
      <c r="G228" s="3"/>
      <c r="H228" s="3" t="str">
        <f t="shared" si="36"/>
        <v>78041</v>
      </c>
      <c r="I228" s="3">
        <f t="shared" si="37"/>
        <v>20</v>
      </c>
      <c r="J228" s="3">
        <f t="shared" si="38"/>
        <v>19</v>
      </c>
      <c r="K228" s="3" t="str">
        <f t="shared" si="39"/>
        <v>208754--92</v>
      </c>
      <c r="L228" s="3" t="str">
        <f t="shared" si="40"/>
        <v>208754--92</v>
      </c>
      <c r="M228" s="3">
        <f t="shared" si="41"/>
        <v>78041</v>
      </c>
      <c r="N228" s="3"/>
      <c r="O228" s="3"/>
      <c r="P228" s="3"/>
      <c r="Q228" s="3"/>
      <c r="R228" s="3"/>
      <c r="S228" s="3"/>
      <c r="T228" s="3" t="s">
        <v>495</v>
      </c>
      <c r="U228" s="3" t="s">
        <v>558</v>
      </c>
      <c r="V228" s="3" t="str">
        <f t="shared" si="42"/>
        <v>78041</v>
      </c>
      <c r="W228" s="3"/>
      <c r="X228" s="1" t="str">
        <f t="shared" si="43"/>
        <v>Texas</v>
      </c>
    </row>
    <row r="229" spans="1:24" ht="20.100000000000001" customHeight="1" x14ac:dyDescent="0.25">
      <c r="A229" s="3" t="s">
        <v>249</v>
      </c>
      <c r="B229" s="3">
        <v>209737</v>
      </c>
      <c r="C229" s="3">
        <v>91</v>
      </c>
      <c r="D229" s="3" t="str">
        <f t="shared" si="33"/>
        <v>lubbock, texas  79402</v>
      </c>
      <c r="E229" s="3" t="str">
        <f t="shared" si="34"/>
        <v>LUBBOCK, TEXAS  79402</v>
      </c>
      <c r="F229" s="3" t="str">
        <f t="shared" si="35"/>
        <v>Lubbock, Texas  79402</v>
      </c>
      <c r="G229" s="3"/>
      <c r="H229" s="3" t="str">
        <f t="shared" si="36"/>
        <v>79402</v>
      </c>
      <c r="I229" s="3">
        <f t="shared" si="37"/>
        <v>21</v>
      </c>
      <c r="J229" s="3">
        <f t="shared" si="38"/>
        <v>20</v>
      </c>
      <c r="K229" s="3" t="str">
        <f t="shared" si="39"/>
        <v>209737--91</v>
      </c>
      <c r="L229" s="3" t="str">
        <f t="shared" si="40"/>
        <v>209737--91</v>
      </c>
      <c r="M229" s="3">
        <f t="shared" si="41"/>
        <v>79402</v>
      </c>
      <c r="N229" s="3"/>
      <c r="O229" s="3"/>
      <c r="P229" s="3"/>
      <c r="Q229" s="3"/>
      <c r="R229" s="3"/>
      <c r="S229" s="3"/>
      <c r="T229" s="3" t="s">
        <v>496</v>
      </c>
      <c r="U229" s="3" t="s">
        <v>558</v>
      </c>
      <c r="V229" s="3" t="str">
        <f t="shared" si="42"/>
        <v>79402</v>
      </c>
      <c r="W229" s="3"/>
      <c r="X229" s="1" t="str">
        <f t="shared" si="43"/>
        <v>Texas</v>
      </c>
    </row>
    <row r="230" spans="1:24" ht="20.100000000000001" customHeight="1" x14ac:dyDescent="0.25">
      <c r="A230" s="3" t="s">
        <v>250</v>
      </c>
      <c r="B230" s="3">
        <v>123622</v>
      </c>
      <c r="C230" s="3">
        <v>190</v>
      </c>
      <c r="D230" s="3" t="str">
        <f t="shared" si="33"/>
        <v>mcallen, texas  78501</v>
      </c>
      <c r="E230" s="3" t="str">
        <f t="shared" si="34"/>
        <v>MCALLEN, TEXAS  78501</v>
      </c>
      <c r="F230" s="3" t="str">
        <f t="shared" si="35"/>
        <v>Mcallen, Texas  78501</v>
      </c>
      <c r="G230" s="3"/>
      <c r="H230" s="3" t="str">
        <f t="shared" si="36"/>
        <v>78501</v>
      </c>
      <c r="I230" s="3">
        <f t="shared" si="37"/>
        <v>21</v>
      </c>
      <c r="J230" s="3">
        <f t="shared" si="38"/>
        <v>20</v>
      </c>
      <c r="K230" s="3" t="str">
        <f t="shared" si="39"/>
        <v>123622--190</v>
      </c>
      <c r="L230" s="3" t="str">
        <f t="shared" si="40"/>
        <v>123622--190</v>
      </c>
      <c r="M230" s="3">
        <f t="shared" si="41"/>
        <v>78501</v>
      </c>
      <c r="N230" s="3"/>
      <c r="O230" s="3"/>
      <c r="P230" s="3"/>
      <c r="Q230" s="3"/>
      <c r="R230" s="3"/>
      <c r="S230" s="3"/>
      <c r="T230" s="3" t="s">
        <v>497</v>
      </c>
      <c r="U230" s="3" t="s">
        <v>558</v>
      </c>
      <c r="V230" s="3" t="str">
        <f t="shared" si="42"/>
        <v>78501</v>
      </c>
      <c r="W230" s="3"/>
      <c r="X230" s="1" t="str">
        <f t="shared" si="43"/>
        <v>Texas</v>
      </c>
    </row>
    <row r="231" spans="1:24" ht="20.100000000000001" customHeight="1" x14ac:dyDescent="0.25">
      <c r="A231" s="3" t="s">
        <v>251</v>
      </c>
      <c r="B231" s="3">
        <v>129902</v>
      </c>
      <c r="C231" s="3">
        <v>180</v>
      </c>
      <c r="D231" s="3" t="str">
        <f t="shared" si="33"/>
        <v>mesquite, texas  75149</v>
      </c>
      <c r="E231" s="3" t="str">
        <f t="shared" si="34"/>
        <v>MESQUITE, TEXAS  75149</v>
      </c>
      <c r="F231" s="3" t="str">
        <f t="shared" si="35"/>
        <v>Mesquite, Texas  75149</v>
      </c>
      <c r="G231" s="3"/>
      <c r="H231" s="3" t="str">
        <f t="shared" si="36"/>
        <v>75149</v>
      </c>
      <c r="I231" s="3">
        <f t="shared" si="37"/>
        <v>22</v>
      </c>
      <c r="J231" s="3">
        <f t="shared" si="38"/>
        <v>21</v>
      </c>
      <c r="K231" s="3" t="str">
        <f t="shared" si="39"/>
        <v>129902--180</v>
      </c>
      <c r="L231" s="3" t="str">
        <f t="shared" si="40"/>
        <v>129902--180</v>
      </c>
      <c r="M231" s="3">
        <f t="shared" si="41"/>
        <v>75149</v>
      </c>
      <c r="N231" s="3"/>
      <c r="O231" s="3"/>
      <c r="P231" s="3"/>
      <c r="Q231" s="3"/>
      <c r="R231" s="3"/>
      <c r="S231" s="3"/>
      <c r="T231" s="3" t="s">
        <v>498</v>
      </c>
      <c r="U231" s="3" t="s">
        <v>558</v>
      </c>
      <c r="V231" s="3" t="str">
        <f t="shared" si="42"/>
        <v>75149</v>
      </c>
      <c r="W231" s="3"/>
      <c r="X231" s="1" t="str">
        <f t="shared" si="43"/>
        <v>Texas</v>
      </c>
    </row>
    <row r="232" spans="1:24" ht="20.100000000000001" customHeight="1" x14ac:dyDescent="0.25">
      <c r="A232" s="3" t="s">
        <v>252</v>
      </c>
      <c r="B232" s="3">
        <v>143852</v>
      </c>
      <c r="C232" s="3">
        <v>159</v>
      </c>
      <c r="D232" s="3" t="str">
        <f t="shared" si="33"/>
        <v>pasadena, texas  77501</v>
      </c>
      <c r="E232" s="3" t="str">
        <f t="shared" si="34"/>
        <v>PASADENA, TEXAS  77501</v>
      </c>
      <c r="F232" s="3" t="str">
        <f t="shared" si="35"/>
        <v>Pasadena, Texas  77501</v>
      </c>
      <c r="G232" s="3"/>
      <c r="H232" s="3" t="str">
        <f t="shared" si="36"/>
        <v>77501</v>
      </c>
      <c r="I232" s="3">
        <f t="shared" si="37"/>
        <v>22</v>
      </c>
      <c r="J232" s="3">
        <f t="shared" si="38"/>
        <v>21</v>
      </c>
      <c r="K232" s="3" t="str">
        <f t="shared" si="39"/>
        <v>143852--159</v>
      </c>
      <c r="L232" s="3" t="str">
        <f t="shared" si="40"/>
        <v>143852--159</v>
      </c>
      <c r="M232" s="3">
        <f t="shared" si="41"/>
        <v>77501</v>
      </c>
      <c r="N232" s="3"/>
      <c r="O232" s="3"/>
      <c r="P232" s="3"/>
      <c r="Q232" s="3"/>
      <c r="R232" s="3"/>
      <c r="S232" s="3"/>
      <c r="T232" s="3" t="s">
        <v>327</v>
      </c>
      <c r="U232" s="3" t="s">
        <v>558</v>
      </c>
      <c r="V232" s="3" t="str">
        <f t="shared" si="42"/>
        <v>77501</v>
      </c>
      <c r="W232" s="3"/>
      <c r="X232" s="1" t="str">
        <f t="shared" si="43"/>
        <v>Texas</v>
      </c>
    </row>
    <row r="233" spans="1:24" ht="20.100000000000001" customHeight="1" x14ac:dyDescent="0.25">
      <c r="A233" s="3" t="s">
        <v>253</v>
      </c>
      <c r="B233" s="3">
        <v>250096</v>
      </c>
      <c r="C233" s="3">
        <v>70</v>
      </c>
      <c r="D233" s="3" t="str">
        <f t="shared" si="33"/>
        <v>plano, texas  75074</v>
      </c>
      <c r="E233" s="3" t="str">
        <f t="shared" si="34"/>
        <v>PLANO, TEXAS  75074</v>
      </c>
      <c r="F233" s="3" t="str">
        <f t="shared" si="35"/>
        <v>Plano, Texas  75074</v>
      </c>
      <c r="G233" s="3"/>
      <c r="H233" s="3" t="str">
        <f t="shared" si="36"/>
        <v>75074</v>
      </c>
      <c r="I233" s="3">
        <f t="shared" si="37"/>
        <v>19</v>
      </c>
      <c r="J233" s="3">
        <f t="shared" si="38"/>
        <v>18</v>
      </c>
      <c r="K233" s="3" t="str">
        <f t="shared" si="39"/>
        <v>250096--70</v>
      </c>
      <c r="L233" s="3" t="str">
        <f t="shared" si="40"/>
        <v>250096--70</v>
      </c>
      <c r="M233" s="3">
        <f t="shared" si="41"/>
        <v>75074</v>
      </c>
      <c r="N233" s="3"/>
      <c r="O233" s="3"/>
      <c r="P233" s="3"/>
      <c r="Q233" s="3"/>
      <c r="R233" s="3"/>
      <c r="S233" s="3"/>
      <c r="T233" s="3" t="s">
        <v>499</v>
      </c>
      <c r="U233" s="3" t="s">
        <v>558</v>
      </c>
      <c r="V233" s="3" t="str">
        <f t="shared" si="42"/>
        <v>75074</v>
      </c>
      <c r="W233" s="3"/>
      <c r="X233" s="1" t="str">
        <f t="shared" si="43"/>
        <v>Texas</v>
      </c>
    </row>
    <row r="234" spans="1:24" ht="20.100000000000001" customHeight="1" x14ac:dyDescent="0.25">
      <c r="A234" s="3" t="s">
        <v>254</v>
      </c>
      <c r="B234" s="3">
        <v>1256509</v>
      </c>
      <c r="C234" s="3">
        <v>7</v>
      </c>
      <c r="D234" s="3" t="str">
        <f t="shared" si="33"/>
        <v>san antonio, texas  78284</v>
      </c>
      <c r="E234" s="3" t="str">
        <f t="shared" si="34"/>
        <v>SAN ANTONIO, TEXAS  78284</v>
      </c>
      <c r="F234" s="3" t="str">
        <f t="shared" si="35"/>
        <v>San Antonio, Texas  78284</v>
      </c>
      <c r="G234" s="3"/>
      <c r="H234" s="3" t="str">
        <f t="shared" si="36"/>
        <v>78284</v>
      </c>
      <c r="I234" s="3">
        <f t="shared" si="37"/>
        <v>25</v>
      </c>
      <c r="J234" s="3">
        <f t="shared" si="38"/>
        <v>24</v>
      </c>
      <c r="K234" s="3" t="str">
        <f t="shared" si="39"/>
        <v>1256509--7</v>
      </c>
      <c r="L234" s="3" t="str">
        <f t="shared" si="40"/>
        <v>1256509--7</v>
      </c>
      <c r="M234" s="3">
        <f t="shared" si="41"/>
        <v>78284</v>
      </c>
      <c r="N234" s="3"/>
      <c r="O234" s="3"/>
      <c r="P234" s="3"/>
      <c r="Q234" s="3"/>
      <c r="R234" s="3"/>
      <c r="S234" s="3"/>
      <c r="T234" s="3" t="s">
        <v>500</v>
      </c>
      <c r="U234" s="3" t="s">
        <v>558</v>
      </c>
      <c r="V234" s="3" t="str">
        <f t="shared" si="42"/>
        <v>78284</v>
      </c>
      <c r="W234" s="3"/>
      <c r="X234" s="1" t="str">
        <f t="shared" si="43"/>
        <v>Texas</v>
      </c>
    </row>
    <row r="235" spans="1:24" ht="20.100000000000001" customHeight="1" x14ac:dyDescent="0.25">
      <c r="A235" s="3" t="s">
        <v>255</v>
      </c>
      <c r="B235" s="3">
        <v>120465</v>
      </c>
      <c r="C235" s="3">
        <v>195</v>
      </c>
      <c r="D235" s="3" t="str">
        <f t="shared" si="33"/>
        <v>waco, texas  76702</v>
      </c>
      <c r="E235" s="3" t="str">
        <f t="shared" si="34"/>
        <v>WACO, TEXAS  76702</v>
      </c>
      <c r="F235" s="3" t="str">
        <f t="shared" si="35"/>
        <v>Waco, Texas  76702</v>
      </c>
      <c r="G235" s="3"/>
      <c r="H235" s="3" t="str">
        <f t="shared" si="36"/>
        <v>76702</v>
      </c>
      <c r="I235" s="3">
        <f t="shared" si="37"/>
        <v>18</v>
      </c>
      <c r="J235" s="3">
        <f t="shared" si="38"/>
        <v>17</v>
      </c>
      <c r="K235" s="3" t="str">
        <f t="shared" si="39"/>
        <v>120465--195</v>
      </c>
      <c r="L235" s="3" t="str">
        <f t="shared" si="40"/>
        <v>120465--195</v>
      </c>
      <c r="M235" s="3">
        <f t="shared" si="41"/>
        <v>76702</v>
      </c>
      <c r="N235" s="3"/>
      <c r="O235" s="3"/>
      <c r="P235" s="3"/>
      <c r="Q235" s="3"/>
      <c r="R235" s="3"/>
      <c r="S235" s="3"/>
      <c r="T235" s="3" t="s">
        <v>501</v>
      </c>
      <c r="U235" s="3" t="s">
        <v>558</v>
      </c>
      <c r="V235" s="3" t="str">
        <f t="shared" si="42"/>
        <v>76702</v>
      </c>
      <c r="W235" s="3"/>
      <c r="X235" s="1" t="str">
        <f t="shared" si="43"/>
        <v>Texas</v>
      </c>
    </row>
    <row r="236" spans="1:24" ht="20.100000000000001" customHeight="1" x14ac:dyDescent="0.25">
      <c r="A236" s="3" t="s">
        <v>256</v>
      </c>
      <c r="B236" s="3">
        <v>178097</v>
      </c>
      <c r="C236" s="3">
        <v>122</v>
      </c>
      <c r="D236" s="3" t="str">
        <f t="shared" si="33"/>
        <v>salt lake city, utah  84199</v>
      </c>
      <c r="E236" s="3" t="str">
        <f t="shared" si="34"/>
        <v>SALT LAKE CITY, UTAH  84199</v>
      </c>
      <c r="F236" s="3" t="str">
        <f t="shared" si="35"/>
        <v>Salt Lake City, Utah  84199</v>
      </c>
      <c r="G236" s="3"/>
      <c r="H236" s="3" t="str">
        <f t="shared" si="36"/>
        <v>84199</v>
      </c>
      <c r="I236" s="3">
        <f t="shared" si="37"/>
        <v>27</v>
      </c>
      <c r="J236" s="3">
        <f t="shared" si="38"/>
        <v>26</v>
      </c>
      <c r="K236" s="3" t="str">
        <f t="shared" si="39"/>
        <v>178097--122</v>
      </c>
      <c r="L236" s="3" t="str">
        <f t="shared" si="40"/>
        <v>178097--122</v>
      </c>
      <c r="M236" s="3">
        <f t="shared" si="41"/>
        <v>84199</v>
      </c>
      <c r="N236" s="3"/>
      <c r="O236" s="3"/>
      <c r="P236" s="3"/>
      <c r="Q236" s="3"/>
      <c r="R236" s="3"/>
      <c r="S236" s="3"/>
      <c r="T236" s="3" t="s">
        <v>502</v>
      </c>
      <c r="U236" s="3" t="s">
        <v>559</v>
      </c>
      <c r="V236" s="3" t="str">
        <f t="shared" si="42"/>
        <v>84199</v>
      </c>
      <c r="W236" s="3"/>
      <c r="X236" s="1" t="str">
        <f t="shared" si="43"/>
        <v>Utah</v>
      </c>
    </row>
    <row r="237" spans="1:24" ht="20.100000000000001" customHeight="1" x14ac:dyDescent="0.25">
      <c r="A237" s="3" t="s">
        <v>257</v>
      </c>
      <c r="B237" s="3">
        <v>113300</v>
      </c>
      <c r="C237" s="3">
        <v>208</v>
      </c>
      <c r="D237" s="3" t="str">
        <f t="shared" si="33"/>
        <v>west valley city, utah  84199</v>
      </c>
      <c r="E237" s="3" t="str">
        <f t="shared" si="34"/>
        <v>WEST VALLEY CITY, UTAH  84199</v>
      </c>
      <c r="F237" s="3" t="str">
        <f t="shared" si="35"/>
        <v>West Valley City, Utah  84199</v>
      </c>
      <c r="G237" s="3"/>
      <c r="H237" s="3" t="str">
        <f t="shared" si="36"/>
        <v>84199</v>
      </c>
      <c r="I237" s="3">
        <f t="shared" si="37"/>
        <v>29</v>
      </c>
      <c r="J237" s="3">
        <f t="shared" si="38"/>
        <v>28</v>
      </c>
      <c r="K237" s="3" t="str">
        <f t="shared" si="39"/>
        <v>113300--208</v>
      </c>
      <c r="L237" s="3" t="str">
        <f t="shared" si="40"/>
        <v>113300--208</v>
      </c>
      <c r="M237" s="3">
        <f t="shared" si="41"/>
        <v>84199</v>
      </c>
      <c r="N237" s="3"/>
      <c r="O237" s="3"/>
      <c r="P237" s="3"/>
      <c r="Q237" s="3"/>
      <c r="R237" s="3"/>
      <c r="S237" s="3"/>
      <c r="T237" s="3" t="s">
        <v>503</v>
      </c>
      <c r="U237" s="3" t="s">
        <v>559</v>
      </c>
      <c r="V237" s="3" t="str">
        <f t="shared" si="42"/>
        <v>84199</v>
      </c>
      <c r="W237" s="3"/>
      <c r="X237" s="1" t="str">
        <f t="shared" si="43"/>
        <v>Utah</v>
      </c>
    </row>
    <row r="238" spans="1:24" ht="20.100000000000001" customHeight="1" x14ac:dyDescent="0.25">
      <c r="A238" s="3" t="s">
        <v>258</v>
      </c>
      <c r="B238" s="3">
        <v>135337</v>
      </c>
      <c r="C238" s="3">
        <v>171</v>
      </c>
      <c r="D238" s="3" t="str">
        <f t="shared" si="33"/>
        <v>alexandria, virginia  22314</v>
      </c>
      <c r="E238" s="3" t="str">
        <f t="shared" si="34"/>
        <v>ALEXANDRIA, VIRGINIA  22314</v>
      </c>
      <c r="F238" s="3" t="str">
        <f t="shared" si="35"/>
        <v>Alexandria, Virginia  22314</v>
      </c>
      <c r="G238" s="3"/>
      <c r="H238" s="3" t="str">
        <f t="shared" si="36"/>
        <v>22314</v>
      </c>
      <c r="I238" s="3">
        <f t="shared" si="37"/>
        <v>27</v>
      </c>
      <c r="J238" s="3">
        <f t="shared" si="38"/>
        <v>26</v>
      </c>
      <c r="K238" s="3" t="str">
        <f t="shared" si="39"/>
        <v>135337--171</v>
      </c>
      <c r="L238" s="3" t="str">
        <f t="shared" si="40"/>
        <v>135337--171</v>
      </c>
      <c r="M238" s="3">
        <f t="shared" si="41"/>
        <v>22314</v>
      </c>
      <c r="N238" s="3"/>
      <c r="O238" s="3"/>
      <c r="P238" s="3"/>
      <c r="Q238" s="3"/>
      <c r="R238" s="3"/>
      <c r="S238" s="3"/>
      <c r="T238" s="3" t="s">
        <v>504</v>
      </c>
      <c r="U238" s="3" t="s">
        <v>560</v>
      </c>
      <c r="V238" s="3" t="str">
        <f t="shared" si="42"/>
        <v>22314</v>
      </c>
      <c r="W238" s="3"/>
      <c r="X238" s="1" t="str">
        <f t="shared" si="43"/>
        <v>Virginia</v>
      </c>
    </row>
    <row r="239" spans="1:24" ht="20.100000000000001" customHeight="1" x14ac:dyDescent="0.25">
      <c r="A239" s="3" t="s">
        <v>259</v>
      </c>
      <c r="B239" s="3">
        <v>195965</v>
      </c>
      <c r="C239" s="3">
        <v>103</v>
      </c>
      <c r="D239" s="3" t="str">
        <f t="shared" si="33"/>
        <v>arlington cdp, virginia  23320</v>
      </c>
      <c r="E239" s="3" t="str">
        <f t="shared" si="34"/>
        <v>ARLINGTON CDP, VIRGINIA  23320</v>
      </c>
      <c r="F239" s="3" t="str">
        <f t="shared" si="35"/>
        <v>Arlington Cdp, Virginia  23320</v>
      </c>
      <c r="G239" s="3"/>
      <c r="H239" s="3" t="str">
        <f t="shared" si="36"/>
        <v>23320</v>
      </c>
      <c r="I239" s="3">
        <f t="shared" si="37"/>
        <v>30</v>
      </c>
      <c r="J239" s="3">
        <f t="shared" si="38"/>
        <v>29</v>
      </c>
      <c r="K239" s="3" t="str">
        <f t="shared" si="39"/>
        <v>195965--103</v>
      </c>
      <c r="L239" s="3" t="str">
        <f t="shared" si="40"/>
        <v>195965--103</v>
      </c>
      <c r="M239" s="3">
        <f t="shared" si="41"/>
        <v>23320</v>
      </c>
      <c r="N239" s="3"/>
      <c r="O239" s="3"/>
      <c r="P239" s="3"/>
      <c r="Q239" s="3"/>
      <c r="R239" s="3"/>
      <c r="S239" s="3"/>
      <c r="T239" s="3" t="s">
        <v>505</v>
      </c>
      <c r="U239" s="3" t="s">
        <v>560</v>
      </c>
      <c r="V239" s="3" t="str">
        <f t="shared" si="42"/>
        <v>23320</v>
      </c>
      <c r="W239" s="3"/>
      <c r="X239" s="1" t="str">
        <f t="shared" si="43"/>
        <v>Virginia</v>
      </c>
    </row>
    <row r="240" spans="1:24" ht="20.100000000000001" customHeight="1" x14ac:dyDescent="0.25">
      <c r="A240" s="3" t="s">
        <v>260</v>
      </c>
      <c r="B240" s="3">
        <v>218968</v>
      </c>
      <c r="C240" s="3">
        <v>85</v>
      </c>
      <c r="D240" s="3" t="str">
        <f t="shared" si="33"/>
        <v>chesapeake, virginia  23670</v>
      </c>
      <c r="E240" s="3" t="str">
        <f t="shared" si="34"/>
        <v>CHESAPEAKE, VIRGINIA  23670</v>
      </c>
      <c r="F240" s="3" t="str">
        <f t="shared" si="35"/>
        <v>Chesapeake, Virginia  23670</v>
      </c>
      <c r="G240" s="3"/>
      <c r="H240" s="3" t="str">
        <f t="shared" si="36"/>
        <v>23670</v>
      </c>
      <c r="I240" s="3">
        <f t="shared" si="37"/>
        <v>27</v>
      </c>
      <c r="J240" s="3">
        <f t="shared" si="38"/>
        <v>26</v>
      </c>
      <c r="K240" s="3" t="str">
        <f t="shared" si="39"/>
        <v>218968--85</v>
      </c>
      <c r="L240" s="3" t="str">
        <f t="shared" si="40"/>
        <v>218968--85</v>
      </c>
      <c r="M240" s="3">
        <f t="shared" si="41"/>
        <v>23670</v>
      </c>
      <c r="N240" s="3"/>
      <c r="O240" s="3"/>
      <c r="P240" s="3"/>
      <c r="Q240" s="3"/>
      <c r="R240" s="3"/>
      <c r="S240" s="3"/>
      <c r="T240" s="3" t="s">
        <v>506</v>
      </c>
      <c r="U240" s="3" t="s">
        <v>560</v>
      </c>
      <c r="V240" s="3" t="str">
        <f t="shared" si="42"/>
        <v>23670</v>
      </c>
      <c r="W240" s="3"/>
      <c r="X240" s="1" t="str">
        <f t="shared" si="43"/>
        <v>Virginia</v>
      </c>
    </row>
    <row r="241" spans="1:24" ht="20.100000000000001" customHeight="1" x14ac:dyDescent="0.25">
      <c r="A241" s="3" t="s">
        <v>261</v>
      </c>
      <c r="B241" s="3">
        <v>145579</v>
      </c>
      <c r="C241" s="3">
        <v>155</v>
      </c>
      <c r="D241" s="3" t="str">
        <f t="shared" si="33"/>
        <v>hampton, virginia  23607</v>
      </c>
      <c r="E241" s="3" t="str">
        <f t="shared" si="34"/>
        <v>HAMPTON, VIRGINIA  23607</v>
      </c>
      <c r="F241" s="3" t="str">
        <f t="shared" si="35"/>
        <v>Hampton, Virginia  23607</v>
      </c>
      <c r="G241" s="3"/>
      <c r="H241" s="3" t="str">
        <f t="shared" si="36"/>
        <v>23607</v>
      </c>
      <c r="I241" s="3">
        <f t="shared" si="37"/>
        <v>24</v>
      </c>
      <c r="J241" s="3">
        <f t="shared" si="38"/>
        <v>23</v>
      </c>
      <c r="K241" s="3" t="str">
        <f t="shared" si="39"/>
        <v>145579--155</v>
      </c>
      <c r="L241" s="3" t="str">
        <f t="shared" si="40"/>
        <v>145579--155</v>
      </c>
      <c r="M241" s="3">
        <f t="shared" si="41"/>
        <v>23607</v>
      </c>
      <c r="N241" s="3"/>
      <c r="O241" s="3"/>
      <c r="P241" s="3"/>
      <c r="Q241" s="3"/>
      <c r="R241" s="3"/>
      <c r="S241" s="3"/>
      <c r="T241" s="3" t="s">
        <v>507</v>
      </c>
      <c r="U241" s="3" t="s">
        <v>560</v>
      </c>
      <c r="V241" s="3" t="str">
        <f t="shared" si="42"/>
        <v>23607</v>
      </c>
      <c r="W241" s="3"/>
      <c r="X241" s="1" t="str">
        <f t="shared" si="43"/>
        <v>Virginia</v>
      </c>
    </row>
    <row r="242" spans="1:24" ht="20.100000000000001" customHeight="1" x14ac:dyDescent="0.25">
      <c r="A242" s="3" t="s">
        <v>262</v>
      </c>
      <c r="B242" s="3">
        <v>179899</v>
      </c>
      <c r="C242" s="3">
        <v>120</v>
      </c>
      <c r="D242" s="3" t="str">
        <f t="shared" si="33"/>
        <v>newport news, virginia  23501</v>
      </c>
      <c r="E242" s="3" t="str">
        <f t="shared" si="34"/>
        <v>NEWPORT NEWS, VIRGINIA  23501</v>
      </c>
      <c r="F242" s="3" t="str">
        <f t="shared" si="35"/>
        <v>Newport News, Virginia  23501</v>
      </c>
      <c r="G242" s="3"/>
      <c r="H242" s="3" t="str">
        <f t="shared" si="36"/>
        <v>23501</v>
      </c>
      <c r="I242" s="3">
        <f t="shared" si="37"/>
        <v>29</v>
      </c>
      <c r="J242" s="3">
        <f t="shared" si="38"/>
        <v>28</v>
      </c>
      <c r="K242" s="3" t="str">
        <f t="shared" si="39"/>
        <v>179899--120</v>
      </c>
      <c r="L242" s="3" t="str">
        <f t="shared" si="40"/>
        <v>179899--120</v>
      </c>
      <c r="M242" s="3">
        <f t="shared" si="41"/>
        <v>23501</v>
      </c>
      <c r="N242" s="3"/>
      <c r="O242" s="3"/>
      <c r="P242" s="3"/>
      <c r="Q242" s="3"/>
      <c r="R242" s="3"/>
      <c r="S242" s="3"/>
      <c r="T242" s="3" t="s">
        <v>508</v>
      </c>
      <c r="U242" s="3" t="s">
        <v>560</v>
      </c>
      <c r="V242" s="3" t="str">
        <f t="shared" si="42"/>
        <v>23501</v>
      </c>
      <c r="W242" s="3"/>
      <c r="X242" s="1" t="str">
        <f t="shared" si="43"/>
        <v>Virginia</v>
      </c>
    </row>
    <row r="243" spans="1:24" ht="20.100000000000001" customHeight="1" x14ac:dyDescent="0.25">
      <c r="A243" s="3" t="s">
        <v>263</v>
      </c>
      <c r="B243" s="3">
        <v>231954</v>
      </c>
      <c r="C243" s="3">
        <v>78</v>
      </c>
      <c r="D243" s="3" t="str">
        <f t="shared" si="33"/>
        <v>norfolk, virginia  23707</v>
      </c>
      <c r="E243" s="3" t="str">
        <f t="shared" si="34"/>
        <v>NORFOLK, VIRGINIA  23707</v>
      </c>
      <c r="F243" s="3" t="str">
        <f t="shared" si="35"/>
        <v>Norfolk, Virginia  23707</v>
      </c>
      <c r="G243" s="3"/>
      <c r="H243" s="3" t="str">
        <f t="shared" si="36"/>
        <v>23707</v>
      </c>
      <c r="I243" s="3">
        <f t="shared" si="37"/>
        <v>24</v>
      </c>
      <c r="J243" s="3">
        <f t="shared" si="38"/>
        <v>23</v>
      </c>
      <c r="K243" s="3" t="str">
        <f t="shared" si="39"/>
        <v>231954--78</v>
      </c>
      <c r="L243" s="3" t="str">
        <f t="shared" si="40"/>
        <v>231954--78</v>
      </c>
      <c r="M243" s="3">
        <f t="shared" si="41"/>
        <v>23707</v>
      </c>
      <c r="N243" s="3"/>
      <c r="O243" s="3"/>
      <c r="P243" s="3"/>
      <c r="Q243" s="3"/>
      <c r="R243" s="3"/>
      <c r="S243" s="3"/>
      <c r="T243" s="3" t="s">
        <v>509</v>
      </c>
      <c r="U243" s="3" t="s">
        <v>560</v>
      </c>
      <c r="V243" s="3" t="str">
        <f t="shared" si="42"/>
        <v>23707</v>
      </c>
      <c r="W243" s="3"/>
      <c r="X243" s="1" t="str">
        <f t="shared" si="43"/>
        <v>Virginia</v>
      </c>
    </row>
    <row r="244" spans="1:24" ht="20.100000000000001" customHeight="1" x14ac:dyDescent="0.25">
      <c r="A244" s="3" t="s">
        <v>264</v>
      </c>
      <c r="B244" s="3">
        <v>100169</v>
      </c>
      <c r="C244" s="3">
        <v>252</v>
      </c>
      <c r="D244" s="3" t="str">
        <f t="shared" si="33"/>
        <v>portsmouth, virginia  23702</v>
      </c>
      <c r="E244" s="3" t="str">
        <f t="shared" si="34"/>
        <v>PORTSMOUTH, VIRGINIA  23702</v>
      </c>
      <c r="F244" s="3" t="str">
        <f t="shared" si="35"/>
        <v>Portsmouth, Virginia  23702</v>
      </c>
      <c r="G244" s="3"/>
      <c r="H244" s="3" t="str">
        <f t="shared" si="36"/>
        <v>23702</v>
      </c>
      <c r="I244" s="3">
        <f t="shared" si="37"/>
        <v>27</v>
      </c>
      <c r="J244" s="3">
        <f t="shared" si="38"/>
        <v>26</v>
      </c>
      <c r="K244" s="3" t="str">
        <f t="shared" si="39"/>
        <v>100169--252</v>
      </c>
      <c r="L244" s="3" t="str">
        <f t="shared" si="40"/>
        <v>100169--252</v>
      </c>
      <c r="M244" s="3">
        <f t="shared" si="41"/>
        <v>23702</v>
      </c>
      <c r="N244" s="3"/>
      <c r="O244" s="3"/>
      <c r="P244" s="3"/>
      <c r="Q244" s="3"/>
      <c r="R244" s="3"/>
      <c r="S244" s="3"/>
      <c r="T244" s="3" t="s">
        <v>510</v>
      </c>
      <c r="U244" s="3" t="s">
        <v>560</v>
      </c>
      <c r="V244" s="3" t="str">
        <f t="shared" si="42"/>
        <v>23702</v>
      </c>
      <c r="W244" s="3"/>
      <c r="X244" s="1" t="str">
        <f t="shared" si="43"/>
        <v>Virginia</v>
      </c>
    </row>
    <row r="245" spans="1:24" ht="20.100000000000001" customHeight="1" x14ac:dyDescent="0.25">
      <c r="A245" s="3" t="s">
        <v>265</v>
      </c>
      <c r="B245" s="3">
        <v>193777</v>
      </c>
      <c r="C245" s="3">
        <v>108</v>
      </c>
      <c r="D245" s="3" t="str">
        <f t="shared" si="33"/>
        <v>richmond, virginia  23232</v>
      </c>
      <c r="E245" s="3" t="str">
        <f t="shared" si="34"/>
        <v>RICHMOND, VIRGINIA  23232</v>
      </c>
      <c r="F245" s="3" t="str">
        <f t="shared" si="35"/>
        <v>Richmond, Virginia  23232</v>
      </c>
      <c r="G245" s="3"/>
      <c r="H245" s="3" t="str">
        <f t="shared" si="36"/>
        <v>23232</v>
      </c>
      <c r="I245" s="3">
        <f t="shared" si="37"/>
        <v>25</v>
      </c>
      <c r="J245" s="3">
        <f t="shared" si="38"/>
        <v>24</v>
      </c>
      <c r="K245" s="3" t="str">
        <f t="shared" si="39"/>
        <v>193777--108</v>
      </c>
      <c r="L245" s="3" t="str">
        <f t="shared" si="40"/>
        <v>193777--108</v>
      </c>
      <c r="M245" s="3">
        <f t="shared" si="41"/>
        <v>23232</v>
      </c>
      <c r="N245" s="3"/>
      <c r="O245" s="3"/>
      <c r="P245" s="3"/>
      <c r="Q245" s="3"/>
      <c r="R245" s="3"/>
      <c r="S245" s="3"/>
      <c r="T245" s="3" t="s">
        <v>330</v>
      </c>
      <c r="U245" s="3" t="s">
        <v>560</v>
      </c>
      <c r="V245" s="3" t="str">
        <f t="shared" si="42"/>
        <v>23232</v>
      </c>
      <c r="W245" s="3"/>
      <c r="X245" s="1" t="str">
        <f t="shared" si="43"/>
        <v>Virginia</v>
      </c>
    </row>
    <row r="246" spans="1:24" ht="20.100000000000001" customHeight="1" x14ac:dyDescent="0.25">
      <c r="A246" s="3" t="s">
        <v>266</v>
      </c>
      <c r="B246" s="3">
        <v>438415</v>
      </c>
      <c r="C246" s="3">
        <v>42</v>
      </c>
      <c r="D246" s="3" t="str">
        <f t="shared" si="33"/>
        <v>virginia beach, virginia  23450</v>
      </c>
      <c r="E246" s="3" t="str">
        <f t="shared" si="34"/>
        <v>VIRGINIA BEACH, VIRGINIA  23450</v>
      </c>
      <c r="F246" s="3" t="str">
        <f t="shared" si="35"/>
        <v>Virginia Beach, Virginia  23450</v>
      </c>
      <c r="G246" s="3"/>
      <c r="H246" s="3" t="str">
        <f t="shared" si="36"/>
        <v>23450</v>
      </c>
      <c r="I246" s="3">
        <f t="shared" si="37"/>
        <v>31</v>
      </c>
      <c r="J246" s="3">
        <f t="shared" si="38"/>
        <v>30</v>
      </c>
      <c r="K246" s="3" t="str">
        <f t="shared" si="39"/>
        <v>438415--42</v>
      </c>
      <c r="L246" s="3" t="str">
        <f t="shared" si="40"/>
        <v>438415--42</v>
      </c>
      <c r="M246" s="3">
        <f t="shared" si="41"/>
        <v>23450</v>
      </c>
      <c r="N246" s="3"/>
      <c r="O246" s="3"/>
      <c r="P246" s="3"/>
      <c r="Q246" s="3"/>
      <c r="R246" s="3"/>
      <c r="S246" s="3"/>
      <c r="T246" s="3" t="s">
        <v>511</v>
      </c>
      <c r="U246" s="3" t="s">
        <v>560</v>
      </c>
      <c r="V246" s="3" t="str">
        <f t="shared" si="42"/>
        <v>23450</v>
      </c>
      <c r="W246" s="3"/>
      <c r="X246" s="1" t="str">
        <f t="shared" si="43"/>
        <v>Virginia</v>
      </c>
    </row>
    <row r="247" spans="1:24" ht="20.100000000000001" customHeight="1" x14ac:dyDescent="0.25">
      <c r="A247" s="3" t="s">
        <v>267</v>
      </c>
      <c r="B247" s="3">
        <v>117137</v>
      </c>
      <c r="C247" s="3">
        <v>201</v>
      </c>
      <c r="D247" s="3" t="str">
        <f t="shared" si="33"/>
        <v>bellevue, washington  98009</v>
      </c>
      <c r="E247" s="3" t="str">
        <f t="shared" si="34"/>
        <v>BELLEVUE, WASHINGTON  98009</v>
      </c>
      <c r="F247" s="3" t="str">
        <f t="shared" si="35"/>
        <v>Bellevue, Washington  98009</v>
      </c>
      <c r="G247" s="3"/>
      <c r="H247" s="3" t="str">
        <f t="shared" si="36"/>
        <v>98009</v>
      </c>
      <c r="I247" s="3">
        <f t="shared" si="37"/>
        <v>27</v>
      </c>
      <c r="J247" s="3">
        <f t="shared" si="38"/>
        <v>26</v>
      </c>
      <c r="K247" s="3" t="str">
        <f t="shared" si="39"/>
        <v>117137--201</v>
      </c>
      <c r="L247" s="3" t="str">
        <f t="shared" si="40"/>
        <v>117137--201</v>
      </c>
      <c r="M247" s="3">
        <f t="shared" si="41"/>
        <v>98009</v>
      </c>
      <c r="N247" s="3"/>
      <c r="O247" s="3"/>
      <c r="P247" s="3"/>
      <c r="Q247" s="3"/>
      <c r="R247" s="3"/>
      <c r="S247" s="3"/>
      <c r="T247" s="3" t="s">
        <v>512</v>
      </c>
      <c r="U247" s="3" t="s">
        <v>366</v>
      </c>
      <c r="V247" s="3" t="str">
        <f t="shared" si="42"/>
        <v>98009</v>
      </c>
      <c r="W247" s="3"/>
      <c r="X247" s="1" t="str">
        <f t="shared" si="43"/>
        <v>Washington</v>
      </c>
    </row>
    <row r="248" spans="1:24" ht="20.100000000000001" customHeight="1" x14ac:dyDescent="0.25">
      <c r="A248" s="3" t="s">
        <v>268</v>
      </c>
      <c r="B248" s="3">
        <v>573911</v>
      </c>
      <c r="C248" s="3">
        <v>23</v>
      </c>
      <c r="D248" s="3" t="str">
        <f t="shared" si="33"/>
        <v>seattle, washington  98108</v>
      </c>
      <c r="E248" s="3" t="str">
        <f t="shared" si="34"/>
        <v>SEATTLE, WASHINGTON  98108</v>
      </c>
      <c r="F248" s="3" t="str">
        <f t="shared" si="35"/>
        <v>Seattle, Washington  98108</v>
      </c>
      <c r="G248" s="3"/>
      <c r="H248" s="3" t="str">
        <f t="shared" si="36"/>
        <v>98108</v>
      </c>
      <c r="I248" s="3">
        <f t="shared" si="37"/>
        <v>26</v>
      </c>
      <c r="J248" s="3">
        <f t="shared" si="38"/>
        <v>25</v>
      </c>
      <c r="K248" s="3" t="str">
        <f t="shared" si="39"/>
        <v>573911--23</v>
      </c>
      <c r="L248" s="3" t="str">
        <f t="shared" si="40"/>
        <v>573911--23</v>
      </c>
      <c r="M248" s="3">
        <f t="shared" si="41"/>
        <v>98108</v>
      </c>
      <c r="N248" s="3"/>
      <c r="O248" s="3"/>
      <c r="P248" s="3"/>
      <c r="Q248" s="3"/>
      <c r="R248" s="3"/>
      <c r="S248" s="3"/>
      <c r="T248" s="3" t="s">
        <v>513</v>
      </c>
      <c r="U248" s="3" t="s">
        <v>366</v>
      </c>
      <c r="V248" s="3" t="str">
        <f t="shared" si="42"/>
        <v>98108</v>
      </c>
      <c r="W248" s="3"/>
      <c r="X248" s="1" t="str">
        <f t="shared" si="43"/>
        <v>Washington</v>
      </c>
    </row>
    <row r="249" spans="1:24" ht="20.100000000000001" customHeight="1" x14ac:dyDescent="0.25">
      <c r="A249" s="3" t="s">
        <v>269</v>
      </c>
      <c r="B249" s="3">
        <v>196818</v>
      </c>
      <c r="C249" s="3">
        <v>101</v>
      </c>
      <c r="D249" s="3" t="str">
        <f t="shared" si="33"/>
        <v>spokane, washington  99201</v>
      </c>
      <c r="E249" s="3" t="str">
        <f t="shared" si="34"/>
        <v>SPOKANE, WASHINGTON  99201</v>
      </c>
      <c r="F249" s="3" t="str">
        <f t="shared" si="35"/>
        <v>Spokane, Washington  99201</v>
      </c>
      <c r="G249" s="3"/>
      <c r="H249" s="3" t="str">
        <f t="shared" si="36"/>
        <v>99201</v>
      </c>
      <c r="I249" s="3">
        <f t="shared" si="37"/>
        <v>26</v>
      </c>
      <c r="J249" s="3">
        <f t="shared" si="38"/>
        <v>25</v>
      </c>
      <c r="K249" s="3" t="str">
        <f t="shared" si="39"/>
        <v>196818--101</v>
      </c>
      <c r="L249" s="3" t="str">
        <f t="shared" si="40"/>
        <v>196818--101</v>
      </c>
      <c r="M249" s="3">
        <f t="shared" si="41"/>
        <v>99201</v>
      </c>
      <c r="N249" s="3"/>
      <c r="O249" s="3"/>
      <c r="P249" s="3"/>
      <c r="Q249" s="3"/>
      <c r="R249" s="3"/>
      <c r="S249" s="3"/>
      <c r="T249" s="3" t="s">
        <v>514</v>
      </c>
      <c r="U249" s="3" t="s">
        <v>366</v>
      </c>
      <c r="V249" s="3" t="str">
        <f t="shared" si="42"/>
        <v>99201</v>
      </c>
      <c r="W249" s="3"/>
      <c r="X249" s="1" t="str">
        <f t="shared" si="43"/>
        <v>Washington</v>
      </c>
    </row>
    <row r="250" spans="1:24" ht="20.100000000000001" customHeight="1" x14ac:dyDescent="0.25">
      <c r="A250" s="3" t="s">
        <v>270</v>
      </c>
      <c r="B250" s="3">
        <v>195898</v>
      </c>
      <c r="C250" s="3">
        <v>104</v>
      </c>
      <c r="D250" s="3" t="str">
        <f t="shared" si="33"/>
        <v>tacoma, washington  98413</v>
      </c>
      <c r="E250" s="3" t="str">
        <f t="shared" si="34"/>
        <v>TACOMA, WASHINGTON  98413</v>
      </c>
      <c r="F250" s="3" t="str">
        <f t="shared" si="35"/>
        <v>Tacoma, Washington  98413</v>
      </c>
      <c r="G250" s="3"/>
      <c r="H250" s="3" t="str">
        <f t="shared" si="36"/>
        <v>98413</v>
      </c>
      <c r="I250" s="3">
        <f t="shared" si="37"/>
        <v>25</v>
      </c>
      <c r="J250" s="3">
        <f t="shared" si="38"/>
        <v>24</v>
      </c>
      <c r="K250" s="3" t="str">
        <f t="shared" si="39"/>
        <v>195898--104</v>
      </c>
      <c r="L250" s="3" t="str">
        <f t="shared" si="40"/>
        <v>195898--104</v>
      </c>
      <c r="M250" s="3">
        <f t="shared" si="41"/>
        <v>98413</v>
      </c>
      <c r="N250" s="3"/>
      <c r="O250" s="3"/>
      <c r="P250" s="3"/>
      <c r="Q250" s="3"/>
      <c r="R250" s="3"/>
      <c r="S250" s="3"/>
      <c r="T250" s="3" t="s">
        <v>515</v>
      </c>
      <c r="U250" s="3" t="s">
        <v>366</v>
      </c>
      <c r="V250" s="3" t="str">
        <f t="shared" si="42"/>
        <v>98413</v>
      </c>
      <c r="W250" s="3"/>
      <c r="X250" s="1" t="str">
        <f t="shared" si="43"/>
        <v>Washington</v>
      </c>
    </row>
    <row r="251" spans="1:24" ht="20.100000000000001" customHeight="1" x14ac:dyDescent="0.25">
      <c r="A251" s="3" t="s">
        <v>271</v>
      </c>
      <c r="B251" s="3">
        <v>157493</v>
      </c>
      <c r="C251" s="3">
        <v>142</v>
      </c>
      <c r="D251" s="3" t="str">
        <f t="shared" si="33"/>
        <v>vancouver, washington  98668</v>
      </c>
      <c r="E251" s="3" t="str">
        <f t="shared" si="34"/>
        <v>VANCOUVER, WASHINGTON  98668</v>
      </c>
      <c r="F251" s="3" t="str">
        <f t="shared" si="35"/>
        <v>Vancouver, Washington  98668</v>
      </c>
      <c r="G251" s="3"/>
      <c r="H251" s="3" t="str">
        <f t="shared" si="36"/>
        <v>98668</v>
      </c>
      <c r="I251" s="3">
        <f t="shared" si="37"/>
        <v>28</v>
      </c>
      <c r="J251" s="3">
        <f t="shared" si="38"/>
        <v>27</v>
      </c>
      <c r="K251" s="3" t="str">
        <f t="shared" si="39"/>
        <v>157493--142</v>
      </c>
      <c r="L251" s="3" t="str">
        <f t="shared" si="40"/>
        <v>157493--142</v>
      </c>
      <c r="M251" s="3">
        <f t="shared" si="41"/>
        <v>98668</v>
      </c>
      <c r="N251" s="3"/>
      <c r="O251" s="3"/>
      <c r="P251" s="3"/>
      <c r="Q251" s="3"/>
      <c r="R251" s="3"/>
      <c r="S251" s="3"/>
      <c r="T251" s="3" t="s">
        <v>516</v>
      </c>
      <c r="U251" s="3" t="s">
        <v>366</v>
      </c>
      <c r="V251" s="3" t="str">
        <f t="shared" si="42"/>
        <v>98668</v>
      </c>
      <c r="W251" s="3"/>
      <c r="X251" s="1" t="str">
        <f t="shared" si="43"/>
        <v>Washington</v>
      </c>
    </row>
    <row r="252" spans="1:24" ht="20.100000000000001" customHeight="1" x14ac:dyDescent="0.25">
      <c r="A252" s="3" t="s">
        <v>272</v>
      </c>
      <c r="B252" s="3">
        <v>101203</v>
      </c>
      <c r="C252" s="3">
        <v>247</v>
      </c>
      <c r="D252" s="3" t="str">
        <f t="shared" si="33"/>
        <v>green bay, wisconsin  54303</v>
      </c>
      <c r="E252" s="3" t="str">
        <f t="shared" si="34"/>
        <v>GREEN BAY, WISCONSIN  54303</v>
      </c>
      <c r="F252" s="3" t="str">
        <f t="shared" si="35"/>
        <v>Green Bay, Wisconsin  54303</v>
      </c>
      <c r="G252" s="3"/>
      <c r="H252" s="3" t="str">
        <f t="shared" si="36"/>
        <v>54303</v>
      </c>
      <c r="I252" s="3">
        <f t="shared" si="37"/>
        <v>27</v>
      </c>
      <c r="J252" s="3">
        <f t="shared" si="38"/>
        <v>26</v>
      </c>
      <c r="K252" s="3" t="str">
        <f t="shared" si="39"/>
        <v>101203--247</v>
      </c>
      <c r="L252" s="3" t="str">
        <f t="shared" si="40"/>
        <v>101203--247</v>
      </c>
      <c r="M252" s="3">
        <f t="shared" si="41"/>
        <v>54303</v>
      </c>
      <c r="N252" s="3"/>
      <c r="O252" s="3"/>
      <c r="P252" s="3"/>
      <c r="Q252" s="3"/>
      <c r="R252" s="3"/>
      <c r="S252" s="3"/>
      <c r="T252" s="3" t="s">
        <v>517</v>
      </c>
      <c r="U252" s="3" t="s">
        <v>561</v>
      </c>
      <c r="V252" s="3" t="str">
        <f t="shared" si="42"/>
        <v>54303</v>
      </c>
      <c r="W252" s="3"/>
      <c r="X252" s="1" t="str">
        <f t="shared" si="43"/>
        <v>Wisconsin</v>
      </c>
    </row>
    <row r="253" spans="1:24" ht="20.100000000000001" customHeight="1" x14ac:dyDescent="0.25">
      <c r="A253" s="3" t="s">
        <v>273</v>
      </c>
      <c r="B253" s="3">
        <v>221551</v>
      </c>
      <c r="C253" s="3">
        <v>83</v>
      </c>
      <c r="D253" s="3" t="str">
        <f t="shared" si="33"/>
        <v>madison, wisconsin  53714</v>
      </c>
      <c r="E253" s="3" t="str">
        <f t="shared" si="34"/>
        <v>MADISON, WISCONSIN  53714</v>
      </c>
      <c r="F253" s="3" t="str">
        <f t="shared" si="35"/>
        <v>Madison, Wisconsin  53714</v>
      </c>
      <c r="G253" s="3"/>
      <c r="H253" s="3" t="str">
        <f t="shared" si="36"/>
        <v>53714</v>
      </c>
      <c r="I253" s="3">
        <f t="shared" si="37"/>
        <v>25</v>
      </c>
      <c r="J253" s="3">
        <f t="shared" si="38"/>
        <v>24</v>
      </c>
      <c r="K253" s="3" t="str">
        <f t="shared" si="39"/>
        <v>221551--83</v>
      </c>
      <c r="L253" s="3" t="str">
        <f t="shared" si="40"/>
        <v>221551--83</v>
      </c>
      <c r="M253" s="3">
        <f t="shared" si="41"/>
        <v>53714</v>
      </c>
      <c r="N253" s="3"/>
      <c r="O253" s="3"/>
      <c r="P253" s="3"/>
      <c r="Q253" s="3"/>
      <c r="R253" s="3"/>
      <c r="S253" s="3"/>
      <c r="T253" s="3" t="s">
        <v>518</v>
      </c>
      <c r="U253" s="3" t="s">
        <v>561</v>
      </c>
      <c r="V253" s="3" t="str">
        <f t="shared" si="42"/>
        <v>53714</v>
      </c>
      <c r="W253" s="3"/>
      <c r="X253" s="1" t="str">
        <f t="shared" si="43"/>
        <v>Wisconsin</v>
      </c>
    </row>
    <row r="254" spans="1:24" ht="20.100000000000001" customHeight="1" x14ac:dyDescent="0.25">
      <c r="A254" s="3" t="s">
        <v>274</v>
      </c>
      <c r="B254" s="3">
        <v>578887</v>
      </c>
      <c r="C254" s="3">
        <v>22</v>
      </c>
      <c r="D254" s="3" t="str">
        <f t="shared" si="33"/>
        <v>milwaukee, wisconsin  53203</v>
      </c>
      <c r="E254" s="3" t="str">
        <f t="shared" si="34"/>
        <v>MILWAUKEE, WISCONSIN  53203</v>
      </c>
      <c r="F254" s="3" t="str">
        <f t="shared" si="35"/>
        <v>Milwaukee, Wisconsin  53203</v>
      </c>
      <c r="G254" s="3"/>
      <c r="H254" s="3" t="str">
        <f t="shared" si="36"/>
        <v>53203</v>
      </c>
      <c r="I254" s="3">
        <f t="shared" si="37"/>
        <v>27</v>
      </c>
      <c r="J254" s="3">
        <f t="shared" si="38"/>
        <v>26</v>
      </c>
      <c r="K254" s="3" t="str">
        <f t="shared" si="39"/>
        <v>578887--22</v>
      </c>
      <c r="L254" s="3" t="str">
        <f t="shared" si="40"/>
        <v>578887--22</v>
      </c>
      <c r="M254" s="3">
        <f t="shared" si="41"/>
        <v>53203</v>
      </c>
      <c r="N254" s="3"/>
      <c r="O254" s="3"/>
      <c r="P254" s="3"/>
      <c r="Q254" s="3"/>
      <c r="R254" s="3"/>
      <c r="S254" s="3"/>
      <c r="T254" s="3" t="s">
        <v>519</v>
      </c>
      <c r="U254" s="3" t="s">
        <v>561</v>
      </c>
      <c r="V254" s="3" t="str">
        <f t="shared" si="42"/>
        <v>53203</v>
      </c>
      <c r="W254" s="3"/>
      <c r="X254" s="1" t="str">
        <f t="shared" si="43"/>
        <v>Wisconsin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to Columns</vt:lpstr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Poaletti</dc:creator>
  <cp:lastModifiedBy>om supare</cp:lastModifiedBy>
  <dcterms:created xsi:type="dcterms:W3CDTF">2021-09-16T13:34:01Z</dcterms:created>
  <dcterms:modified xsi:type="dcterms:W3CDTF">2026-07-18T04:30:44Z</dcterms:modified>
</cp:coreProperties>
</file>