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sup\Downloads\"/>
    </mc:Choice>
  </mc:AlternateContent>
  <xr:revisionPtr revIDLastSave="0" documentId="13_ncr:1_{D8A7D5B6-5360-4920-A28D-ADF744236B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-1" sheetId="1" r:id="rId1"/>
    <sheet name="Task-2" sheetId="2" r:id="rId2"/>
    <sheet name="Task-3" sheetId="3" r:id="rId3"/>
    <sheet name="Task-4" sheetId="4" r:id="rId4"/>
    <sheet name="Task-5" sheetId="5" r:id="rId5"/>
  </sheets>
  <calcPr calcId="191029"/>
  <pivotCaches>
    <pivotCache cacheId="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F3" i="5"/>
  <c r="F4" i="5"/>
  <c r="F5" i="5"/>
  <c r="F6" i="5"/>
  <c r="F7" i="5"/>
  <c r="F8" i="5"/>
  <c r="C12" i="4"/>
  <c r="B12" i="4"/>
  <c r="H3" i="3"/>
  <c r="H4" i="3"/>
  <c r="H5" i="3"/>
  <c r="H6" i="3"/>
  <c r="H7" i="3"/>
  <c r="H8" i="3"/>
  <c r="H9" i="3"/>
  <c r="H10" i="3"/>
  <c r="H2" i="3"/>
  <c r="F3" i="3"/>
  <c r="F4" i="3"/>
  <c r="F5" i="3"/>
  <c r="F6" i="3"/>
  <c r="F7" i="3"/>
  <c r="F8" i="3"/>
  <c r="F9" i="3"/>
  <c r="F10" i="3"/>
  <c r="F2" i="3"/>
  <c r="E3" i="3"/>
  <c r="E4" i="3"/>
  <c r="E5" i="3"/>
  <c r="E6" i="3"/>
  <c r="E7" i="3"/>
  <c r="E8" i="3"/>
  <c r="E9" i="3"/>
  <c r="E10" i="3"/>
  <c r="E2" i="3"/>
  <c r="F3" i="2"/>
  <c r="F4" i="2"/>
  <c r="F5" i="2"/>
  <c r="F6" i="2"/>
  <c r="F7" i="2"/>
  <c r="F8" i="2"/>
  <c r="F9" i="2"/>
  <c r="F10" i="2"/>
  <c r="F11" i="2"/>
  <c r="F2" i="2"/>
</calcChain>
</file>

<file path=xl/sharedStrings.xml><?xml version="1.0" encoding="utf-8"?>
<sst xmlns="http://schemas.openxmlformats.org/spreadsheetml/2006/main" count="132" uniqueCount="107">
  <si>
    <t xml:space="preserve">Student ID </t>
  </si>
  <si>
    <t xml:space="preserve"> Name         </t>
  </si>
  <si>
    <t xml:space="preserve"> Math Score </t>
  </si>
  <si>
    <t xml:space="preserve"> Science Score </t>
  </si>
  <si>
    <t xml:space="preserve"> English Score </t>
  </si>
  <si>
    <t xml:space="preserve"> John Doe       </t>
  </si>
  <si>
    <t xml:space="preserve"> Jane Smith     </t>
  </si>
  <si>
    <t xml:space="preserve"> David Brown    </t>
  </si>
  <si>
    <t xml:space="preserve"> Emily Johnson  </t>
  </si>
  <si>
    <t xml:space="preserve"> Michael Lee    </t>
  </si>
  <si>
    <t xml:space="preserve"> Sarah Wang     </t>
  </si>
  <si>
    <t xml:space="preserve"> Daniel Kim     </t>
  </si>
  <si>
    <t xml:space="preserve"> </t>
  </si>
  <si>
    <t xml:space="preserve"> Jessica Liu    </t>
  </si>
  <si>
    <t xml:space="preserve"> Ethan Chen     </t>
  </si>
  <si>
    <t>1. Apply conditional formatting to highlight students with an average score above 85.</t>
  </si>
  <si>
    <t>2. Sort the student data based on their Math Score in descending order.</t>
  </si>
  <si>
    <t>3. Format the scores to one decimal place.</t>
  </si>
  <si>
    <t>Product ID</t>
  </si>
  <si>
    <t>Product Name</t>
  </si>
  <si>
    <t>Category</t>
  </si>
  <si>
    <t>Price</t>
  </si>
  <si>
    <t>Quantity</t>
  </si>
  <si>
    <t>Laptop</t>
  </si>
  <si>
    <t>Electronics</t>
  </si>
  <si>
    <t>T-shirt</t>
  </si>
  <si>
    <t>Clothing</t>
  </si>
  <si>
    <t>Smartphone</t>
  </si>
  <si>
    <t>Headphones</t>
  </si>
  <si>
    <t>Jeans</t>
  </si>
  <si>
    <t>Tablet</t>
  </si>
  <si>
    <t>Dress Shirt</t>
  </si>
  <si>
    <t>Camera</t>
  </si>
  <si>
    <t>Sneakers</t>
  </si>
  <si>
    <t>Smart Watch</t>
  </si>
  <si>
    <t>Task :</t>
  </si>
  <si>
    <t>1. Create a table to manage product inventory with columns for Product ID, Product Name, Category, Price, and Quantity.</t>
  </si>
  <si>
    <t>2. Calculate the total value of each product (Price * Quantity).</t>
  </si>
  <si>
    <t>3. Use data validation to create a drop-down list for selecting categories.</t>
  </si>
  <si>
    <t>4. Apply conditional formatting to highlight products with a price above $500.</t>
  </si>
  <si>
    <t>5. Insert a column chart to visualize the quantity of each product</t>
  </si>
  <si>
    <t>1. Calculate the total sales for each month using the SUM function.</t>
  </si>
  <si>
    <t>2. Calculate the average sales across all three products for each month using the AVERAGE function.</t>
  </si>
  <si>
    <t>3. Use COUNTIF function to count the number of months where Sales A exceeded 1000.</t>
  </si>
  <si>
    <t>4. Use MAX function to find the highest sales value among all products for each month.</t>
  </si>
  <si>
    <t>5. Create a line chart to visualize the trend of Sales A, Sales B, and Sales Cover the three months.</t>
  </si>
  <si>
    <t>Month</t>
  </si>
  <si>
    <t>Sales A</t>
  </si>
  <si>
    <t>Sales B</t>
  </si>
  <si>
    <t>Sales C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</si>
  <si>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</si>
  <si>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</si>
  <si>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</si>
  <si>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</si>
  <si>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</si>
  <si>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</si>
  <si>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</si>
  <si>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</si>
  <si>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</si>
  <si>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1. Calculate the profit for each product using a formula (Revenue - Cost).</t>
  </si>
  <si>
    <t>2. Calculate the total cost and total revenue using the SUM function.</t>
  </si>
  <si>
    <t>3. Use IF function to categorize each product as "Profitable" if Profit &gt; 0, otherwise "Not Profitable".</t>
  </si>
  <si>
    <t>4. Create a pie chart to represent the percentage distribution of Profitable and Not Profitable products.</t>
  </si>
  <si>
    <t>5. Format the financial statement with currency and percentage formats.</t>
  </si>
  <si>
    <t>Item</t>
  </si>
  <si>
    <t>Cost</t>
  </si>
  <si>
    <t>Revenue</t>
  </si>
  <si>
    <t>Profit</t>
  </si>
  <si>
    <t>Product D</t>
  </si>
  <si>
    <t>Product E</t>
  </si>
  <si>
    <t>Product F</t>
  </si>
  <si>
    <t>Product G</t>
  </si>
  <si>
    <t>Product H</t>
  </si>
  <si>
    <t>Product I</t>
  </si>
  <si>
    <t>Product J</t>
  </si>
  <si>
    <t>Product K</t>
  </si>
  <si>
    <t>Product L</t>
  </si>
  <si>
    <t>Product M</t>
  </si>
  <si>
    <t>1. Apply conditional formatting to highlight employees with a salary above $60000.</t>
  </si>
  <si>
    <t>2. Create a drop-down list for selecting departments using data validation.</t>
  </si>
  <si>
    <t>3. Use VLOOKUP function to retrieve the Department of Employee ID 2.</t>
  </si>
  <si>
    <t>4. Calculate the number of years each employee has been with the company using DATEDIF function.</t>
  </si>
  <si>
    <t>5. Create a PivotTable to summarize total salary by department.</t>
  </si>
  <si>
    <t>Employee ID</t>
  </si>
  <si>
    <t>Employee Name</t>
  </si>
  <si>
    <t>Department</t>
  </si>
  <si>
    <t>Salary</t>
  </si>
  <si>
    <t>Hire Date</t>
  </si>
  <si>
    <t>Emily|Johnson</t>
  </si>
  <si>
    <t>HR</t>
  </si>
  <si>
    <t>Michael|Lee</t>
  </si>
  <si>
    <t>Sales</t>
  </si>
  <si>
    <t>Sarah|Wang</t>
  </si>
  <si>
    <t>Finance</t>
  </si>
  <si>
    <t>Daniel|Kim</t>
  </si>
  <si>
    <t>Jessica|Liu</t>
  </si>
  <si>
    <t>Ethan|Chen</t>
  </si>
  <si>
    <t>Sophia|Brown</t>
  </si>
  <si>
    <t>Total_Value</t>
  </si>
  <si>
    <t>Row Labels</t>
  </si>
  <si>
    <t>Grand Total</t>
  </si>
  <si>
    <t>Sum of Quantity</t>
  </si>
  <si>
    <t>Total_Sales</t>
  </si>
  <si>
    <t>Average_Sales</t>
  </si>
  <si>
    <t>countif</t>
  </si>
  <si>
    <t>MAX</t>
  </si>
  <si>
    <t>Service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</si>
</sst>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&quot;$&quot;#,##0"/>
  </numFmts>
  <fonts count="4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/>
    <xf numFmtId="0" fontId="1" fillId="0" borderId="0" xfId="0" applyFont="1" applyAlignment="1">
      <alignment horizontal="left" vertical="top" wrapText="1"/>
    </xf>
    <xf numFmtId="0" fontId="3" fillId="0" borderId="2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center"/>
    </xf>
    <xf numFmtId="0" fontId="2" fillId="0" borderId="5" xfId="0" applyFont="1" applyBorder="1"/>
    <xf numFmtId="0" fontId="2" fillId="0" borderId="6" xfId="0" applyFont="1" applyBorder="1"/>
    <xf numFmtId="0" fontId="3" fillId="0" borderId="7" xfId="0" applyFont="1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5" xfId="0" applyBorder="1"/>
    <xf numFmtId="164" fontId="0" fillId="0" borderId="1" xfId="0" applyNumberFormat="1" applyBorder="1"/>
    <xf numFmtId="164" fontId="0" fillId="0" borderId="0" xfId="0" applyNumberFormat="1"/>
    <xf numFmtId="166" fontId="2" fillId="0" borderId="5" xfId="0" applyNumberFormat="1" applyFont="1" applyBorder="1" applyAlignment="1">
      <alignment horizontal="center"/>
    </xf>
    <xf numFmtId="166" fontId="0" fillId="0" borderId="1" xfId="0" applyNumberFormat="1" applyBorder="1"/>
    <xf numFmtId="166" fontId="0" fillId="0" borderId="8" xfId="0" applyNumberFormat="1" applyBorder="1"/>
    <xf numFmtId="166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top" wrapText="1"/>
    </xf>
    <xf numFmtId="0" fontId="0" fillId="2" borderId="0" xfId="0" applyFill="1"/>
    <xf numFmtId="164" fontId="2" fillId="0" borderId="1" xfId="0" applyNumberFormat="1" applyFont="1" applyBorder="1"/>
    <xf numFmtId="2" fontId="2" fillId="0" borderId="1" xfId="0" applyNumberFormat="1" applyFont="1" applyBorder="1"/>
    <xf numFmtId="1" fontId="0" fillId="0" borderId="1" xfId="0" applyNumberFormat="1" applyBorder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numFmt numFmtId="166" formatCode="&quot;$&quot;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 tint="-0.2499465926084170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[excelassgnment1.xlsx]Task-2!PivotTable1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'Task-2'!$F$13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'Task-2'!$E$14:$E$24</c:f>
              <c:strCache>
                <c:ptCount val="10"/>
                <c:pt idx="0">
                  <c:v>Camera</c:v>
                </c:pt>
                <c:pt idx="1">
                  <c:v>Dress Shirt</c:v>
                </c:pt>
                <c:pt idx="2">
                  <c:v>Headphones</c:v>
                </c:pt>
                <c:pt idx="3">
                  <c:v>Jeans</c:v>
                </c:pt>
                <c:pt idx="4">
                  <c:v>Laptop</c:v>
                </c:pt>
                <c:pt idx="5">
                  <c:v>Smart Watch</c:v>
                </c:pt>
                <c:pt idx="6">
                  <c:v>Smartphone</c:v>
                </c:pt>
                <c:pt idx="7">
                  <c:v>Sneakers</c:v>
                </c:pt>
                <c:pt idx="8">
                  <c:v>Tablet</c:v>
                </c:pt>
                <c:pt idx="9">
                  <c:v>T-shirt</c:v>
                </c:pt>
              </c:strCache>
            </c:strRef>
          </c:cat>
          <c:val>
            <c:numRef>
              <c:f>'Task-2'!$F$14:$F$24</c:f>
              <c:numCache>
                <c:formatCode>General</c:formatCode>
                <c:ptCount val="10"/>
                <c:pt idx="0">
                  <c:v>3</c:v>
                </c:pt>
                <c:pt idx="1">
                  <c:v>20</c:v>
                </c:pt>
                <c:pt idx="2">
                  <c:v>15</c:v>
                </c:pt>
                <c:pt idx="3">
                  <c:v>12</c:v>
                </c:pt>
                <c:pt idx="4">
                  <c:v>5</c:v>
                </c:pt>
                <c:pt idx="5">
                  <c:v>10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A-4F68-8586-B6B843AB5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9639551"/>
        <c:axId val="1647234703"/>
      </c:barChart>
      <c:catAx>
        <c:axId val="178963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234703"/>
        <c:crosses val="autoZero"/>
        <c:auto val="1"/>
        <c:lblAlgn val="ctr"/>
        <c:lblOffset val="100"/>
        <c:noMultiLvlLbl val="0"/>
      </c:catAx>
      <c:valAx>
        <c:axId val="164723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63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Total_Sales</a:t>
            </a:r>
            <a:r>
              <a:rPr lang="en-US" baseline="0"/>
              <a:t>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'Task-3'!$B$1</c:f>
              <c:strCache>
                <c:ptCount val="1"/>
                <c:pt idx="0">
                  <c:v>Sales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'Task-3'!$A$2:$A$10</c15:sqref>
                  </c15:fullRef>
                </c:ext>
              </c:extLst>
              <c:f>'Task-3'!$A$2:$A$4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'Task-3'!$B$2:$B$10</c15:sqref>
                  </c15:fullRef>
                </c:ext>
              </c:extLst>
              <c:f>'Task-3'!$B$2:$B$4</c:f>
              <c:numCache>
                <c:formatCode>General</c:formatCode>
                <c:ptCount val="3"/>
                <c:pt idx="0">
                  <c:v>1200</c:v>
                </c:pt>
                <c:pt idx="1">
                  <c:v>900</c:v>
                </c:pt>
                <c:pt idx="2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67-4891-B97F-819148C1E909}"/>
            </c:ext>
          </c:extLst>
        </c:ser>
        <c:ser>
          <c:idx val="1"/>
          <c:order val="1"/>
          <c:tx>
            <c:strRef>
              <c:f>'Task-3'!$C$1</c:f>
              <c:strCache>
                <c:ptCount val="1"/>
                <c:pt idx="0">
                  <c:v>Sales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'Task-3'!$A$2:$A$10</c15:sqref>
                  </c15:fullRef>
                </c:ext>
              </c:extLst>
              <c:f>'Task-3'!$A$2:$A$4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'Task-3'!$C$2:$C$10</c15:sqref>
                  </c15:fullRef>
                </c:ext>
              </c:extLst>
              <c:f>'Task-3'!$C$2:$C$4</c:f>
              <c:numCache>
                <c:formatCode>General</c:formatCode>
                <c:ptCount val="3"/>
                <c:pt idx="0">
                  <c:v>1100</c:v>
                </c:pt>
                <c:pt idx="1">
                  <c:v>1000</c:v>
                </c:pt>
                <c:pt idx="2">
                  <c:v>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67-4891-B97F-819148C1E909}"/>
            </c:ext>
          </c:extLst>
        </c:ser>
        <c:ser>
          <c:idx val="2"/>
          <c:order val="2"/>
          <c:tx>
            <c:strRef>
              <c:f>'Task-3'!$D$1</c:f>
              <c:strCache>
                <c:ptCount val="1"/>
                <c:pt idx="0">
                  <c:v>Sales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'Task-3'!$A$2:$A$10</c15:sqref>
                  </c15:fullRef>
                </c:ext>
              </c:extLst>
              <c:f>'Task-3'!$A$2:$A$4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'Task-3'!$D$2:$D$10</c15:sqref>
                  </c15:fullRef>
                </c:ext>
              </c:extLst>
              <c:f>'Task-3'!$D$2:$D$4</c:f>
              <c:numCache>
                <c:formatCode>General</c:formatCode>
                <c:ptCount val="3"/>
                <c:pt idx="0">
                  <c:v>900</c:v>
                </c:pt>
                <c:pt idx="1">
                  <c:v>800</c:v>
                </c:pt>
                <c:pt idx="2">
                  <c:v>1050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67-4891-B97F-819148C1E909}"/>
            </c:ext>
          </c:extLst>
        </c:ser>
        <c:ser>
          <c:idx val="3"/>
          <c:order val="3"/>
          <c:tx>
            <c:strRef>
              <c:f>'Task-3'!$E$1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'Task-3'!$A$2:$A$10</c15:sqref>
                  </c15:fullRef>
                </c:ext>
              </c:extLst>
              <c:f>'Task-3'!$A$2:$A$4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'Task-3'!$E$2:$E$10</c15:sqref>
                  </c15:fullRef>
                </c:ext>
              </c:extLst>
              <c:f>'Task-3'!$E$2:$E$4</c:f>
              <c:numCache>
                <c:formatCode>General</c:formatCode>
                <c:ptCount val="3"/>
                <c:pt idx="0">
                  <c:v>3200</c:v>
                </c:pt>
                <c:pt idx="1">
                  <c:v>2700</c:v>
                </c:pt>
                <c:pt idx="2">
                  <c:v>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67-4891-B97F-819148C1E909}"/>
            </c:ext>
          </c:extLst>
        </c:ser>
        <c:ser>
          <c:idx val="4"/>
          <c:order val="4"/>
          <c:tx>
            <c:strRef>
              <c:f>'Task-3'!$F$1</c:f>
              <c:strCache>
                <c:ptCount val="1"/>
                <c:pt idx="0">
                  <c:v>Average_Sales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'Task-3'!$A$2:$A$10</c15:sqref>
                  </c15:fullRef>
                </c:ext>
              </c:extLst>
              <c:f>'Task-3'!$A$2:$A$4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'Task-3'!$F$2:$F$10</c15:sqref>
                  </c15:fullRef>
                </c:ext>
              </c:extLst>
              <c:f>'Task-3'!$F$2:$F$4</c:f>
              <c:numCache>
                <c:formatCode>General</c:formatCode>
                <c:ptCount val="3"/>
                <c:pt idx="0">
                  <c:v>1066.6666666666667</c:v>
                </c:pt>
                <c:pt idx="1">
                  <c:v>900</c:v>
                </c:pt>
                <c:pt idx="2">
                  <c:v>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67-4891-B97F-819148C1E909}"/>
            </c:ext>
          </c:extLst>
        </c:ser>
        <c:ser>
          <c:idx val="5"/>
          <c:order val="5"/>
          <c:tx>
            <c:strRef>
              <c:f>'Task-3'!$G$1</c:f>
              <c:strCache>
                <c:ptCount val="1"/>
                <c:pt idx="0">
                  <c:v>countif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'Task-3'!$A$2:$A$10</c15:sqref>
                  </c15:fullRef>
                </c:ext>
              </c:extLst>
              <c:f>'Task-3'!$A$2:$A$4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'Task-3'!$G$2:$G$10</c15:sqref>
                  </c15:fullRef>
                </c:ext>
              </c:extLst>
              <c:f>'Task-3'!$G$2:$G$4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67-4891-B97F-819148C1E909}"/>
            </c:ext>
          </c:extLst>
        </c:ser>
        <c:ser>
          <c:idx val="6"/>
          <c:order val="6"/>
          <c:tx>
            <c:strRef>
              <c:f>'Task-3'!$H$1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'Task-3'!$A$2:$A$10</c15:sqref>
                  </c15:fullRef>
                </c:ext>
              </c:extLst>
              <c:f>'Task-3'!$A$2:$A$4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'Task-3'!$H$2:$H$10</c15:sqref>
                  </c15:fullRef>
                </c:ext>
              </c:extLst>
              <c:f>'Task-3'!$H$2:$H$4</c:f>
              <c:numCache>
                <c:formatCode>General</c:formatCode>
                <c:ptCount val="3"/>
                <c:pt idx="0">
                  <c:v>1200</c:v>
                </c:pt>
                <c:pt idx="1">
                  <c:v>1000</c:v>
                </c:pt>
                <c:pt idx="2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F67-4891-B97F-819148C1E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8613791"/>
        <c:axId val="1634580143"/>
      </c:lineChart>
      <c:catAx>
        <c:axId val="178861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580143"/>
        <c:crosses val="autoZero"/>
        <c:auto val="1"/>
        <c:lblAlgn val="ctr"/>
        <c:lblOffset val="100"/>
        <c:noMultiLvlLbl val="0"/>
      </c:catAx>
      <c:valAx>
        <c:axId val="163458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61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68580</xdr:colOff>
      <xdr:row>6</xdr:row>
      <xdr:rowOff>144780</xdr:rowOff>
    </xdr:from>
    <xdr:to>
      <xdr:col>15</xdr:col>
      <xdr:colOff>373380</xdr:colOff>
      <xdr:row>19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C061C3-309D-EC72-F687-FFDE70D87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396240</xdr:colOff>
      <xdr:row>0</xdr:row>
      <xdr:rowOff>0</xdr:rowOff>
    </xdr:from>
    <xdr:to>
      <xdr:col>16</xdr:col>
      <xdr:colOff>91440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483178-37F9-E3F9-55E7-BF65B9D3B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 supare" refreshedDate="46208.734685648145" createdVersion="8" refreshedVersion="8" minRefreshableVersion="3" recordCount="10" xr:uid="{32F86200-CDDA-41EF-8B06-334357FB6A58}">
  <cacheSource type="worksheet">
    <worksheetSource name="Table2"/>
  </cacheSource>
  <cacheFields count="6">
    <cacheField name="Product ID" numFmtId="0">
      <sharedItems containsSemiMixedTypes="0" containsString="0" containsNumber="1" containsInteger="1" minValue="1" maxValue="10"/>
    </cacheField>
    <cacheField name="Product Name" numFmtId="0">
      <sharedItems count="10">
        <s v="Laptop"/>
        <s v="T-shirt"/>
        <s v="Smartphone"/>
        <s v="Headphones"/>
        <s v="Jeans"/>
        <s v="Tablet"/>
        <s v="Dress Shirt"/>
        <s v="Camera"/>
        <s v="Sneakers"/>
        <s v="Smart Watch"/>
      </sharedItems>
    </cacheField>
    <cacheField name="Category" numFmtId="0">
      <sharedItems/>
    </cacheField>
    <cacheField name="Price" numFmtId="166">
      <sharedItems containsSemiMixedTypes="0" containsString="0" containsNumber="1" containsInteger="1" minValue="20" maxValue="1200" count="10">
        <n v="1000"/>
        <n v="20"/>
        <n v="500"/>
        <n v="200"/>
        <n v="50"/>
        <n v="700"/>
        <n v="30"/>
        <n v="1200"/>
        <n v="80"/>
        <n v="300"/>
      </sharedItems>
    </cacheField>
    <cacheField name="Quantity" numFmtId="0">
      <sharedItems containsSemiMixedTypes="0" containsString="0" containsNumber="1" containsInteger="1" minValue="3" maxValue="20" count="9">
        <n v="5"/>
        <n v="10"/>
        <n v="8"/>
        <n v="15"/>
        <n v="12"/>
        <n v="6"/>
        <n v="20"/>
        <n v="3"/>
        <n v="7"/>
      </sharedItems>
    </cacheField>
    <cacheField name="Total_Value" numFmtId="0">
      <sharedItems containsSemiMixedTypes="0" containsString="0" containsNumber="1" containsInteger="1" minValue="2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x v="0"/>
    <s v="Electronics"/>
    <x v="0"/>
    <x v="0"/>
    <n v="5000"/>
  </r>
  <r>
    <n v="2"/>
    <x v="1"/>
    <s v="Clothing"/>
    <x v="1"/>
    <x v="1"/>
    <n v="200"/>
  </r>
  <r>
    <n v="3"/>
    <x v="2"/>
    <s v="Electronics"/>
    <x v="2"/>
    <x v="2"/>
    <n v="4000"/>
  </r>
  <r>
    <n v="4"/>
    <x v="3"/>
    <s v="Electronics"/>
    <x v="3"/>
    <x v="3"/>
    <n v="3000"/>
  </r>
  <r>
    <n v="5"/>
    <x v="4"/>
    <s v="Clothing"/>
    <x v="4"/>
    <x v="4"/>
    <n v="600"/>
  </r>
  <r>
    <n v="6"/>
    <x v="5"/>
    <s v="Electronics"/>
    <x v="5"/>
    <x v="5"/>
    <n v="4200"/>
  </r>
  <r>
    <n v="7"/>
    <x v="6"/>
    <s v="Clothing"/>
    <x v="6"/>
    <x v="6"/>
    <n v="600"/>
  </r>
  <r>
    <n v="8"/>
    <x v="7"/>
    <s v="Electronics"/>
    <x v="7"/>
    <x v="7"/>
    <n v="3600"/>
  </r>
  <r>
    <n v="9"/>
    <x v="8"/>
    <s v="Clothing"/>
    <x v="8"/>
    <x v="8"/>
    <n v="560"/>
  </r>
  <r>
    <n v="10"/>
    <x v="9"/>
    <s v="Electronics"/>
    <x v="9"/>
    <x v="1"/>
    <n v="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E47E5-66CF-4706-986B-FC1D13BCBBBF}" name="PivotTable1" cacheId="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>
  <location ref="E13:F24" firstHeaderRow="1" firstDataRow="1" firstDataCol="1"/>
  <pivotFields count="6">
    <pivotField showAll="0"/>
    <pivotField axis="axisRow" showAll="0">
      <items count="11">
        <item x="7"/>
        <item x="6"/>
        <item x="3"/>
        <item x="4"/>
        <item x="0"/>
        <item x="9"/>
        <item x="2"/>
        <item x="8"/>
        <item x="5"/>
        <item x="1"/>
        <item t="default"/>
      </items>
    </pivotField>
    <pivotField showAll="0"/>
    <pivotField showAll="0"/>
    <pivotField dataField="1" showAll="0">
      <items count="10">
        <item x="7"/>
        <item x="0"/>
        <item x="5"/>
        <item x="8"/>
        <item x="2"/>
        <item x="1"/>
        <item x="4"/>
        <item x="3"/>
        <item x="6"/>
        <item t="default"/>
      </items>
    </pivotField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75CD6-A9F1-4E41-9C3E-18F491BDE901}" name="Table1" displayName="Table1" ref="A1:E10" totalsRowShown="0" headerRowDxfId="13" headerRowBorderDxfId="20" tableBorderDxfId="21" totalsRowBorderDxfId="19">
  <autoFilter ref="A1:E10" xr:uid="{AD075CD6-A9F1-4E41-9C3E-18F491BDE901}"/>
  <sortState xmlns:xlrd2="http://schemas.microsoft.com/office/spreadsheetml/2017/richdata2" ref="A2:E10">
    <sortCondition descending="1" ref="C1:C10"/>
  </sortState>
  <tableColumns count="5">
    <tableColumn id="1" xr3:uid="{7643A7AC-1052-4550-9E7F-132925C83ED8}" name="Student ID " dataDxfId="18"/>
    <tableColumn id="2" xr3:uid="{3353B072-1E46-4B6E-9181-BF86EC490A5D}" name=" Name         " dataDxfId="17"/>
    <tableColumn id="3" xr3:uid="{523D1F78-AF40-4CBE-9947-1DF819A077CE}" name=" Math Score " dataDxfId="16"/>
    <tableColumn id="4" xr3:uid="{E762822A-44F0-493A-AE17-B48F199E1699}" name=" Science Score " dataDxfId="15"/>
    <tableColumn id="5" xr3:uid="{98F83831-09BB-4A7D-A3B5-121F3A04D27C}" name=" English Score 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CAD967-5E07-4F58-A696-3B3231CD7A19}" name="Table2" displayName="Table2" ref="A1:F11" totalsRowShown="0" headerRowDxfId="4" headerRowBorderDxfId="10" tableBorderDxfId="11" totalsRowBorderDxfId="9">
  <autoFilter ref="A1:F11" xr:uid="{55CAD967-5E07-4F58-A696-3B3231CD7A19}"/>
  <tableColumns count="6">
    <tableColumn id="1" xr3:uid="{6939123E-D777-4473-8335-92ED7663471D}" name="Product ID" dataDxfId="8"/>
    <tableColumn id="2" xr3:uid="{EEAB6C64-1ACB-4A73-9CCF-22239FA1482C}" name="Product Name" dataDxfId="7"/>
    <tableColumn id="3" xr3:uid="{43D528DE-ABED-4159-B62E-CD443C776FDC}" name="Category" dataDxfId="6"/>
    <tableColumn id="4" xr3:uid="{076D16CF-BE9D-49D1-A8E0-8CFB58CEAD00}" name="Price" dataDxfId="1"/>
    <tableColumn id="5" xr3:uid="{4FD255A5-1E0E-4FCA-898A-036BB9087CE9}" name="Quantity" dataDxfId="5"/>
    <tableColumn id="6" xr3:uid="{A6DBEAD8-DD18-4B25-BE03-0A29EE7CA75E}" name="Total_Value" dataDxfId="3">
      <calculatedColumnFormula>Table2[[#This Row],[Price]]*Table2[[#This Row],[Quantity]]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K16" sqref="K16"/>
    </sheetView>
  </sheetViews>
  <sheetFormatPr defaultRowHeight="14.4" x14ac:dyDescent="0.3"/>
  <cols>
    <col min="1" max="1" width="12.21875" customWidth="1"/>
    <col min="2" max="2" width="14.109375" bestFit="1" customWidth="1"/>
    <col min="3" max="3" width="13.44140625" customWidth="1"/>
    <col min="4" max="4" width="15.21875" customWidth="1"/>
    <col min="5" max="5" width="14.77734375" customWidth="1"/>
  </cols>
  <sheetData>
    <row r="1" spans="1:6" x14ac:dyDescent="0.3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</row>
    <row r="2" spans="1:6" x14ac:dyDescent="0.3">
      <c r="A2" s="9">
        <v>5</v>
      </c>
      <c r="B2" s="1" t="s">
        <v>9</v>
      </c>
      <c r="C2" s="1">
        <v>95</v>
      </c>
      <c r="D2" s="1">
        <v>91</v>
      </c>
      <c r="E2" s="11">
        <v>87</v>
      </c>
    </row>
    <row r="3" spans="1:6" x14ac:dyDescent="0.3">
      <c r="A3" s="9">
        <v>2</v>
      </c>
      <c r="B3" s="1" t="s">
        <v>6</v>
      </c>
      <c r="C3" s="1">
        <v>92</v>
      </c>
      <c r="D3" s="1">
        <v>88</v>
      </c>
      <c r="E3" s="11">
        <v>90</v>
      </c>
    </row>
    <row r="4" spans="1:6" x14ac:dyDescent="0.3">
      <c r="A4" s="9">
        <v>9</v>
      </c>
      <c r="B4" s="1" t="s">
        <v>14</v>
      </c>
      <c r="C4" s="1">
        <v>91</v>
      </c>
      <c r="D4" s="1">
        <v>87</v>
      </c>
      <c r="E4" s="11">
        <v>91</v>
      </c>
    </row>
    <row r="5" spans="1:6" x14ac:dyDescent="0.3">
      <c r="A5" s="9">
        <v>7</v>
      </c>
      <c r="B5" s="1" t="s">
        <v>11</v>
      </c>
      <c r="C5" s="1">
        <v>90</v>
      </c>
      <c r="D5" s="1">
        <v>86</v>
      </c>
      <c r="E5" s="11">
        <v>88</v>
      </c>
    </row>
    <row r="6" spans="1:6" x14ac:dyDescent="0.3">
      <c r="A6" s="9">
        <v>4</v>
      </c>
      <c r="B6" s="1" t="s">
        <v>8</v>
      </c>
      <c r="C6" s="1">
        <v>88</v>
      </c>
      <c r="D6" s="1">
        <v>85</v>
      </c>
      <c r="E6" s="11">
        <v>92</v>
      </c>
    </row>
    <row r="7" spans="1:6" x14ac:dyDescent="0.3">
      <c r="A7" s="10">
        <v>8</v>
      </c>
      <c r="B7" s="1" t="s">
        <v>13</v>
      </c>
      <c r="C7" s="1">
        <v>87</v>
      </c>
      <c r="D7" s="1">
        <v>83</v>
      </c>
      <c r="E7" s="11">
        <v>89</v>
      </c>
    </row>
    <row r="8" spans="1:6" x14ac:dyDescent="0.3">
      <c r="A8" s="9">
        <v>1</v>
      </c>
      <c r="B8" s="1" t="s">
        <v>5</v>
      </c>
      <c r="C8" s="1">
        <v>85</v>
      </c>
      <c r="D8" s="1">
        <v>90</v>
      </c>
      <c r="E8" s="11">
        <v>88</v>
      </c>
      <c r="F8" t="s">
        <v>12</v>
      </c>
    </row>
    <row r="9" spans="1:6" x14ac:dyDescent="0.3">
      <c r="A9" s="9">
        <v>6</v>
      </c>
      <c r="B9" s="1" t="s">
        <v>10</v>
      </c>
      <c r="C9" s="1">
        <v>82</v>
      </c>
      <c r="D9" s="1">
        <v>89</v>
      </c>
      <c r="E9" s="11">
        <v>84</v>
      </c>
    </row>
    <row r="10" spans="1:6" x14ac:dyDescent="0.3">
      <c r="A10" s="15">
        <v>3</v>
      </c>
      <c r="B10" s="16" t="s">
        <v>7</v>
      </c>
      <c r="C10" s="16">
        <v>78</v>
      </c>
      <c r="D10" s="16">
        <v>82</v>
      </c>
      <c r="E10" s="17">
        <v>85</v>
      </c>
    </row>
    <row r="13" spans="1:6" ht="27.45" customHeight="1" x14ac:dyDescent="0.3">
      <c r="B13" s="33" t="s">
        <v>15</v>
      </c>
      <c r="C13" s="33"/>
      <c r="D13" s="33"/>
      <c r="E13" s="33"/>
    </row>
    <row r="14" spans="1:6" ht="28.05" customHeight="1" x14ac:dyDescent="0.3">
      <c r="B14" s="8" t="s">
        <v>16</v>
      </c>
      <c r="C14" s="8"/>
      <c r="D14" s="8"/>
      <c r="E14" s="8"/>
    </row>
    <row r="15" spans="1:6" ht="19.95" customHeight="1" x14ac:dyDescent="0.3">
      <c r="B15" s="33" t="s">
        <v>17</v>
      </c>
      <c r="C15" s="33"/>
      <c r="D15" s="33"/>
      <c r="E15" s="33"/>
    </row>
  </sheetData>
  <mergeCells count="3">
    <mergeCell ref="B13:E13"/>
    <mergeCell ref="B14:E14"/>
    <mergeCell ref="B15:E15"/>
  </mergeCells>
  <conditionalFormatting sqref="A1:E10">
    <cfRule type="expression" dxfId="22" priority="1">
      <formula>AVERAGE($C$2:$E$10&gt;85)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>
      <selection activeCell="H20" sqref="H20"/>
    </sheetView>
  </sheetViews>
  <sheetFormatPr defaultRowHeight="14.4" x14ac:dyDescent="0.3"/>
  <cols>
    <col min="1" max="1" width="14.33203125" bestFit="1" customWidth="1"/>
    <col min="2" max="2" width="17.6640625" bestFit="1" customWidth="1"/>
    <col min="3" max="3" width="13" bestFit="1" customWidth="1"/>
    <col min="4" max="4" width="9.5546875" style="28" bestFit="1" customWidth="1"/>
    <col min="5" max="5" width="12.77734375" bestFit="1" customWidth="1"/>
    <col min="6" max="6" width="15.44140625" bestFit="1" customWidth="1"/>
    <col min="8" max="8" width="48.21875" customWidth="1"/>
  </cols>
  <sheetData>
    <row r="1" spans="1:8" x14ac:dyDescent="0.3">
      <c r="A1" s="19" t="s">
        <v>18</v>
      </c>
      <c r="B1" s="20" t="s">
        <v>19</v>
      </c>
      <c r="C1" s="20" t="s">
        <v>20</v>
      </c>
      <c r="D1" s="25" t="s">
        <v>21</v>
      </c>
      <c r="E1" s="21" t="s">
        <v>22</v>
      </c>
      <c r="F1" s="20" t="s">
        <v>98</v>
      </c>
    </row>
    <row r="2" spans="1:8" x14ac:dyDescent="0.3">
      <c r="A2" s="10">
        <v>1</v>
      </c>
      <c r="B2" s="1" t="s">
        <v>23</v>
      </c>
      <c r="C2" s="1" t="s">
        <v>24</v>
      </c>
      <c r="D2" s="26">
        <v>1000</v>
      </c>
      <c r="E2" s="11">
        <v>5</v>
      </c>
      <c r="F2" s="22">
        <f>Table2[[#This Row],[Price]]*Table2[[#This Row],[Quantity]]</f>
        <v>5000</v>
      </c>
    </row>
    <row r="3" spans="1:8" x14ac:dyDescent="0.3">
      <c r="A3" s="10">
        <v>2</v>
      </c>
      <c r="B3" s="1" t="s">
        <v>25</v>
      </c>
      <c r="C3" s="1" t="s">
        <v>26</v>
      </c>
      <c r="D3" s="26">
        <v>20</v>
      </c>
      <c r="E3" s="11">
        <v>10</v>
      </c>
      <c r="F3" s="22">
        <f>Table2[[#This Row],[Price]]*Table2[[#This Row],[Quantity]]</f>
        <v>200</v>
      </c>
    </row>
    <row r="4" spans="1:8" x14ac:dyDescent="0.3">
      <c r="A4" s="10">
        <v>3</v>
      </c>
      <c r="B4" s="1" t="s">
        <v>27</v>
      </c>
      <c r="C4" s="1" t="s">
        <v>24</v>
      </c>
      <c r="D4" s="26">
        <v>500</v>
      </c>
      <c r="E4" s="11">
        <v>8</v>
      </c>
      <c r="F4" s="22">
        <f>Table2[[#This Row],[Price]]*Table2[[#This Row],[Quantity]]</f>
        <v>4000</v>
      </c>
    </row>
    <row r="5" spans="1:8" x14ac:dyDescent="0.3">
      <c r="A5" s="10">
        <v>4</v>
      </c>
      <c r="B5" s="1" t="s">
        <v>28</v>
      </c>
      <c r="C5" s="1" t="s">
        <v>24</v>
      </c>
      <c r="D5" s="26">
        <v>200</v>
      </c>
      <c r="E5" s="11">
        <v>15</v>
      </c>
      <c r="F5" s="22">
        <f>Table2[[#This Row],[Price]]*Table2[[#This Row],[Quantity]]</f>
        <v>3000</v>
      </c>
    </row>
    <row r="6" spans="1:8" x14ac:dyDescent="0.3">
      <c r="A6" s="10">
        <v>5</v>
      </c>
      <c r="B6" s="1" t="s">
        <v>29</v>
      </c>
      <c r="C6" s="1" t="s">
        <v>26</v>
      </c>
      <c r="D6" s="26">
        <v>50</v>
      </c>
      <c r="E6" s="11">
        <v>12</v>
      </c>
      <c r="F6" s="22">
        <f>Table2[[#This Row],[Price]]*Table2[[#This Row],[Quantity]]</f>
        <v>600</v>
      </c>
    </row>
    <row r="7" spans="1:8" x14ac:dyDescent="0.3">
      <c r="A7" s="10">
        <v>6</v>
      </c>
      <c r="B7" s="1" t="s">
        <v>30</v>
      </c>
      <c r="C7" s="1" t="s">
        <v>24</v>
      </c>
      <c r="D7" s="26">
        <v>700</v>
      </c>
      <c r="E7" s="11">
        <v>6</v>
      </c>
      <c r="F7" s="22">
        <f>Table2[[#This Row],[Price]]*Table2[[#This Row],[Quantity]]</f>
        <v>4200</v>
      </c>
    </row>
    <row r="8" spans="1:8" x14ac:dyDescent="0.3">
      <c r="A8" s="10">
        <v>7</v>
      </c>
      <c r="B8" s="1" t="s">
        <v>31</v>
      </c>
      <c r="C8" s="1" t="s">
        <v>26</v>
      </c>
      <c r="D8" s="26">
        <v>30</v>
      </c>
      <c r="E8" s="11">
        <v>20</v>
      </c>
      <c r="F8" s="22">
        <f>Table2[[#This Row],[Price]]*Table2[[#This Row],[Quantity]]</f>
        <v>600</v>
      </c>
    </row>
    <row r="9" spans="1:8" x14ac:dyDescent="0.3">
      <c r="A9" s="10">
        <v>8</v>
      </c>
      <c r="B9" s="1" t="s">
        <v>32</v>
      </c>
      <c r="C9" s="1" t="s">
        <v>24</v>
      </c>
      <c r="D9" s="26">
        <v>1200</v>
      </c>
      <c r="E9" s="11">
        <v>3</v>
      </c>
      <c r="F9" s="22">
        <f>Table2[[#This Row],[Price]]*Table2[[#This Row],[Quantity]]</f>
        <v>3600</v>
      </c>
    </row>
    <row r="10" spans="1:8" x14ac:dyDescent="0.3">
      <c r="A10" s="10">
        <v>9</v>
      </c>
      <c r="B10" s="1" t="s">
        <v>33</v>
      </c>
      <c r="C10" s="1" t="s">
        <v>26</v>
      </c>
      <c r="D10" s="26">
        <v>80</v>
      </c>
      <c r="E10" s="11">
        <v>7</v>
      </c>
      <c r="F10" s="22">
        <f>Table2[[#This Row],[Price]]*Table2[[#This Row],[Quantity]]</f>
        <v>560</v>
      </c>
    </row>
    <row r="11" spans="1:8" x14ac:dyDescent="0.3">
      <c r="A11" s="18">
        <v>10</v>
      </c>
      <c r="B11" s="16" t="s">
        <v>34</v>
      </c>
      <c r="C11" s="16" t="s">
        <v>24</v>
      </c>
      <c r="D11" s="27">
        <v>300</v>
      </c>
      <c r="E11" s="17">
        <v>10</v>
      </c>
      <c r="F11" s="22">
        <f>Table2[[#This Row],[Price]]*Table2[[#This Row],[Quantity]]</f>
        <v>3000</v>
      </c>
    </row>
    <row r="12" spans="1:8" x14ac:dyDescent="0.3">
      <c r="H12" s="2" t="s">
        <v>35</v>
      </c>
    </row>
    <row r="13" spans="1:8" x14ac:dyDescent="0.3">
      <c r="E13" s="29" t="s">
        <v>99</v>
      </c>
      <c r="F13" t="s">
        <v>101</v>
      </c>
      <c r="H13" s="3"/>
    </row>
    <row r="14" spans="1:8" ht="24" x14ac:dyDescent="0.3">
      <c r="E14" s="31" t="s">
        <v>32</v>
      </c>
      <c r="F14" s="30">
        <v>3</v>
      </c>
      <c r="H14" s="4" t="s">
        <v>36</v>
      </c>
    </row>
    <row r="15" spans="1:8" x14ac:dyDescent="0.3">
      <c r="E15" s="31" t="s">
        <v>31</v>
      </c>
      <c r="F15" s="30">
        <v>20</v>
      </c>
      <c r="H15" s="4" t="s">
        <v>37</v>
      </c>
    </row>
    <row r="16" spans="1:8" ht="24" x14ac:dyDescent="0.3">
      <c r="E16" s="31" t="s">
        <v>28</v>
      </c>
      <c r="F16" s="30">
        <v>15</v>
      </c>
      <c r="H16" s="32" t="s">
        <v>38</v>
      </c>
    </row>
    <row r="17" spans="5:8" ht="24" x14ac:dyDescent="0.3">
      <c r="E17" s="31" t="s">
        <v>29</v>
      </c>
      <c r="F17" s="30">
        <v>12</v>
      </c>
      <c r="H17" s="4" t="s">
        <v>39</v>
      </c>
    </row>
    <row r="18" spans="5:8" x14ac:dyDescent="0.3">
      <c r="E18" s="31" t="s">
        <v>23</v>
      </c>
      <c r="F18" s="30">
        <v>5</v>
      </c>
      <c r="H18" s="4" t="s">
        <v>40</v>
      </c>
    </row>
    <row r="19" spans="5:8" x14ac:dyDescent="0.3">
      <c r="E19" s="31" t="s">
        <v>34</v>
      </c>
      <c r="F19" s="30">
        <v>10</v>
      </c>
    </row>
    <row r="20" spans="5:8" x14ac:dyDescent="0.3">
      <c r="E20" s="31" t="s">
        <v>27</v>
      </c>
      <c r="F20" s="30">
        <v>8</v>
      </c>
    </row>
    <row r="21" spans="5:8" x14ac:dyDescent="0.3">
      <c r="E21" s="31" t="s">
        <v>33</v>
      </c>
      <c r="F21" s="30">
        <v>7</v>
      </c>
    </row>
    <row r="22" spans="5:8" x14ac:dyDescent="0.3">
      <c r="E22" s="31" t="s">
        <v>30</v>
      </c>
      <c r="F22" s="30">
        <v>6</v>
      </c>
    </row>
    <row r="23" spans="5:8" x14ac:dyDescent="0.3">
      <c r="E23" s="31" t="s">
        <v>25</v>
      </c>
      <c r="F23" s="30">
        <v>10</v>
      </c>
    </row>
    <row r="24" spans="5:8" x14ac:dyDescent="0.3">
      <c r="E24" s="31" t="s">
        <v>100</v>
      </c>
      <c r="F24" s="30">
        <v>96</v>
      </c>
    </row>
  </sheetData>
  <dataConsolidate/>
  <conditionalFormatting sqref="D2:D11">
    <cfRule type="cellIs" dxfId="2" priority="1" operator="greaterThan">
      <formula>500</formula>
    </cfRule>
  </conditionalFormatting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workbookViewId="0">
      <selection activeCell="G3" sqref="G3"/>
    </sheetView>
  </sheetViews>
  <sheetFormatPr defaultRowHeight="14.4" x14ac:dyDescent="0.3"/>
  <cols>
    <col min="1" max="1" width="9.88671875" bestFit="1" customWidth="1"/>
    <col min="2" max="2" width="6.6640625" bestFit="1" customWidth="1"/>
    <col min="3" max="4" width="6.5546875" bestFit="1" customWidth="1"/>
    <col min="5" max="5" width="10.44140625" bestFit="1" customWidth="1"/>
    <col min="6" max="6" width="13.21875" bestFit="1" customWidth="1"/>
  </cols>
  <sheetData>
    <row r="1" spans="1:8" x14ac:dyDescent="0.3">
      <c r="A1" s="6" t="s">
        <v>46</v>
      </c>
      <c r="B1" s="6" t="s">
        <v>47</v>
      </c>
      <c r="C1" s="6" t="s">
        <v>48</v>
      </c>
      <c r="D1" s="6" t="s">
        <v>49</v>
      </c>
      <c r="E1" s="6" t="s">
        <v>102</v>
      </c>
      <c r="F1" s="6" t="s">
        <v>103</v>
      </c>
      <c r="G1" s="6" t="s">
        <v>104</v>
      </c>
      <c r="H1" s="6" t="s">
        <v>105</v>
      </c>
    </row>
    <row r="2" spans="1:8" x14ac:dyDescent="0.3">
      <c r="A2" s="1" t="s">
        <v>50</v>
      </c>
      <c r="B2" s="1">
        <v>1200</v>
      </c>
      <c r="C2" s="1">
        <v>1100</v>
      </c>
      <c r="D2" s="1">
        <v>900</v>
      </c>
      <c r="E2" s="1">
        <f>SUM(B2:D2)</f>
        <v>3200</v>
      </c>
      <c r="F2" s="1">
        <f>AVERAGE(B2:D2)</f>
        <v>1066.6666666666667</v>
      </c>
      <c r="G2" s="1"/>
      <c r="H2" s="1">
        <f>MAX(B2:D2)</f>
        <v>1200</v>
      </c>
    </row>
    <row r="3" spans="1:8" x14ac:dyDescent="0.3">
      <c r="A3" s="1" t="s">
        <v>51</v>
      </c>
      <c r="B3" s="1">
        <v>900</v>
      </c>
      <c r="C3" s="1">
        <v>1000</v>
      </c>
      <c r="D3" s="1">
        <v>800</v>
      </c>
      <c r="E3" s="1">
        <f t="shared" ref="E3:E10" si="0">SUM(B3:D3)</f>
        <v>2700</v>
      </c>
      <c r="F3" s="1">
        <f t="shared" ref="F3:F10" si="1">AVERAGE(B3:D3)</f>
        <v>900</v>
      </c>
      <c r="G3" s="1"/>
      <c r="H3" s="1">
        <f t="shared" ref="H3:H10" si="2">MAX(B3:D3)</f>
        <v>1000</v>
      </c>
    </row>
    <row r="4" spans="1:8" x14ac:dyDescent="0.3">
      <c r="A4" s="1" t="s">
        <v>52</v>
      </c>
      <c r="B4" s="1">
        <v>1300</v>
      </c>
      <c r="C4" s="1">
        <v>950</v>
      </c>
      <c r="D4" s="1">
        <v>1050</v>
      </c>
      <c r="E4" s="1">
        <f t="shared" si="0"/>
        <v>3300</v>
      </c>
      <c r="F4" s="1">
        <f t="shared" si="1"/>
        <v>1100</v>
      </c>
      <c r="G4" s="1"/>
      <c r="H4" s="1">
        <f t="shared" si="2"/>
        <v>1300</v>
      </c>
    </row>
    <row r="5" spans="1:8" x14ac:dyDescent="0.3">
      <c r="A5" s="1" t="s">
        <v>53</v>
      </c>
      <c r="B5" s="1">
        <v>1100</v>
      </c>
      <c r="C5" s="1">
        <v>1200</v>
      </c>
      <c r="D5" s="1">
        <v>850</v>
      </c>
      <c r="E5" s="1">
        <f t="shared" si="0"/>
        <v>3150</v>
      </c>
      <c r="F5" s="1">
        <f t="shared" si="1"/>
        <v>1050</v>
      </c>
      <c r="G5" s="1"/>
      <c r="H5" s="1">
        <f t="shared" si="2"/>
        <v>1200</v>
      </c>
    </row>
    <row r="6" spans="1:8" x14ac:dyDescent="0.3">
      <c r="A6" s="1" t="s">
        <v>54</v>
      </c>
      <c r="B6" s="1">
        <v>950</v>
      </c>
      <c r="C6" s="1">
        <v>800</v>
      </c>
      <c r="D6" s="1">
        <v>950</v>
      </c>
      <c r="E6" s="1">
        <f t="shared" si="0"/>
        <v>2700</v>
      </c>
      <c r="F6" s="1">
        <f t="shared" si="1"/>
        <v>900</v>
      </c>
      <c r="G6" s="1"/>
      <c r="H6" s="1">
        <f t="shared" si="2"/>
        <v>950</v>
      </c>
    </row>
    <row r="7" spans="1:8" x14ac:dyDescent="0.3">
      <c r="A7" s="1" t="s">
        <v>55</v>
      </c>
      <c r="B7" s="1">
        <v>1150</v>
      </c>
      <c r="C7" s="1">
        <v>1050</v>
      </c>
      <c r="D7" s="1">
        <v>1000</v>
      </c>
      <c r="E7" s="1">
        <f t="shared" si="0"/>
        <v>3200</v>
      </c>
      <c r="F7" s="1">
        <f t="shared" si="1"/>
        <v>1066.6666666666667</v>
      </c>
      <c r="G7" s="1"/>
      <c r="H7" s="1">
        <f t="shared" si="2"/>
        <v>1150</v>
      </c>
    </row>
    <row r="8" spans="1:8" x14ac:dyDescent="0.3">
      <c r="A8" s="1" t="s">
        <v>56</v>
      </c>
      <c r="B8" s="1">
        <v>1050</v>
      </c>
      <c r="C8" s="1">
        <v>900</v>
      </c>
      <c r="D8" s="1">
        <v>1100</v>
      </c>
      <c r="E8" s="1">
        <f t="shared" si="0"/>
        <v>3050</v>
      </c>
      <c r="F8" s="1">
        <f t="shared" si="1"/>
        <v>1016.6666666666666</v>
      </c>
      <c r="G8" s="1"/>
      <c r="H8" s="1">
        <f t="shared" si="2"/>
        <v>1100</v>
      </c>
    </row>
    <row r="9" spans="1:8" x14ac:dyDescent="0.3">
      <c r="A9" s="1" t="s">
        <v>57</v>
      </c>
      <c r="B9" s="1">
        <v>1000</v>
      </c>
      <c r="C9" s="1">
        <v>1150</v>
      </c>
      <c r="D9" s="1">
        <v>950</v>
      </c>
      <c r="E9" s="1">
        <f t="shared" si="0"/>
        <v>3100</v>
      </c>
      <c r="F9" s="1">
        <f t="shared" si="1"/>
        <v>1033.3333333333333</v>
      </c>
      <c r="G9" s="1"/>
      <c r="H9" s="1">
        <f t="shared" si="2"/>
        <v>1150</v>
      </c>
    </row>
    <row r="10" spans="1:8" x14ac:dyDescent="0.3">
      <c r="A10" s="1" t="s">
        <v>58</v>
      </c>
      <c r="B10" s="1">
        <v>1250</v>
      </c>
      <c r="C10" s="1">
        <v>1000</v>
      </c>
      <c r="D10" s="1">
        <v>1200</v>
      </c>
      <c r="E10" s="1">
        <f t="shared" si="0"/>
        <v>3450</v>
      </c>
      <c r="F10" s="1">
        <f t="shared" si="1"/>
        <v>1150</v>
      </c>
      <c r="G10" s="1"/>
      <c r="H10" s="1">
        <f t="shared" si="2"/>
        <v>1250</v>
      </c>
    </row>
    <row r="15" spans="1:8" x14ac:dyDescent="0.3">
      <c r="G15" t="s">
        <v>35</v>
      </c>
    </row>
    <row r="17" spans="7:14" x14ac:dyDescent="0.3">
      <c r="G17" t="s">
        <v>41</v>
      </c>
    </row>
    <row r="18" spans="7:14" x14ac:dyDescent="0.3">
      <c r="G18" t="s">
        <v>42</v>
      </c>
    </row>
    <row r="19" spans="7:14" x14ac:dyDescent="0.3">
      <c r="G19" s="34" t="s">
        <v>43</v>
      </c>
      <c r="H19" s="34"/>
      <c r="I19" s="34"/>
      <c r="J19" s="34"/>
      <c r="K19" s="34"/>
      <c r="L19" s="34"/>
      <c r="M19" s="34"/>
      <c r="N19" s="34"/>
    </row>
    <row r="20" spans="7:14" x14ac:dyDescent="0.3">
      <c r="G20" t="s">
        <v>44</v>
      </c>
    </row>
    <row r="21" spans="7:14" x14ac:dyDescent="0.3">
      <c r="G21" t="s">
        <v>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F9FF-FD80-4281-AFE9-6CCF2977C968}">
  <dimension ref="A1:Q16"/>
  <sheetViews>
    <sheetView workbookViewId="0">
      <selection activeCell="K23" sqref="K23"/>
    </sheetView>
  </sheetViews>
  <sheetFormatPr defaultRowHeight="14.4" x14ac:dyDescent="0.3"/>
  <cols>
    <col min="1" max="1" width="9.44140625" bestFit="1" customWidth="1"/>
  </cols>
  <sheetData>
    <row r="1" spans="1:17" x14ac:dyDescent="0.3">
      <c r="A1" s="6" t="s">
        <v>64</v>
      </c>
      <c r="B1" s="6" t="s">
        <v>65</v>
      </c>
      <c r="C1" s="6" t="s">
        <v>66</v>
      </c>
      <c r="D1" s="6" t="s">
        <v>67</v>
      </c>
    </row>
    <row r="2" spans="1:17" x14ac:dyDescent="0.3">
      <c r="A2" s="1" t="s">
        <v>68</v>
      </c>
      <c r="B2" s="1">
        <v>550</v>
      </c>
      <c r="C2" s="1">
        <v>820</v>
      </c>
      <c r="D2" s="1"/>
    </row>
    <row r="3" spans="1:17" x14ac:dyDescent="0.3">
      <c r="A3" s="1" t="s">
        <v>69</v>
      </c>
      <c r="B3" s="1">
        <v>630</v>
      </c>
      <c r="C3" s="1">
        <v>950</v>
      </c>
      <c r="D3" s="1"/>
    </row>
    <row r="4" spans="1:17" x14ac:dyDescent="0.3">
      <c r="A4" s="1" t="s">
        <v>70</v>
      </c>
      <c r="B4" s="1">
        <v>720</v>
      </c>
      <c r="C4" s="1">
        <v>1050</v>
      </c>
      <c r="D4" s="1"/>
    </row>
    <row r="5" spans="1:17" x14ac:dyDescent="0.3">
      <c r="A5" s="1" t="s">
        <v>71</v>
      </c>
      <c r="B5" s="1">
        <v>680</v>
      </c>
      <c r="C5" s="1">
        <v>980</v>
      </c>
      <c r="D5" s="1"/>
    </row>
    <row r="6" spans="1:17" x14ac:dyDescent="0.3">
      <c r="A6" s="1" t="s">
        <v>72</v>
      </c>
      <c r="B6" s="1">
        <v>590</v>
      </c>
      <c r="C6" s="1">
        <v>870</v>
      </c>
      <c r="D6" s="1"/>
    </row>
    <row r="7" spans="1:17" x14ac:dyDescent="0.3">
      <c r="A7" s="1" t="s">
        <v>73</v>
      </c>
      <c r="B7" s="1">
        <v>660</v>
      </c>
      <c r="C7" s="1">
        <v>930</v>
      </c>
      <c r="D7" s="1"/>
    </row>
    <row r="8" spans="1:17" x14ac:dyDescent="0.3">
      <c r="A8" s="1" t="s">
        <v>74</v>
      </c>
      <c r="B8" s="1">
        <v>710</v>
      </c>
      <c r="C8" s="1">
        <v>1020</v>
      </c>
      <c r="D8" s="1"/>
    </row>
    <row r="9" spans="1:17" x14ac:dyDescent="0.3">
      <c r="A9" s="1" t="s">
        <v>75</v>
      </c>
      <c r="B9" s="1">
        <v>590</v>
      </c>
      <c r="C9" s="1">
        <v>880</v>
      </c>
      <c r="D9" s="1"/>
    </row>
    <row r="10" spans="1:17" x14ac:dyDescent="0.3">
      <c r="A10" s="1" t="s">
        <v>76</v>
      </c>
      <c r="B10" s="1">
        <v>640</v>
      </c>
      <c r="C10" s="1">
        <v>940</v>
      </c>
      <c r="D10" s="1"/>
      <c r="H10" t="s">
        <v>35</v>
      </c>
    </row>
    <row r="11" spans="1:17" x14ac:dyDescent="0.3">
      <c r="A11" s="1" t="s">
        <v>77</v>
      </c>
      <c r="B11" s="1">
        <v>600</v>
      </c>
      <c r="C11" s="1">
        <v>910</v>
      </c>
      <c r="D11" s="1"/>
    </row>
    <row r="12" spans="1:17" x14ac:dyDescent="0.3">
      <c r="B12">
        <f>SUM(B2:B11)</f>
        <v>6370</v>
      </c>
      <c r="C12">
        <f>SUM(C2:C11)</f>
        <v>9350</v>
      </c>
      <c r="H12" s="34" t="s">
        <v>59</v>
      </c>
      <c r="I12" s="34"/>
      <c r="J12" s="34"/>
      <c r="K12" s="34"/>
      <c r="L12" s="34"/>
      <c r="M12" s="34"/>
      <c r="N12" s="34"/>
    </row>
    <row r="13" spans="1:17" x14ac:dyDescent="0.3">
      <c r="H13" t="s">
        <v>60</v>
      </c>
    </row>
    <row r="14" spans="1:17" x14ac:dyDescent="0.3">
      <c r="H14" s="34" t="s">
        <v>61</v>
      </c>
      <c r="I14" s="34"/>
      <c r="J14" s="34"/>
      <c r="K14" s="34"/>
      <c r="L14" s="34"/>
      <c r="M14" s="34"/>
      <c r="N14" s="34"/>
      <c r="O14" s="34"/>
      <c r="P14" s="34"/>
    </row>
    <row r="15" spans="1:17" x14ac:dyDescent="0.3">
      <c r="H15" s="34" t="s">
        <v>62</v>
      </c>
      <c r="I15" s="34"/>
      <c r="J15" s="34"/>
      <c r="K15" s="34"/>
      <c r="L15" s="34"/>
      <c r="M15" s="34"/>
      <c r="N15" s="34"/>
      <c r="O15" s="34"/>
      <c r="P15" s="34"/>
      <c r="Q15" s="34"/>
    </row>
    <row r="16" spans="1:17" x14ac:dyDescent="0.3">
      <c r="H16" s="34" t="s">
        <v>63</v>
      </c>
      <c r="I16" s="34"/>
      <c r="J16" s="34"/>
      <c r="K16" s="34"/>
      <c r="L16" s="34"/>
      <c r="M16" s="34"/>
      <c r="N16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D7D5C-9620-4905-8C3B-7F290BF6B079}">
  <dimension ref="A1:O17"/>
  <sheetViews>
    <sheetView workbookViewId="0">
      <selection activeCell="M8" sqref="M8"/>
    </sheetView>
  </sheetViews>
  <sheetFormatPr defaultRowHeight="14.4" x14ac:dyDescent="0.3"/>
  <cols>
    <col min="1" max="1" width="11.21875" bestFit="1" customWidth="1"/>
    <col min="2" max="2" width="14.44140625" bestFit="1" customWidth="1"/>
    <col min="3" max="3" width="11.109375" bestFit="1" customWidth="1"/>
    <col min="4" max="4" width="10" style="24" bestFit="1" customWidth="1"/>
    <col min="5" max="5" width="10.5546875" bestFit="1" customWidth="1"/>
    <col min="6" max="6" width="11.88671875" bestFit="1" customWidth="1"/>
  </cols>
  <sheetData>
    <row r="1" spans="1:15" x14ac:dyDescent="0.3">
      <c r="A1" s="5" t="s">
        <v>83</v>
      </c>
      <c r="B1" s="5" t="s">
        <v>84</v>
      </c>
      <c r="C1" s="5" t="s">
        <v>85</v>
      </c>
      <c r="D1" s="35" t="s">
        <v>86</v>
      </c>
      <c r="E1" s="5" t="s">
        <v>87</v>
      </c>
      <c r="F1" s="36" t="s">
        <v>106</v>
      </c>
    </row>
    <row r="2" spans="1:15" x14ac:dyDescent="0.3">
      <c r="A2" s="1">
        <v>1</v>
      </c>
      <c r="B2" s="1" t="s">
        <v>88</v>
      </c>
      <c r="C2" s="1" t="s">
        <v>89</v>
      </c>
      <c r="D2" s="23">
        <v>55000</v>
      </c>
      <c r="E2" s="7">
        <v>43059</v>
      </c>
      <c r="F2" s="37">
        <f ca="1">DATEDIF(E2, TODAY(), "y")</f>
        <v>8</v>
      </c>
    </row>
    <row r="3" spans="1:15" x14ac:dyDescent="0.3">
      <c r="A3" s="1">
        <v>2</v>
      </c>
      <c r="B3" s="1" t="s">
        <v>90</v>
      </c>
      <c r="C3" s="1" t="s">
        <v>91</v>
      </c>
      <c r="D3" s="23">
        <v>65000</v>
      </c>
      <c r="E3" s="7">
        <v>43682</v>
      </c>
      <c r="F3" s="37">
        <f t="shared" ref="F3:F8" ca="1" si="0">DATEDIF(E3, TODAY(), "y")</f>
        <v>6</v>
      </c>
    </row>
    <row r="4" spans="1:15" x14ac:dyDescent="0.3">
      <c r="A4" s="1">
        <v>3</v>
      </c>
      <c r="B4" s="1" t="s">
        <v>92</v>
      </c>
      <c r="C4" s="1" t="s">
        <v>93</v>
      </c>
      <c r="D4" s="23">
        <v>72000</v>
      </c>
      <c r="E4" s="7">
        <v>43146</v>
      </c>
      <c r="F4" s="37">
        <f t="shared" ca="1" si="0"/>
        <v>8</v>
      </c>
    </row>
    <row r="5" spans="1:15" x14ac:dyDescent="0.3">
      <c r="A5" s="1">
        <v>4</v>
      </c>
      <c r="B5" s="1" t="s">
        <v>94</v>
      </c>
      <c r="C5" s="1" t="s">
        <v>91</v>
      </c>
      <c r="D5" s="23">
        <v>63000</v>
      </c>
      <c r="E5" s="7">
        <v>43833</v>
      </c>
      <c r="F5" s="37">
        <f t="shared" ca="1" si="0"/>
        <v>6</v>
      </c>
    </row>
    <row r="6" spans="1:15" x14ac:dyDescent="0.3">
      <c r="A6" s="1">
        <v>5</v>
      </c>
      <c r="B6" s="1" t="s">
        <v>95</v>
      </c>
      <c r="C6" s="1" t="s">
        <v>89</v>
      </c>
      <c r="D6" s="23">
        <v>58000</v>
      </c>
      <c r="E6" s="7">
        <v>42623</v>
      </c>
      <c r="F6" s="37">
        <f t="shared" ca="1" si="0"/>
        <v>9</v>
      </c>
    </row>
    <row r="7" spans="1:15" x14ac:dyDescent="0.3">
      <c r="A7" s="1">
        <v>6</v>
      </c>
      <c r="B7" s="1" t="s">
        <v>96</v>
      </c>
      <c r="C7" s="1" t="s">
        <v>93</v>
      </c>
      <c r="D7" s="23">
        <v>68000</v>
      </c>
      <c r="E7" s="7">
        <v>42911</v>
      </c>
      <c r="F7" s="37">
        <f t="shared" ca="1" si="0"/>
        <v>9</v>
      </c>
    </row>
    <row r="8" spans="1:15" x14ac:dyDescent="0.3">
      <c r="A8" s="1">
        <v>7</v>
      </c>
      <c r="B8" s="1" t="s">
        <v>97</v>
      </c>
      <c r="C8" s="1" t="s">
        <v>91</v>
      </c>
      <c r="D8" s="23">
        <v>70000</v>
      </c>
      <c r="E8" s="7">
        <v>43567</v>
      </c>
      <c r="F8" s="37">
        <f t="shared" ca="1" si="0"/>
        <v>7</v>
      </c>
    </row>
    <row r="11" spans="1:15" x14ac:dyDescent="0.3">
      <c r="I11" t="s">
        <v>35</v>
      </c>
    </row>
    <row r="13" spans="1:15" x14ac:dyDescent="0.3">
      <c r="I13" t="s">
        <v>78</v>
      </c>
    </row>
    <row r="14" spans="1:15" x14ac:dyDescent="0.3">
      <c r="I14" s="34" t="s">
        <v>79</v>
      </c>
      <c r="J14" s="34"/>
      <c r="K14" s="34"/>
      <c r="L14" s="34"/>
      <c r="M14" s="34"/>
      <c r="N14" s="34"/>
      <c r="O14" s="34"/>
    </row>
    <row r="15" spans="1:15" x14ac:dyDescent="0.3">
      <c r="I15" s="34" t="s">
        <v>80</v>
      </c>
      <c r="J15" s="34"/>
      <c r="K15" s="34"/>
      <c r="L15" s="34"/>
      <c r="M15" s="34"/>
      <c r="N15" s="34"/>
      <c r="O15" s="34"/>
    </row>
    <row r="16" spans="1:15" x14ac:dyDescent="0.3">
      <c r="I16" t="s">
        <v>81</v>
      </c>
    </row>
    <row r="17" spans="9:14" x14ac:dyDescent="0.3">
      <c r="I17" s="34" t="s">
        <v>82</v>
      </c>
      <c r="J17" s="34"/>
      <c r="K17" s="34"/>
      <c r="L17" s="34"/>
      <c r="M17" s="34"/>
      <c r="N17" s="34"/>
    </row>
  </sheetData>
  <conditionalFormatting sqref="D2:D8">
    <cfRule type="cellIs" dxfId="0" priority="1" operator="greaterThan">
      <formula>60000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Task-1</vt:lpstr>
      <vt:lpstr>Task-2</vt:lpstr>
      <vt:lpstr>Task-3</vt:lpstr>
      <vt:lpstr>Task-4</vt:lpstr>
      <vt:lpstr>Task-5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Rajinder</dc:creator>
  <cp:lastModifiedBy>om supare</cp:lastModifiedBy>
  <dcterms:created xsi:type="dcterms:W3CDTF">2024-06-25T12:42:29Z</dcterms:created>
  <dcterms:modified xsi:type="dcterms:W3CDTF">2026-07-05T12:27:51Z</dcterms:modified>
</cp:coreProperties>
</file>