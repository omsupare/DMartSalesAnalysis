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autoCompressPictures="0"/>
  <mc:AlternateContent xmlns:mc="http://schemas.openxmlformats.org/markup-compatibility/2006">
    <mc:Choice Requires="x15">
      <x15ac:absPath xmlns:x15ac="http://schemas.microsoft.com/office/spreadsheetml/2010/11/ac" url="C:\Users\omsup\Documents\Advanced Excel\excelhw\"/>
    </mc:Choice>
  </mc:AlternateContent>
  <xr:revisionPtr revIDLastSave="0" documentId="13_ncr:1_{DAF3E8D0-82B6-4942-992A-5CE27D628CE4}" xr6:coauthVersionLast="47" xr6:coauthVersionMax="47" xr10:uidLastSave="{00000000-0000-0000-0000-000000000000}"/>
  <bookViews>
    <workbookView xWindow="-108" yWindow="-108" windowWidth="23256" windowHeight="12456" tabRatio="645" activeTab="4" xr2:uid="{00000000-000D-0000-FFFF-FFFF00000000}"/>
  </bookViews>
  <sheets>
    <sheet name="Formulas" sheetId="19" r:id="rId1"/>
    <sheet name="Logical Operators" sheetId="22" r:id="rId2"/>
    <sheet name="Advanced Logical Operators " sheetId="29" r:id="rId3"/>
    <sheet name="Database Functions" sheetId="36" r:id="rId4"/>
    <sheet name="Stats Functions" sheetId="10" r:id="rId5"/>
    <sheet name="State Abbreviations" sheetId="12" r:id="rId6"/>
    <sheet name="State Income (2001-2004)" sheetId="13" r:id="rId7"/>
    <sheet name="Lookup Functions" sheetId="11" r:id="rId8"/>
    <sheet name="Advanced VLOOKUP" sheetId="33" r:id="rId9"/>
    <sheet name="VLOOKUP RANGE" sheetId="34" r:id="rId10"/>
    <sheet name="HLOOKUP" sheetId="35" r:id="rId11"/>
    <sheet name="INDEX &amp; MATCH" sheetId="14" r:id="rId12"/>
    <sheet name="OFFSET &amp; COUNTA" sheetId="25" r:id="rId13"/>
    <sheet name="Text Functions" sheetId="16" r:id="rId14"/>
    <sheet name="Cleaning data" sheetId="27" r:id="rId15"/>
    <sheet name="Formula Formatting" sheetId="41" r:id="rId16"/>
    <sheet name="Date_Time Functions" sheetId="42" r:id="rId17"/>
    <sheet name="Dates_Time" sheetId="32" r:id="rId18"/>
    <sheet name="Connecticut" sheetId="37" r:id="rId19"/>
    <sheet name="Maine" sheetId="39" r:id="rId20"/>
    <sheet name="New Hampshire" sheetId="38" r:id="rId21"/>
    <sheet name="Consolidate Summary" sheetId="40" r:id="rId22"/>
  </sheets>
  <definedNames>
    <definedName name="_xlnm._FilterDatabase" localSheetId="8" hidden="1">'Advanced VLOOKUP'!$A$9:$I$46</definedName>
    <definedName name="_xlnm._FilterDatabase" localSheetId="14" hidden="1">'Cleaning data'!$A$1:$V$1</definedName>
    <definedName name="_xlnm._FilterDatabase" localSheetId="3" hidden="1">'Database Functions'!$B$4:$G$34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W3" i="27" l="1"/>
  <c r="W4" i="27"/>
  <c r="W5" i="27"/>
  <c r="W6" i="27"/>
  <c r="W7" i="27"/>
  <c r="W8" i="27"/>
  <c r="W9" i="27"/>
  <c r="W10" i="27"/>
  <c r="W11" i="27"/>
  <c r="W12" i="27"/>
  <c r="W13" i="27"/>
  <c r="W14" i="27"/>
  <c r="W15" i="27"/>
  <c r="W16" i="27"/>
  <c r="W17" i="27"/>
  <c r="W18" i="27"/>
  <c r="W19" i="27"/>
  <c r="W20" i="27"/>
  <c r="W21" i="27"/>
  <c r="W22" i="27"/>
  <c r="W23" i="27"/>
  <c r="W24" i="27"/>
  <c r="W25" i="27"/>
  <c r="W26" i="27"/>
  <c r="W27" i="27"/>
  <c r="W28" i="27"/>
  <c r="W29" i="27"/>
  <c r="W30" i="27"/>
  <c r="W31" i="27"/>
  <c r="W32" i="27"/>
  <c r="W33" i="27"/>
  <c r="W34" i="27"/>
  <c r="W35" i="27"/>
  <c r="W36" i="27"/>
  <c r="W37" i="27"/>
  <c r="W38" i="27"/>
  <c r="W39" i="27"/>
  <c r="W40" i="27"/>
  <c r="W41" i="27"/>
  <c r="W42" i="27"/>
  <c r="W43" i="27"/>
  <c r="W44" i="27"/>
  <c r="W45" i="27"/>
  <c r="W46" i="27"/>
  <c r="W47" i="27"/>
  <c r="W48" i="27"/>
  <c r="W49" i="27"/>
  <c r="W50" i="27"/>
  <c r="W51" i="27"/>
  <c r="W52" i="27"/>
  <c r="W53" i="27"/>
  <c r="W54" i="27"/>
  <c r="W55" i="27"/>
  <c r="W56" i="27"/>
  <c r="W57" i="27"/>
  <c r="W58" i="27"/>
  <c r="W59" i="27"/>
  <c r="W60" i="27"/>
  <c r="W61" i="27"/>
  <c r="W62" i="27"/>
  <c r="W63" i="27"/>
  <c r="W64" i="27"/>
  <c r="W65" i="27"/>
  <c r="W66" i="27"/>
  <c r="W67" i="27"/>
  <c r="W68" i="27"/>
  <c r="W69" i="27"/>
  <c r="W70" i="27"/>
  <c r="W71" i="27"/>
  <c r="W72" i="27"/>
  <c r="W73" i="27"/>
  <c r="W74" i="27"/>
  <c r="W75" i="27"/>
  <c r="W76" i="27"/>
  <c r="W77" i="27"/>
  <c r="W78" i="27"/>
  <c r="W79" i="27"/>
  <c r="W80" i="27"/>
  <c r="W81" i="27"/>
  <c r="W82" i="27"/>
  <c r="W83" i="27"/>
  <c r="W84" i="27"/>
  <c r="W85" i="27"/>
  <c r="W86" i="27"/>
  <c r="W87" i="27"/>
  <c r="W88" i="27"/>
  <c r="W89" i="27"/>
  <c r="W90" i="27"/>
  <c r="W91" i="27"/>
  <c r="W92" i="27"/>
  <c r="W93" i="27"/>
  <c r="W94" i="27"/>
  <c r="W95" i="27"/>
  <c r="W96" i="27"/>
  <c r="W97" i="27"/>
  <c r="W98" i="27"/>
  <c r="W99" i="27"/>
  <c r="W100" i="27"/>
  <c r="W101" i="27"/>
  <c r="W102" i="27"/>
  <c r="W103" i="27"/>
  <c r="W104" i="27"/>
  <c r="W105" i="27"/>
  <c r="W106" i="27"/>
  <c r="W107" i="27"/>
  <c r="W108" i="27"/>
  <c r="W109" i="27"/>
  <c r="W110" i="27"/>
  <c r="W111" i="27"/>
  <c r="W112" i="27"/>
  <c r="W113" i="27"/>
  <c r="W114" i="27"/>
  <c r="W115" i="27"/>
  <c r="W116" i="27"/>
  <c r="W117" i="27"/>
  <c r="W118" i="27"/>
  <c r="W119" i="27"/>
  <c r="W120" i="27"/>
  <c r="W121" i="27"/>
  <c r="W122" i="27"/>
  <c r="W123" i="27"/>
  <c r="W124" i="27"/>
  <c r="W125" i="27"/>
  <c r="W126" i="27"/>
  <c r="W127" i="27"/>
  <c r="W128" i="27"/>
  <c r="W129" i="27"/>
  <c r="W130" i="27"/>
  <c r="W131" i="27"/>
  <c r="W132" i="27"/>
  <c r="W133" i="27"/>
  <c r="W134" i="27"/>
  <c r="W135" i="27"/>
  <c r="W136" i="27"/>
  <c r="W137" i="27"/>
  <c r="W138" i="27"/>
  <c r="W139" i="27"/>
  <c r="W140" i="27"/>
  <c r="W141" i="27"/>
  <c r="W142" i="27"/>
  <c r="W143" i="27"/>
  <c r="W144" i="27"/>
  <c r="W145" i="27"/>
  <c r="W146" i="27"/>
  <c r="W147" i="27"/>
  <c r="W148" i="27"/>
  <c r="W149" i="27"/>
  <c r="W150" i="27"/>
  <c r="W151" i="27"/>
  <c r="W152" i="27"/>
  <c r="W153" i="27"/>
  <c r="W154" i="27"/>
  <c r="W155" i="27"/>
  <c r="W156" i="27"/>
  <c r="W157" i="27"/>
  <c r="W158" i="27"/>
  <c r="W159" i="27"/>
  <c r="W160" i="27"/>
  <c r="W161" i="27"/>
  <c r="W162" i="27"/>
  <c r="W163" i="27"/>
  <c r="W164" i="27"/>
  <c r="W165" i="27"/>
  <c r="W166" i="27"/>
  <c r="W167" i="27"/>
  <c r="W168" i="27"/>
  <c r="W169" i="27"/>
  <c r="W170" i="27"/>
  <c r="W171" i="27"/>
  <c r="W172" i="27"/>
  <c r="W173" i="27"/>
  <c r="W174" i="27"/>
  <c r="W175" i="27"/>
  <c r="W176" i="27"/>
  <c r="W177" i="27"/>
  <c r="W178" i="27"/>
  <c r="W179" i="27"/>
  <c r="W180" i="27"/>
  <c r="W181" i="27"/>
  <c r="W182" i="27"/>
  <c r="W183" i="27"/>
  <c r="W184" i="27"/>
  <c r="W185" i="27"/>
  <c r="W186" i="27"/>
  <c r="W187" i="27"/>
  <c r="W188" i="27"/>
  <c r="W189" i="27"/>
  <c r="W190" i="27"/>
  <c r="W191" i="27"/>
  <c r="W192" i="27"/>
  <c r="W193" i="27"/>
  <c r="W194" i="27"/>
  <c r="W195" i="27"/>
  <c r="W196" i="27"/>
  <c r="W197" i="27"/>
  <c r="W198" i="27"/>
  <c r="W199" i="27"/>
  <c r="W200" i="27"/>
  <c r="W201" i="27"/>
  <c r="W202" i="27"/>
  <c r="W203" i="27"/>
  <c r="W204" i="27"/>
  <c r="W205" i="27"/>
  <c r="W206" i="27"/>
  <c r="W207" i="27"/>
  <c r="W208" i="27"/>
  <c r="W209" i="27"/>
  <c r="W210" i="27"/>
  <c r="W211" i="27"/>
  <c r="W212" i="27"/>
  <c r="W213" i="27"/>
  <c r="W214" i="27"/>
  <c r="W215" i="27"/>
  <c r="W216" i="27"/>
  <c r="W217" i="27"/>
  <c r="W218" i="27"/>
  <c r="W219" i="27"/>
  <c r="W220" i="27"/>
  <c r="W221" i="27"/>
  <c r="W222" i="27"/>
  <c r="W223" i="27"/>
  <c r="W224" i="27"/>
  <c r="W225" i="27"/>
  <c r="W226" i="27"/>
  <c r="W227" i="27"/>
  <c r="W228" i="27"/>
  <c r="W229" i="27"/>
  <c r="W230" i="27"/>
  <c r="W231" i="27"/>
  <c r="W232" i="27"/>
  <c r="W233" i="27"/>
  <c r="W234" i="27"/>
  <c r="W235" i="27"/>
  <c r="W236" i="27"/>
  <c r="W237" i="27"/>
  <c r="W238" i="27"/>
  <c r="W239" i="27"/>
  <c r="W240" i="27"/>
  <c r="W241" i="27"/>
  <c r="W242" i="27"/>
  <c r="W243" i="27"/>
  <c r="W244" i="27"/>
  <c r="W245" i="27"/>
  <c r="W246" i="27"/>
  <c r="W247" i="27"/>
  <c r="W248" i="27"/>
  <c r="W249" i="27"/>
  <c r="W250" i="27"/>
  <c r="W251" i="27"/>
  <c r="W252" i="27"/>
  <c r="W253" i="27"/>
  <c r="W254" i="27"/>
  <c r="W255" i="27"/>
  <c r="W256" i="27"/>
  <c r="W257" i="27"/>
  <c r="W258" i="27"/>
  <c r="W259" i="27"/>
  <c r="W260" i="27"/>
  <c r="W261" i="27"/>
  <c r="W262" i="27"/>
  <c r="W263" i="27"/>
  <c r="W264" i="27"/>
  <c r="W265" i="27"/>
  <c r="W266" i="27"/>
  <c r="W267" i="27"/>
  <c r="W268" i="27"/>
  <c r="W269" i="27"/>
  <c r="W270" i="27"/>
  <c r="W271" i="27"/>
  <c r="W272" i="27"/>
  <c r="W273" i="27"/>
  <c r="W274" i="27"/>
  <c r="W275" i="27"/>
  <c r="W276" i="27"/>
  <c r="W277" i="27"/>
  <c r="W278" i="27"/>
  <c r="W279" i="27"/>
  <c r="W280" i="27"/>
  <c r="W281" i="27"/>
  <c r="W282" i="27"/>
  <c r="W283" i="27"/>
  <c r="W284" i="27"/>
  <c r="W285" i="27"/>
  <c r="W286" i="27"/>
  <c r="W287" i="27"/>
  <c r="W288" i="27"/>
  <c r="W289" i="27"/>
  <c r="W290" i="27"/>
  <c r="W291" i="27"/>
  <c r="W292" i="27"/>
  <c r="W293" i="27"/>
  <c r="W294" i="27"/>
  <c r="W295" i="27"/>
  <c r="W296" i="27"/>
  <c r="W297" i="27"/>
  <c r="W298" i="27"/>
  <c r="W299" i="27"/>
  <c r="W300" i="27"/>
  <c r="W301" i="27"/>
  <c r="W302" i="27"/>
  <c r="W303" i="27"/>
  <c r="W304" i="27"/>
  <c r="W305" i="27"/>
  <c r="W306" i="27"/>
  <c r="W307" i="27"/>
  <c r="W308" i="27"/>
  <c r="W309" i="27"/>
  <c r="W310" i="27"/>
  <c r="W311" i="27"/>
  <c r="W312" i="27"/>
  <c r="W313" i="27"/>
  <c r="W314" i="27"/>
  <c r="W315" i="27"/>
  <c r="W316" i="27"/>
  <c r="W317" i="27"/>
  <c r="W318" i="27"/>
  <c r="W319" i="27"/>
  <c r="W320" i="27"/>
  <c r="W321" i="27"/>
  <c r="W322" i="27"/>
  <c r="W323" i="27"/>
  <c r="W324" i="27"/>
  <c r="W325" i="27"/>
  <c r="W326" i="27"/>
  <c r="W327" i="27"/>
  <c r="W328" i="27"/>
  <c r="W329" i="27"/>
  <c r="W330" i="27"/>
  <c r="W331" i="27"/>
  <c r="W332" i="27"/>
  <c r="W333" i="27"/>
  <c r="W334" i="27"/>
  <c r="W335" i="27"/>
  <c r="W336" i="27"/>
  <c r="W337" i="27"/>
  <c r="W338" i="27"/>
  <c r="W339" i="27"/>
  <c r="W340" i="27"/>
  <c r="W341" i="27"/>
  <c r="W342" i="27"/>
  <c r="W343" i="27"/>
  <c r="W344" i="27"/>
  <c r="W345" i="27"/>
  <c r="W346" i="27"/>
  <c r="W347" i="27"/>
  <c r="W348" i="27"/>
  <c r="W349" i="27"/>
  <c r="W350" i="27"/>
  <c r="W351" i="27"/>
  <c r="W352" i="27"/>
  <c r="W353" i="27"/>
  <c r="W354" i="27"/>
  <c r="W355" i="27"/>
  <c r="W356" i="27"/>
  <c r="W357" i="27"/>
  <c r="W358" i="27"/>
  <c r="W359" i="27"/>
  <c r="W360" i="27"/>
  <c r="W361" i="27"/>
  <c r="W362" i="27"/>
  <c r="W363" i="27"/>
  <c r="W364" i="27"/>
  <c r="W365" i="27"/>
  <c r="W366" i="27"/>
  <c r="W367" i="27"/>
  <c r="W368" i="27"/>
  <c r="W369" i="27"/>
  <c r="W370" i="27"/>
  <c r="W371" i="27"/>
  <c r="W372" i="27"/>
  <c r="W373" i="27"/>
  <c r="W374" i="27"/>
  <c r="W375" i="27"/>
  <c r="W376" i="27"/>
  <c r="W377" i="27"/>
  <c r="W378" i="27"/>
  <c r="W379" i="27"/>
  <c r="W380" i="27"/>
  <c r="W381" i="27"/>
  <c r="W382" i="27"/>
  <c r="W383" i="27"/>
  <c r="W384" i="27"/>
  <c r="W385" i="27"/>
  <c r="W386" i="27"/>
  <c r="W387" i="27"/>
  <c r="W388" i="27"/>
  <c r="W389" i="27"/>
  <c r="W390" i="27"/>
  <c r="W391" i="27"/>
  <c r="W392" i="27"/>
  <c r="W393" i="27"/>
  <c r="W394" i="27"/>
  <c r="W395" i="27"/>
  <c r="W396" i="27"/>
  <c r="W397" i="27"/>
  <c r="W398" i="27"/>
  <c r="W399" i="27"/>
  <c r="W400" i="27"/>
  <c r="W401" i="27"/>
  <c r="W402" i="27"/>
  <c r="W403" i="27"/>
  <c r="W404" i="27"/>
  <c r="W405" i="27"/>
  <c r="W406" i="27"/>
  <c r="W407" i="27"/>
  <c r="W408" i="27"/>
  <c r="W409" i="27"/>
  <c r="W410" i="27"/>
  <c r="W411" i="27"/>
  <c r="W412" i="27"/>
  <c r="W413" i="27"/>
  <c r="W414" i="27"/>
  <c r="W415" i="27"/>
  <c r="W416" i="27"/>
  <c r="W417" i="27"/>
  <c r="W418" i="27"/>
  <c r="W419" i="27"/>
  <c r="W420" i="27"/>
  <c r="W421" i="27"/>
  <c r="W422" i="27"/>
  <c r="W423" i="27"/>
  <c r="W424" i="27"/>
  <c r="W425" i="27"/>
  <c r="W426" i="27"/>
  <c r="W427" i="27"/>
  <c r="W428" i="27"/>
  <c r="W429" i="27"/>
  <c r="W430" i="27"/>
  <c r="W431" i="27"/>
  <c r="W432" i="27"/>
  <c r="W433" i="27"/>
  <c r="W434" i="27"/>
  <c r="W435" i="27"/>
  <c r="W436" i="27"/>
  <c r="W437" i="27"/>
  <c r="W438" i="27"/>
  <c r="W439" i="27"/>
  <c r="W440" i="27"/>
  <c r="W441" i="27"/>
  <c r="W442" i="27"/>
  <c r="W443" i="27"/>
  <c r="W444" i="27"/>
  <c r="W445" i="27"/>
  <c r="W446" i="27"/>
  <c r="W447" i="27"/>
  <c r="W448" i="27"/>
  <c r="W449" i="27"/>
  <c r="W450" i="27"/>
  <c r="W451" i="27"/>
  <c r="W452" i="27"/>
  <c r="W453" i="27"/>
  <c r="W454" i="27"/>
  <c r="W455" i="27"/>
  <c r="W456" i="27"/>
  <c r="W457" i="27"/>
  <c r="W458" i="27"/>
  <c r="W459" i="27"/>
  <c r="W460" i="27"/>
  <c r="W461" i="27"/>
  <c r="W462" i="27"/>
  <c r="W463" i="27"/>
  <c r="W464" i="27"/>
  <c r="W465" i="27"/>
  <c r="W466" i="27"/>
  <c r="W467" i="27"/>
  <c r="W468" i="27"/>
  <c r="W469" i="27"/>
  <c r="W470" i="27"/>
  <c r="W471" i="27"/>
  <c r="W472" i="27"/>
  <c r="W473" i="27"/>
  <c r="W474" i="27"/>
  <c r="W475" i="27"/>
  <c r="W476" i="27"/>
  <c r="W477" i="27"/>
  <c r="W478" i="27"/>
  <c r="W479" i="27"/>
  <c r="W480" i="27"/>
  <c r="W481" i="27"/>
  <c r="W482" i="27"/>
  <c r="W483" i="27"/>
  <c r="W484" i="27"/>
  <c r="W485" i="27"/>
  <c r="W486" i="27"/>
  <c r="W487" i="27"/>
  <c r="W488" i="27"/>
  <c r="W489" i="27"/>
  <c r="W490" i="27"/>
  <c r="W491" i="27"/>
  <c r="W492" i="27"/>
  <c r="W493" i="27"/>
  <c r="W494" i="27"/>
  <c r="W495" i="27"/>
  <c r="W496" i="27"/>
  <c r="W497" i="27"/>
  <c r="W498" i="27"/>
  <c r="W499" i="27"/>
  <c r="W500" i="27"/>
  <c r="W501" i="27"/>
  <c r="W2" i="27"/>
  <c r="U3" i="27"/>
  <c r="U4" i="27"/>
  <c r="U5" i="27"/>
  <c r="U6" i="27"/>
  <c r="U7" i="27"/>
  <c r="U8" i="27"/>
  <c r="U9" i="27"/>
  <c r="U10" i="27"/>
  <c r="U11" i="27"/>
  <c r="U12" i="27"/>
  <c r="U13" i="27"/>
  <c r="U14" i="27"/>
  <c r="U15" i="27"/>
  <c r="U16" i="27"/>
  <c r="U17" i="27"/>
  <c r="U18" i="27"/>
  <c r="U19" i="27"/>
  <c r="U20" i="27"/>
  <c r="U21" i="27"/>
  <c r="U22" i="27"/>
  <c r="U23" i="27"/>
  <c r="U24" i="27"/>
  <c r="U25" i="27"/>
  <c r="U26" i="27"/>
  <c r="U27" i="27"/>
  <c r="U28" i="27"/>
  <c r="U29" i="27"/>
  <c r="U30" i="27"/>
  <c r="U31" i="27"/>
  <c r="U32" i="27"/>
  <c r="U33" i="27"/>
  <c r="U34" i="27"/>
  <c r="U35" i="27"/>
  <c r="U36" i="27"/>
  <c r="U37" i="27"/>
  <c r="U38" i="27"/>
  <c r="U39" i="27"/>
  <c r="U40" i="27"/>
  <c r="U41" i="27"/>
  <c r="U42" i="27"/>
  <c r="U43" i="27"/>
  <c r="U44" i="27"/>
  <c r="U45" i="27"/>
  <c r="U46" i="27"/>
  <c r="U47" i="27"/>
  <c r="U48" i="27"/>
  <c r="U49" i="27"/>
  <c r="U50" i="27"/>
  <c r="U51" i="27"/>
  <c r="U52" i="27"/>
  <c r="U53" i="27"/>
  <c r="U54" i="27"/>
  <c r="U55" i="27"/>
  <c r="U56" i="27"/>
  <c r="U57" i="27"/>
  <c r="U58" i="27"/>
  <c r="U59" i="27"/>
  <c r="U60" i="27"/>
  <c r="U61" i="27"/>
  <c r="U62" i="27"/>
  <c r="U63" i="27"/>
  <c r="U64" i="27"/>
  <c r="U65" i="27"/>
  <c r="U66" i="27"/>
  <c r="U67" i="27"/>
  <c r="U68" i="27"/>
  <c r="U69" i="27"/>
  <c r="U70" i="27"/>
  <c r="U71" i="27"/>
  <c r="U72" i="27"/>
  <c r="U73" i="27"/>
  <c r="U74" i="27"/>
  <c r="U75" i="27"/>
  <c r="U76" i="27"/>
  <c r="U77" i="27"/>
  <c r="U78" i="27"/>
  <c r="U79" i="27"/>
  <c r="U80" i="27"/>
  <c r="U81" i="27"/>
  <c r="U82" i="27"/>
  <c r="U83" i="27"/>
  <c r="U84" i="27"/>
  <c r="U85" i="27"/>
  <c r="U86" i="27"/>
  <c r="U87" i="27"/>
  <c r="U88" i="27"/>
  <c r="U89" i="27"/>
  <c r="U90" i="27"/>
  <c r="U91" i="27"/>
  <c r="U92" i="27"/>
  <c r="U93" i="27"/>
  <c r="U94" i="27"/>
  <c r="U95" i="27"/>
  <c r="U96" i="27"/>
  <c r="U97" i="27"/>
  <c r="U98" i="27"/>
  <c r="U99" i="27"/>
  <c r="U100" i="27"/>
  <c r="U101" i="27"/>
  <c r="U102" i="27"/>
  <c r="U103" i="27"/>
  <c r="U104" i="27"/>
  <c r="U105" i="27"/>
  <c r="U106" i="27"/>
  <c r="U107" i="27"/>
  <c r="U108" i="27"/>
  <c r="U109" i="27"/>
  <c r="U110" i="27"/>
  <c r="U111" i="27"/>
  <c r="U112" i="27"/>
  <c r="U113" i="27"/>
  <c r="U114" i="27"/>
  <c r="U115" i="27"/>
  <c r="U116" i="27"/>
  <c r="U117" i="27"/>
  <c r="U118" i="27"/>
  <c r="U119" i="27"/>
  <c r="U120" i="27"/>
  <c r="U121" i="27"/>
  <c r="U122" i="27"/>
  <c r="U123" i="27"/>
  <c r="U124" i="27"/>
  <c r="U125" i="27"/>
  <c r="U126" i="27"/>
  <c r="U127" i="27"/>
  <c r="U128" i="27"/>
  <c r="U129" i="27"/>
  <c r="U130" i="27"/>
  <c r="U131" i="27"/>
  <c r="U132" i="27"/>
  <c r="U133" i="27"/>
  <c r="U134" i="27"/>
  <c r="U135" i="27"/>
  <c r="U136" i="27"/>
  <c r="U137" i="27"/>
  <c r="U138" i="27"/>
  <c r="U139" i="27"/>
  <c r="U140" i="27"/>
  <c r="U141" i="27"/>
  <c r="U142" i="27"/>
  <c r="U143" i="27"/>
  <c r="U144" i="27"/>
  <c r="U145" i="27"/>
  <c r="U146" i="27"/>
  <c r="U147" i="27"/>
  <c r="U148" i="27"/>
  <c r="U149" i="27"/>
  <c r="U150" i="27"/>
  <c r="U151" i="27"/>
  <c r="U152" i="27"/>
  <c r="U153" i="27"/>
  <c r="U154" i="27"/>
  <c r="U155" i="27"/>
  <c r="U156" i="27"/>
  <c r="U157" i="27"/>
  <c r="U158" i="27"/>
  <c r="U159" i="27"/>
  <c r="U160" i="27"/>
  <c r="U161" i="27"/>
  <c r="U162" i="27"/>
  <c r="U163" i="27"/>
  <c r="U164" i="27"/>
  <c r="U165" i="27"/>
  <c r="U166" i="27"/>
  <c r="U167" i="27"/>
  <c r="U168" i="27"/>
  <c r="U169" i="27"/>
  <c r="U170" i="27"/>
  <c r="U171" i="27"/>
  <c r="U172" i="27"/>
  <c r="U173" i="27"/>
  <c r="U174" i="27"/>
  <c r="U175" i="27"/>
  <c r="U176" i="27"/>
  <c r="U177" i="27"/>
  <c r="U178" i="27"/>
  <c r="U179" i="27"/>
  <c r="U180" i="27"/>
  <c r="U181" i="27"/>
  <c r="U182" i="27"/>
  <c r="U183" i="27"/>
  <c r="U184" i="27"/>
  <c r="U185" i="27"/>
  <c r="U186" i="27"/>
  <c r="U187" i="27"/>
  <c r="U188" i="27"/>
  <c r="U189" i="27"/>
  <c r="U190" i="27"/>
  <c r="U191" i="27"/>
  <c r="U192" i="27"/>
  <c r="U193" i="27"/>
  <c r="U194" i="27"/>
  <c r="U195" i="27"/>
  <c r="U196" i="27"/>
  <c r="U197" i="27"/>
  <c r="U198" i="27"/>
  <c r="U199" i="27"/>
  <c r="U200" i="27"/>
  <c r="U201" i="27"/>
  <c r="U202" i="27"/>
  <c r="U203" i="27"/>
  <c r="U204" i="27"/>
  <c r="U205" i="27"/>
  <c r="U206" i="27"/>
  <c r="U207" i="27"/>
  <c r="U208" i="27"/>
  <c r="U209" i="27"/>
  <c r="U210" i="27"/>
  <c r="U211" i="27"/>
  <c r="U212" i="27"/>
  <c r="U213" i="27"/>
  <c r="U214" i="27"/>
  <c r="U215" i="27"/>
  <c r="U216" i="27"/>
  <c r="U217" i="27"/>
  <c r="U218" i="27"/>
  <c r="U219" i="27"/>
  <c r="U220" i="27"/>
  <c r="U221" i="27"/>
  <c r="U222" i="27"/>
  <c r="U223" i="27"/>
  <c r="U224" i="27"/>
  <c r="U225" i="27"/>
  <c r="U226" i="27"/>
  <c r="U227" i="27"/>
  <c r="U228" i="27"/>
  <c r="U229" i="27"/>
  <c r="U230" i="27"/>
  <c r="U231" i="27"/>
  <c r="U232" i="27"/>
  <c r="U233" i="27"/>
  <c r="U234" i="27"/>
  <c r="U235" i="27"/>
  <c r="U236" i="27"/>
  <c r="U237" i="27"/>
  <c r="U238" i="27"/>
  <c r="U239" i="27"/>
  <c r="U240" i="27"/>
  <c r="U241" i="27"/>
  <c r="U242" i="27"/>
  <c r="U243" i="27"/>
  <c r="U244" i="27"/>
  <c r="U245" i="27"/>
  <c r="U246" i="27"/>
  <c r="U247" i="27"/>
  <c r="U248" i="27"/>
  <c r="U249" i="27"/>
  <c r="U250" i="27"/>
  <c r="U251" i="27"/>
  <c r="U252" i="27"/>
  <c r="U253" i="27"/>
  <c r="U254" i="27"/>
  <c r="U255" i="27"/>
  <c r="U256" i="27"/>
  <c r="U257" i="27"/>
  <c r="U258" i="27"/>
  <c r="U259" i="27"/>
  <c r="U260" i="27"/>
  <c r="U261" i="27"/>
  <c r="U262" i="27"/>
  <c r="U263" i="27"/>
  <c r="U264" i="27"/>
  <c r="U265" i="27"/>
  <c r="U266" i="27"/>
  <c r="U267" i="27"/>
  <c r="U268" i="27"/>
  <c r="U269" i="27"/>
  <c r="U270" i="27"/>
  <c r="U271" i="27"/>
  <c r="U272" i="27"/>
  <c r="U273" i="27"/>
  <c r="U274" i="27"/>
  <c r="U275" i="27"/>
  <c r="U276" i="27"/>
  <c r="U277" i="27"/>
  <c r="U278" i="27"/>
  <c r="U279" i="27"/>
  <c r="U280" i="27"/>
  <c r="U281" i="27"/>
  <c r="U282" i="27"/>
  <c r="U283" i="27"/>
  <c r="U284" i="27"/>
  <c r="U285" i="27"/>
  <c r="U286" i="27"/>
  <c r="U287" i="27"/>
  <c r="U288" i="27"/>
  <c r="U289" i="27"/>
  <c r="U290" i="27"/>
  <c r="U291" i="27"/>
  <c r="U292" i="27"/>
  <c r="U293" i="27"/>
  <c r="U294" i="27"/>
  <c r="U295" i="27"/>
  <c r="U296" i="27"/>
  <c r="U297" i="27"/>
  <c r="U298" i="27"/>
  <c r="U299" i="27"/>
  <c r="U300" i="27"/>
  <c r="U301" i="27"/>
  <c r="U302" i="27"/>
  <c r="U303" i="27"/>
  <c r="U304" i="27"/>
  <c r="U305" i="27"/>
  <c r="U306" i="27"/>
  <c r="U307" i="27"/>
  <c r="U308" i="27"/>
  <c r="U309" i="27"/>
  <c r="U310" i="27"/>
  <c r="U311" i="27"/>
  <c r="U312" i="27"/>
  <c r="U313" i="27"/>
  <c r="U314" i="27"/>
  <c r="U315" i="27"/>
  <c r="U316" i="27"/>
  <c r="U317" i="27"/>
  <c r="U318" i="27"/>
  <c r="U319" i="27"/>
  <c r="U320" i="27"/>
  <c r="U321" i="27"/>
  <c r="U322" i="27"/>
  <c r="U323" i="27"/>
  <c r="U324" i="27"/>
  <c r="U325" i="27"/>
  <c r="U326" i="27"/>
  <c r="U327" i="27"/>
  <c r="U328" i="27"/>
  <c r="U329" i="27"/>
  <c r="U330" i="27"/>
  <c r="U331" i="27"/>
  <c r="U332" i="27"/>
  <c r="U333" i="27"/>
  <c r="U334" i="27"/>
  <c r="U335" i="27"/>
  <c r="U336" i="27"/>
  <c r="U337" i="27"/>
  <c r="U338" i="27"/>
  <c r="U339" i="27"/>
  <c r="U340" i="27"/>
  <c r="U341" i="27"/>
  <c r="U342" i="27"/>
  <c r="U343" i="27"/>
  <c r="U344" i="27"/>
  <c r="U345" i="27"/>
  <c r="U346" i="27"/>
  <c r="U347" i="27"/>
  <c r="U348" i="27"/>
  <c r="U349" i="27"/>
  <c r="U350" i="27"/>
  <c r="U351" i="27"/>
  <c r="U352" i="27"/>
  <c r="U353" i="27"/>
  <c r="U354" i="27"/>
  <c r="U355" i="27"/>
  <c r="U356" i="27"/>
  <c r="U357" i="27"/>
  <c r="U358" i="27"/>
  <c r="U359" i="27"/>
  <c r="U360" i="27"/>
  <c r="U361" i="27"/>
  <c r="U362" i="27"/>
  <c r="U363" i="27"/>
  <c r="U364" i="27"/>
  <c r="U365" i="27"/>
  <c r="U366" i="27"/>
  <c r="U367" i="27"/>
  <c r="U368" i="27"/>
  <c r="U369" i="27"/>
  <c r="U370" i="27"/>
  <c r="U371" i="27"/>
  <c r="U372" i="27"/>
  <c r="U373" i="27"/>
  <c r="U374" i="27"/>
  <c r="U375" i="27"/>
  <c r="U376" i="27"/>
  <c r="U377" i="27"/>
  <c r="U378" i="27"/>
  <c r="U379" i="27"/>
  <c r="U380" i="27"/>
  <c r="U381" i="27"/>
  <c r="U382" i="27"/>
  <c r="U383" i="27"/>
  <c r="U384" i="27"/>
  <c r="U385" i="27"/>
  <c r="U386" i="27"/>
  <c r="U387" i="27"/>
  <c r="U388" i="27"/>
  <c r="U389" i="27"/>
  <c r="U390" i="27"/>
  <c r="U391" i="27"/>
  <c r="U392" i="27"/>
  <c r="U393" i="27"/>
  <c r="U394" i="27"/>
  <c r="U395" i="27"/>
  <c r="U396" i="27"/>
  <c r="U397" i="27"/>
  <c r="U398" i="27"/>
  <c r="U399" i="27"/>
  <c r="U400" i="27"/>
  <c r="U401" i="27"/>
  <c r="U402" i="27"/>
  <c r="U403" i="27"/>
  <c r="U404" i="27"/>
  <c r="U405" i="27"/>
  <c r="U406" i="27"/>
  <c r="U407" i="27"/>
  <c r="U408" i="27"/>
  <c r="U409" i="27"/>
  <c r="U410" i="27"/>
  <c r="U411" i="27"/>
  <c r="U412" i="27"/>
  <c r="U413" i="27"/>
  <c r="U414" i="27"/>
  <c r="U415" i="27"/>
  <c r="U416" i="27"/>
  <c r="U417" i="27"/>
  <c r="U418" i="27"/>
  <c r="U419" i="27"/>
  <c r="U420" i="27"/>
  <c r="U421" i="27"/>
  <c r="U422" i="27"/>
  <c r="U423" i="27"/>
  <c r="U424" i="27"/>
  <c r="U425" i="27"/>
  <c r="U426" i="27"/>
  <c r="U427" i="27"/>
  <c r="U428" i="27"/>
  <c r="U429" i="27"/>
  <c r="U430" i="27"/>
  <c r="U431" i="27"/>
  <c r="U432" i="27"/>
  <c r="U433" i="27"/>
  <c r="U434" i="27"/>
  <c r="U435" i="27"/>
  <c r="U436" i="27"/>
  <c r="U437" i="27"/>
  <c r="U438" i="27"/>
  <c r="U439" i="27"/>
  <c r="U440" i="27"/>
  <c r="U441" i="27"/>
  <c r="U442" i="27"/>
  <c r="U443" i="27"/>
  <c r="U444" i="27"/>
  <c r="U445" i="27"/>
  <c r="U446" i="27"/>
  <c r="U447" i="27"/>
  <c r="U448" i="27"/>
  <c r="U449" i="27"/>
  <c r="U450" i="27"/>
  <c r="U451" i="27"/>
  <c r="U452" i="27"/>
  <c r="U453" i="27"/>
  <c r="U454" i="27"/>
  <c r="U455" i="27"/>
  <c r="U456" i="27"/>
  <c r="U457" i="27"/>
  <c r="U458" i="27"/>
  <c r="U459" i="27"/>
  <c r="U460" i="27"/>
  <c r="U461" i="27"/>
  <c r="U462" i="27"/>
  <c r="U463" i="27"/>
  <c r="U464" i="27"/>
  <c r="U465" i="27"/>
  <c r="U466" i="27"/>
  <c r="U467" i="27"/>
  <c r="U468" i="27"/>
  <c r="U469" i="27"/>
  <c r="U470" i="27"/>
  <c r="U471" i="27"/>
  <c r="U472" i="27"/>
  <c r="U473" i="27"/>
  <c r="U474" i="27"/>
  <c r="U475" i="27"/>
  <c r="U476" i="27"/>
  <c r="U477" i="27"/>
  <c r="U478" i="27"/>
  <c r="U479" i="27"/>
  <c r="U480" i="27"/>
  <c r="U481" i="27"/>
  <c r="U482" i="27"/>
  <c r="U483" i="27"/>
  <c r="U484" i="27"/>
  <c r="U485" i="27"/>
  <c r="U486" i="27"/>
  <c r="U487" i="27"/>
  <c r="U488" i="27"/>
  <c r="U489" i="27"/>
  <c r="U490" i="27"/>
  <c r="U491" i="27"/>
  <c r="U492" i="27"/>
  <c r="U493" i="27"/>
  <c r="U494" i="27"/>
  <c r="U495" i="27"/>
  <c r="U496" i="27"/>
  <c r="U497" i="27"/>
  <c r="U498" i="27"/>
  <c r="U499" i="27"/>
  <c r="U500" i="27"/>
  <c r="U501" i="27"/>
  <c r="U2" i="27"/>
  <c r="T3" i="27"/>
  <c r="T4" i="27"/>
  <c r="T5" i="27"/>
  <c r="T6" i="27"/>
  <c r="T7" i="27"/>
  <c r="T8" i="27"/>
  <c r="T9" i="27"/>
  <c r="T10" i="27"/>
  <c r="T11" i="27"/>
  <c r="T12" i="27"/>
  <c r="T13" i="27"/>
  <c r="T14" i="27"/>
  <c r="T15" i="27"/>
  <c r="T16" i="27"/>
  <c r="T17" i="27"/>
  <c r="T18" i="27"/>
  <c r="T19" i="27"/>
  <c r="T20" i="27"/>
  <c r="T21" i="27"/>
  <c r="T22" i="27"/>
  <c r="T23" i="27"/>
  <c r="T24" i="27"/>
  <c r="T25" i="27"/>
  <c r="T26" i="27"/>
  <c r="T27" i="27"/>
  <c r="T28" i="27"/>
  <c r="T29" i="27"/>
  <c r="T30" i="27"/>
  <c r="T31" i="27"/>
  <c r="T32" i="27"/>
  <c r="T33" i="27"/>
  <c r="T34" i="27"/>
  <c r="T35" i="27"/>
  <c r="T36" i="27"/>
  <c r="T37" i="27"/>
  <c r="T38" i="27"/>
  <c r="T39" i="27"/>
  <c r="T40" i="27"/>
  <c r="T41" i="27"/>
  <c r="T42" i="27"/>
  <c r="T43" i="27"/>
  <c r="T44" i="27"/>
  <c r="T45" i="27"/>
  <c r="T46" i="27"/>
  <c r="T47" i="27"/>
  <c r="T48" i="27"/>
  <c r="T49" i="27"/>
  <c r="T50" i="27"/>
  <c r="T51" i="27"/>
  <c r="T52" i="27"/>
  <c r="T53" i="27"/>
  <c r="T54" i="27"/>
  <c r="T55" i="27"/>
  <c r="T56" i="27"/>
  <c r="T57" i="27"/>
  <c r="T58" i="27"/>
  <c r="T59" i="27"/>
  <c r="T60" i="27"/>
  <c r="T61" i="27"/>
  <c r="T62" i="27"/>
  <c r="T63" i="27"/>
  <c r="T64" i="27"/>
  <c r="T65" i="27"/>
  <c r="T66" i="27"/>
  <c r="T67" i="27"/>
  <c r="T68" i="27"/>
  <c r="T69" i="27"/>
  <c r="T70" i="27"/>
  <c r="T71" i="27"/>
  <c r="T72" i="27"/>
  <c r="T73" i="27"/>
  <c r="T74" i="27"/>
  <c r="T75" i="27"/>
  <c r="T76" i="27"/>
  <c r="T77" i="27"/>
  <c r="T78" i="27"/>
  <c r="T79" i="27"/>
  <c r="T80" i="27"/>
  <c r="T81" i="27"/>
  <c r="T82" i="27"/>
  <c r="T83" i="27"/>
  <c r="T84" i="27"/>
  <c r="T85" i="27"/>
  <c r="T86" i="27"/>
  <c r="T87" i="27"/>
  <c r="T88" i="27"/>
  <c r="T89" i="27"/>
  <c r="T90" i="27"/>
  <c r="T91" i="27"/>
  <c r="T92" i="27"/>
  <c r="T93" i="27"/>
  <c r="T94" i="27"/>
  <c r="T95" i="27"/>
  <c r="T96" i="27"/>
  <c r="T97" i="27"/>
  <c r="T98" i="27"/>
  <c r="T99" i="27"/>
  <c r="T100" i="27"/>
  <c r="T101" i="27"/>
  <c r="T102" i="27"/>
  <c r="T103" i="27"/>
  <c r="T104" i="27"/>
  <c r="T105" i="27"/>
  <c r="T106" i="27"/>
  <c r="T107" i="27"/>
  <c r="T108" i="27"/>
  <c r="T109" i="27"/>
  <c r="T110" i="27"/>
  <c r="T111" i="27"/>
  <c r="T112" i="27"/>
  <c r="T113" i="27"/>
  <c r="T114" i="27"/>
  <c r="T115" i="27"/>
  <c r="T116" i="27"/>
  <c r="T117" i="27"/>
  <c r="T118" i="27"/>
  <c r="T119" i="27"/>
  <c r="T120" i="27"/>
  <c r="T121" i="27"/>
  <c r="T122" i="27"/>
  <c r="T123" i="27"/>
  <c r="T124" i="27"/>
  <c r="T125" i="27"/>
  <c r="T126" i="27"/>
  <c r="T127" i="27"/>
  <c r="T128" i="27"/>
  <c r="T129" i="27"/>
  <c r="T130" i="27"/>
  <c r="T131" i="27"/>
  <c r="T132" i="27"/>
  <c r="T133" i="27"/>
  <c r="T134" i="27"/>
  <c r="T135" i="27"/>
  <c r="T136" i="27"/>
  <c r="T137" i="27"/>
  <c r="T138" i="27"/>
  <c r="T139" i="27"/>
  <c r="T140" i="27"/>
  <c r="T141" i="27"/>
  <c r="T142" i="27"/>
  <c r="T143" i="27"/>
  <c r="T144" i="27"/>
  <c r="T145" i="27"/>
  <c r="T146" i="27"/>
  <c r="T147" i="27"/>
  <c r="T148" i="27"/>
  <c r="T149" i="27"/>
  <c r="T150" i="27"/>
  <c r="T151" i="27"/>
  <c r="T152" i="27"/>
  <c r="T153" i="27"/>
  <c r="T154" i="27"/>
  <c r="T155" i="27"/>
  <c r="T156" i="27"/>
  <c r="T157" i="27"/>
  <c r="T158" i="27"/>
  <c r="T159" i="27"/>
  <c r="T160" i="27"/>
  <c r="T161" i="27"/>
  <c r="T162" i="27"/>
  <c r="T163" i="27"/>
  <c r="T164" i="27"/>
  <c r="T165" i="27"/>
  <c r="T166" i="27"/>
  <c r="T167" i="27"/>
  <c r="T168" i="27"/>
  <c r="T169" i="27"/>
  <c r="T170" i="27"/>
  <c r="T171" i="27"/>
  <c r="T172" i="27"/>
  <c r="T173" i="27"/>
  <c r="T174" i="27"/>
  <c r="T175" i="27"/>
  <c r="T176" i="27"/>
  <c r="T177" i="27"/>
  <c r="T178" i="27"/>
  <c r="T179" i="27"/>
  <c r="T180" i="27"/>
  <c r="T181" i="27"/>
  <c r="T182" i="27"/>
  <c r="T183" i="27"/>
  <c r="T184" i="27"/>
  <c r="T185" i="27"/>
  <c r="T186" i="27"/>
  <c r="T187" i="27"/>
  <c r="T188" i="27"/>
  <c r="T189" i="27"/>
  <c r="T190" i="27"/>
  <c r="T191" i="27"/>
  <c r="T192" i="27"/>
  <c r="T193" i="27"/>
  <c r="T194" i="27"/>
  <c r="T195" i="27"/>
  <c r="T196" i="27"/>
  <c r="T197" i="27"/>
  <c r="T198" i="27"/>
  <c r="T199" i="27"/>
  <c r="T200" i="27"/>
  <c r="T201" i="27"/>
  <c r="T202" i="27"/>
  <c r="T203" i="27"/>
  <c r="T204" i="27"/>
  <c r="T205" i="27"/>
  <c r="T206" i="27"/>
  <c r="T207" i="27"/>
  <c r="T208" i="27"/>
  <c r="T209" i="27"/>
  <c r="T210" i="27"/>
  <c r="T211" i="27"/>
  <c r="T212" i="27"/>
  <c r="T213" i="27"/>
  <c r="T214" i="27"/>
  <c r="T215" i="27"/>
  <c r="T216" i="27"/>
  <c r="T217" i="27"/>
  <c r="T218" i="27"/>
  <c r="T219" i="27"/>
  <c r="T220" i="27"/>
  <c r="T221" i="27"/>
  <c r="T222" i="27"/>
  <c r="T223" i="27"/>
  <c r="T224" i="27"/>
  <c r="T225" i="27"/>
  <c r="T226" i="27"/>
  <c r="T227" i="27"/>
  <c r="T228" i="27"/>
  <c r="T229" i="27"/>
  <c r="T230" i="27"/>
  <c r="T231" i="27"/>
  <c r="T232" i="27"/>
  <c r="T233" i="27"/>
  <c r="T234" i="27"/>
  <c r="T235" i="27"/>
  <c r="T236" i="27"/>
  <c r="T237" i="27"/>
  <c r="T238" i="27"/>
  <c r="T239" i="27"/>
  <c r="T240" i="27"/>
  <c r="T241" i="27"/>
  <c r="T242" i="27"/>
  <c r="T243" i="27"/>
  <c r="T244" i="27"/>
  <c r="T245" i="27"/>
  <c r="T246" i="27"/>
  <c r="T247" i="27"/>
  <c r="T248" i="27"/>
  <c r="T249" i="27"/>
  <c r="T250" i="27"/>
  <c r="T251" i="27"/>
  <c r="T252" i="27"/>
  <c r="T253" i="27"/>
  <c r="T254" i="27"/>
  <c r="T255" i="27"/>
  <c r="T256" i="27"/>
  <c r="T257" i="27"/>
  <c r="T258" i="27"/>
  <c r="T259" i="27"/>
  <c r="T260" i="27"/>
  <c r="T261" i="27"/>
  <c r="T262" i="27"/>
  <c r="T263" i="27"/>
  <c r="T264" i="27"/>
  <c r="T265" i="27"/>
  <c r="T266" i="27"/>
  <c r="T267" i="27"/>
  <c r="T268" i="27"/>
  <c r="T269" i="27"/>
  <c r="T270" i="27"/>
  <c r="T271" i="27"/>
  <c r="T272" i="27"/>
  <c r="T273" i="27"/>
  <c r="T274" i="27"/>
  <c r="T275" i="27"/>
  <c r="T276" i="27"/>
  <c r="T277" i="27"/>
  <c r="T278" i="27"/>
  <c r="T279" i="27"/>
  <c r="T280" i="27"/>
  <c r="T281" i="27"/>
  <c r="T282" i="27"/>
  <c r="T283" i="27"/>
  <c r="T284" i="27"/>
  <c r="T285" i="27"/>
  <c r="T286" i="27"/>
  <c r="T287" i="27"/>
  <c r="T288" i="27"/>
  <c r="T289" i="27"/>
  <c r="T290" i="27"/>
  <c r="T291" i="27"/>
  <c r="T292" i="27"/>
  <c r="T293" i="27"/>
  <c r="T294" i="27"/>
  <c r="T295" i="27"/>
  <c r="T296" i="27"/>
  <c r="T297" i="27"/>
  <c r="T298" i="27"/>
  <c r="T299" i="27"/>
  <c r="T300" i="27"/>
  <c r="T301" i="27"/>
  <c r="T302" i="27"/>
  <c r="T303" i="27"/>
  <c r="T304" i="27"/>
  <c r="T305" i="27"/>
  <c r="T306" i="27"/>
  <c r="T307" i="27"/>
  <c r="T308" i="27"/>
  <c r="T309" i="27"/>
  <c r="T310" i="27"/>
  <c r="T311" i="27"/>
  <c r="T312" i="27"/>
  <c r="T313" i="27"/>
  <c r="T314" i="27"/>
  <c r="T315" i="27"/>
  <c r="T316" i="27"/>
  <c r="T317" i="27"/>
  <c r="T318" i="27"/>
  <c r="T319" i="27"/>
  <c r="T320" i="27"/>
  <c r="T321" i="27"/>
  <c r="T322" i="27"/>
  <c r="T323" i="27"/>
  <c r="T324" i="27"/>
  <c r="T325" i="27"/>
  <c r="T326" i="27"/>
  <c r="T327" i="27"/>
  <c r="T328" i="27"/>
  <c r="T329" i="27"/>
  <c r="T330" i="27"/>
  <c r="T331" i="27"/>
  <c r="T332" i="27"/>
  <c r="T333" i="27"/>
  <c r="T334" i="27"/>
  <c r="T335" i="27"/>
  <c r="T336" i="27"/>
  <c r="T337" i="27"/>
  <c r="T338" i="27"/>
  <c r="T339" i="27"/>
  <c r="T340" i="27"/>
  <c r="T341" i="27"/>
  <c r="T342" i="27"/>
  <c r="T343" i="27"/>
  <c r="T344" i="27"/>
  <c r="T345" i="27"/>
  <c r="T346" i="27"/>
  <c r="T347" i="27"/>
  <c r="T348" i="27"/>
  <c r="T349" i="27"/>
  <c r="T350" i="27"/>
  <c r="T351" i="27"/>
  <c r="T352" i="27"/>
  <c r="T353" i="27"/>
  <c r="T354" i="27"/>
  <c r="T355" i="27"/>
  <c r="T356" i="27"/>
  <c r="T357" i="27"/>
  <c r="T358" i="27"/>
  <c r="T359" i="27"/>
  <c r="T360" i="27"/>
  <c r="T361" i="27"/>
  <c r="T362" i="27"/>
  <c r="T363" i="27"/>
  <c r="T364" i="27"/>
  <c r="T365" i="27"/>
  <c r="T366" i="27"/>
  <c r="T367" i="27"/>
  <c r="T368" i="27"/>
  <c r="T369" i="27"/>
  <c r="T370" i="27"/>
  <c r="T371" i="27"/>
  <c r="T372" i="27"/>
  <c r="T373" i="27"/>
  <c r="T374" i="27"/>
  <c r="T375" i="27"/>
  <c r="T376" i="27"/>
  <c r="T377" i="27"/>
  <c r="T378" i="27"/>
  <c r="T379" i="27"/>
  <c r="T380" i="27"/>
  <c r="T381" i="27"/>
  <c r="T382" i="27"/>
  <c r="T383" i="27"/>
  <c r="T384" i="27"/>
  <c r="T385" i="27"/>
  <c r="T386" i="27"/>
  <c r="T387" i="27"/>
  <c r="T388" i="27"/>
  <c r="T389" i="27"/>
  <c r="T390" i="27"/>
  <c r="T391" i="27"/>
  <c r="T392" i="27"/>
  <c r="T393" i="27"/>
  <c r="T394" i="27"/>
  <c r="T395" i="27"/>
  <c r="T396" i="27"/>
  <c r="T397" i="27"/>
  <c r="T398" i="27"/>
  <c r="T399" i="27"/>
  <c r="T400" i="27"/>
  <c r="T401" i="27"/>
  <c r="T402" i="27"/>
  <c r="T403" i="27"/>
  <c r="T404" i="27"/>
  <c r="T405" i="27"/>
  <c r="T406" i="27"/>
  <c r="T407" i="27"/>
  <c r="T408" i="27"/>
  <c r="T409" i="27"/>
  <c r="T410" i="27"/>
  <c r="T411" i="27"/>
  <c r="T412" i="27"/>
  <c r="T413" i="27"/>
  <c r="T414" i="27"/>
  <c r="T415" i="27"/>
  <c r="T416" i="27"/>
  <c r="T417" i="27"/>
  <c r="T418" i="27"/>
  <c r="T419" i="27"/>
  <c r="T420" i="27"/>
  <c r="T421" i="27"/>
  <c r="T422" i="27"/>
  <c r="T423" i="27"/>
  <c r="T424" i="27"/>
  <c r="T425" i="27"/>
  <c r="T426" i="27"/>
  <c r="T427" i="27"/>
  <c r="T428" i="27"/>
  <c r="T429" i="27"/>
  <c r="T430" i="27"/>
  <c r="T431" i="27"/>
  <c r="T432" i="27"/>
  <c r="T433" i="27"/>
  <c r="T434" i="27"/>
  <c r="T435" i="27"/>
  <c r="T436" i="27"/>
  <c r="T437" i="27"/>
  <c r="T438" i="27"/>
  <c r="T439" i="27"/>
  <c r="T440" i="27"/>
  <c r="T441" i="27"/>
  <c r="T442" i="27"/>
  <c r="T443" i="27"/>
  <c r="T444" i="27"/>
  <c r="T445" i="27"/>
  <c r="T446" i="27"/>
  <c r="T447" i="27"/>
  <c r="T448" i="27"/>
  <c r="T449" i="27"/>
  <c r="T450" i="27"/>
  <c r="T451" i="27"/>
  <c r="T452" i="27"/>
  <c r="T453" i="27"/>
  <c r="T454" i="27"/>
  <c r="T455" i="27"/>
  <c r="T456" i="27"/>
  <c r="T457" i="27"/>
  <c r="T458" i="27"/>
  <c r="T459" i="27"/>
  <c r="T460" i="27"/>
  <c r="T461" i="27"/>
  <c r="T462" i="27"/>
  <c r="T463" i="27"/>
  <c r="T464" i="27"/>
  <c r="T465" i="27"/>
  <c r="T466" i="27"/>
  <c r="T467" i="27"/>
  <c r="T468" i="27"/>
  <c r="T469" i="27"/>
  <c r="T470" i="27"/>
  <c r="T471" i="27"/>
  <c r="T472" i="27"/>
  <c r="T473" i="27"/>
  <c r="T474" i="27"/>
  <c r="T475" i="27"/>
  <c r="T476" i="27"/>
  <c r="T477" i="27"/>
  <c r="T478" i="27"/>
  <c r="T479" i="27"/>
  <c r="T480" i="27"/>
  <c r="T481" i="27"/>
  <c r="T482" i="27"/>
  <c r="T483" i="27"/>
  <c r="T484" i="27"/>
  <c r="T485" i="27"/>
  <c r="T486" i="27"/>
  <c r="T487" i="27"/>
  <c r="T488" i="27"/>
  <c r="T489" i="27"/>
  <c r="T490" i="27"/>
  <c r="T491" i="27"/>
  <c r="T492" i="27"/>
  <c r="T493" i="27"/>
  <c r="T494" i="27"/>
  <c r="T495" i="27"/>
  <c r="T496" i="27"/>
  <c r="T497" i="27"/>
  <c r="T498" i="27"/>
  <c r="T499" i="27"/>
  <c r="T500" i="27"/>
  <c r="T501" i="27"/>
  <c r="T2" i="27"/>
  <c r="S3" i="27"/>
  <c r="S4" i="27"/>
  <c r="S5" i="27"/>
  <c r="S6" i="27"/>
  <c r="S7" i="27"/>
  <c r="S8" i="27"/>
  <c r="S9" i="27"/>
  <c r="S10" i="27"/>
  <c r="S11" i="27"/>
  <c r="S12" i="27"/>
  <c r="S13" i="27"/>
  <c r="S14" i="27"/>
  <c r="S15" i="27"/>
  <c r="S16" i="27"/>
  <c r="S17" i="27"/>
  <c r="S18" i="27"/>
  <c r="S19" i="27"/>
  <c r="S20" i="27"/>
  <c r="S21" i="27"/>
  <c r="S22" i="27"/>
  <c r="S23" i="27"/>
  <c r="S24" i="27"/>
  <c r="S25" i="27"/>
  <c r="S26" i="27"/>
  <c r="S27" i="27"/>
  <c r="S28" i="27"/>
  <c r="S29" i="27"/>
  <c r="S30" i="27"/>
  <c r="S31" i="27"/>
  <c r="S32" i="27"/>
  <c r="S33" i="27"/>
  <c r="S34" i="27"/>
  <c r="S35" i="27"/>
  <c r="S36" i="27"/>
  <c r="S37" i="27"/>
  <c r="S38" i="27"/>
  <c r="S39" i="27"/>
  <c r="S40" i="27"/>
  <c r="S41" i="27"/>
  <c r="S42" i="27"/>
  <c r="S43" i="27"/>
  <c r="S44" i="27"/>
  <c r="S45" i="27"/>
  <c r="S46" i="27"/>
  <c r="S47" i="27"/>
  <c r="S48" i="27"/>
  <c r="S49" i="27"/>
  <c r="S50" i="27"/>
  <c r="S51" i="27"/>
  <c r="S52" i="27"/>
  <c r="S53" i="27"/>
  <c r="S54" i="27"/>
  <c r="S55" i="27"/>
  <c r="S56" i="27"/>
  <c r="S57" i="27"/>
  <c r="S58" i="27"/>
  <c r="S59" i="27"/>
  <c r="S60" i="27"/>
  <c r="S61" i="27"/>
  <c r="S62" i="27"/>
  <c r="S63" i="27"/>
  <c r="S64" i="27"/>
  <c r="S65" i="27"/>
  <c r="S66" i="27"/>
  <c r="S67" i="27"/>
  <c r="S68" i="27"/>
  <c r="S69" i="27"/>
  <c r="S70" i="27"/>
  <c r="S71" i="27"/>
  <c r="S72" i="27"/>
  <c r="S73" i="27"/>
  <c r="S74" i="27"/>
  <c r="S75" i="27"/>
  <c r="S76" i="27"/>
  <c r="S77" i="27"/>
  <c r="S78" i="27"/>
  <c r="S79" i="27"/>
  <c r="S80" i="27"/>
  <c r="S81" i="27"/>
  <c r="S82" i="27"/>
  <c r="S83" i="27"/>
  <c r="S84" i="27"/>
  <c r="S85" i="27"/>
  <c r="S86" i="27"/>
  <c r="S87" i="27"/>
  <c r="S88" i="27"/>
  <c r="S89" i="27"/>
  <c r="S90" i="27"/>
  <c r="S91" i="27"/>
  <c r="S92" i="27"/>
  <c r="S93" i="27"/>
  <c r="S94" i="27"/>
  <c r="S95" i="27"/>
  <c r="S96" i="27"/>
  <c r="S97" i="27"/>
  <c r="S98" i="27"/>
  <c r="S99" i="27"/>
  <c r="S100" i="27"/>
  <c r="S101" i="27"/>
  <c r="S102" i="27"/>
  <c r="S103" i="27"/>
  <c r="S104" i="27"/>
  <c r="S105" i="27"/>
  <c r="S106" i="27"/>
  <c r="S107" i="27"/>
  <c r="S108" i="27"/>
  <c r="S109" i="27"/>
  <c r="S110" i="27"/>
  <c r="S111" i="27"/>
  <c r="S112" i="27"/>
  <c r="S113" i="27"/>
  <c r="S114" i="27"/>
  <c r="S115" i="27"/>
  <c r="S116" i="27"/>
  <c r="S117" i="27"/>
  <c r="S118" i="27"/>
  <c r="S119" i="27"/>
  <c r="S120" i="27"/>
  <c r="S121" i="27"/>
  <c r="S122" i="27"/>
  <c r="S123" i="27"/>
  <c r="S124" i="27"/>
  <c r="S125" i="27"/>
  <c r="S126" i="27"/>
  <c r="S127" i="27"/>
  <c r="S128" i="27"/>
  <c r="S129" i="27"/>
  <c r="S130" i="27"/>
  <c r="S131" i="27"/>
  <c r="S132" i="27"/>
  <c r="S133" i="27"/>
  <c r="S134" i="27"/>
  <c r="S135" i="27"/>
  <c r="S136" i="27"/>
  <c r="S137" i="27"/>
  <c r="S138" i="27"/>
  <c r="S139" i="27"/>
  <c r="S140" i="27"/>
  <c r="S141" i="27"/>
  <c r="S142" i="27"/>
  <c r="S143" i="27"/>
  <c r="S144" i="27"/>
  <c r="S145" i="27"/>
  <c r="S146" i="27"/>
  <c r="S147" i="27"/>
  <c r="S148" i="27"/>
  <c r="S149" i="27"/>
  <c r="S150" i="27"/>
  <c r="S151" i="27"/>
  <c r="S152" i="27"/>
  <c r="S153" i="27"/>
  <c r="S154" i="27"/>
  <c r="S155" i="27"/>
  <c r="S156" i="27"/>
  <c r="S157" i="27"/>
  <c r="S158" i="27"/>
  <c r="S159" i="27"/>
  <c r="S160" i="27"/>
  <c r="S161" i="27"/>
  <c r="S162" i="27"/>
  <c r="S163" i="27"/>
  <c r="S164" i="27"/>
  <c r="S165" i="27"/>
  <c r="S166" i="27"/>
  <c r="S167" i="27"/>
  <c r="S168" i="27"/>
  <c r="S169" i="27"/>
  <c r="S170" i="27"/>
  <c r="S171" i="27"/>
  <c r="S172" i="27"/>
  <c r="S173" i="27"/>
  <c r="S174" i="27"/>
  <c r="S175" i="27"/>
  <c r="S176" i="27"/>
  <c r="S177" i="27"/>
  <c r="S178" i="27"/>
  <c r="S179" i="27"/>
  <c r="S180" i="27"/>
  <c r="S181" i="27"/>
  <c r="S182" i="27"/>
  <c r="S183" i="27"/>
  <c r="S184" i="27"/>
  <c r="S185" i="27"/>
  <c r="S186" i="27"/>
  <c r="S187" i="27"/>
  <c r="S188" i="27"/>
  <c r="S189" i="27"/>
  <c r="S190" i="27"/>
  <c r="S191" i="27"/>
  <c r="S192" i="27"/>
  <c r="S193" i="27"/>
  <c r="S194" i="27"/>
  <c r="S195" i="27"/>
  <c r="S196" i="27"/>
  <c r="S197" i="27"/>
  <c r="S198" i="27"/>
  <c r="S199" i="27"/>
  <c r="S200" i="27"/>
  <c r="S201" i="27"/>
  <c r="S202" i="27"/>
  <c r="S203" i="27"/>
  <c r="S204" i="27"/>
  <c r="S205" i="27"/>
  <c r="S206" i="27"/>
  <c r="S207" i="27"/>
  <c r="S208" i="27"/>
  <c r="S209" i="27"/>
  <c r="S210" i="27"/>
  <c r="S211" i="27"/>
  <c r="S212" i="27"/>
  <c r="S213" i="27"/>
  <c r="S214" i="27"/>
  <c r="S215" i="27"/>
  <c r="S216" i="27"/>
  <c r="S217" i="27"/>
  <c r="S218" i="27"/>
  <c r="S219" i="27"/>
  <c r="S220" i="27"/>
  <c r="S221" i="27"/>
  <c r="S222" i="27"/>
  <c r="S223" i="27"/>
  <c r="S224" i="27"/>
  <c r="S225" i="27"/>
  <c r="S226" i="27"/>
  <c r="S227" i="27"/>
  <c r="S228" i="27"/>
  <c r="S229" i="27"/>
  <c r="S230" i="27"/>
  <c r="S231" i="27"/>
  <c r="S232" i="27"/>
  <c r="S233" i="27"/>
  <c r="S234" i="27"/>
  <c r="S235" i="27"/>
  <c r="S236" i="27"/>
  <c r="S237" i="27"/>
  <c r="S238" i="27"/>
  <c r="S239" i="27"/>
  <c r="S240" i="27"/>
  <c r="S241" i="27"/>
  <c r="S242" i="27"/>
  <c r="S243" i="27"/>
  <c r="S244" i="27"/>
  <c r="S245" i="27"/>
  <c r="S246" i="27"/>
  <c r="S247" i="27"/>
  <c r="S248" i="27"/>
  <c r="S249" i="27"/>
  <c r="S250" i="27"/>
  <c r="S251" i="27"/>
  <c r="S252" i="27"/>
  <c r="S253" i="27"/>
  <c r="S254" i="27"/>
  <c r="S255" i="27"/>
  <c r="S256" i="27"/>
  <c r="S257" i="27"/>
  <c r="S258" i="27"/>
  <c r="S259" i="27"/>
  <c r="S260" i="27"/>
  <c r="S261" i="27"/>
  <c r="S262" i="27"/>
  <c r="S263" i="27"/>
  <c r="S264" i="27"/>
  <c r="S265" i="27"/>
  <c r="S266" i="27"/>
  <c r="S267" i="27"/>
  <c r="S268" i="27"/>
  <c r="S269" i="27"/>
  <c r="S270" i="27"/>
  <c r="S271" i="27"/>
  <c r="S272" i="27"/>
  <c r="S273" i="27"/>
  <c r="S274" i="27"/>
  <c r="S275" i="27"/>
  <c r="S276" i="27"/>
  <c r="S277" i="27"/>
  <c r="S278" i="27"/>
  <c r="S279" i="27"/>
  <c r="S280" i="27"/>
  <c r="S281" i="27"/>
  <c r="S282" i="27"/>
  <c r="S283" i="27"/>
  <c r="S284" i="27"/>
  <c r="S285" i="27"/>
  <c r="S286" i="27"/>
  <c r="S287" i="27"/>
  <c r="S288" i="27"/>
  <c r="S289" i="27"/>
  <c r="S290" i="27"/>
  <c r="S291" i="27"/>
  <c r="S292" i="27"/>
  <c r="S293" i="27"/>
  <c r="S294" i="27"/>
  <c r="S295" i="27"/>
  <c r="S296" i="27"/>
  <c r="S297" i="27"/>
  <c r="S298" i="27"/>
  <c r="S299" i="27"/>
  <c r="S300" i="27"/>
  <c r="S301" i="27"/>
  <c r="S302" i="27"/>
  <c r="S303" i="27"/>
  <c r="S304" i="27"/>
  <c r="S305" i="27"/>
  <c r="S306" i="27"/>
  <c r="S307" i="27"/>
  <c r="S308" i="27"/>
  <c r="S309" i="27"/>
  <c r="S310" i="27"/>
  <c r="S311" i="27"/>
  <c r="S312" i="27"/>
  <c r="S313" i="27"/>
  <c r="S314" i="27"/>
  <c r="S315" i="27"/>
  <c r="S316" i="27"/>
  <c r="S317" i="27"/>
  <c r="S318" i="27"/>
  <c r="S319" i="27"/>
  <c r="S320" i="27"/>
  <c r="S321" i="27"/>
  <c r="S322" i="27"/>
  <c r="S323" i="27"/>
  <c r="S324" i="27"/>
  <c r="S325" i="27"/>
  <c r="S326" i="27"/>
  <c r="S327" i="27"/>
  <c r="S328" i="27"/>
  <c r="S329" i="27"/>
  <c r="S330" i="27"/>
  <c r="S331" i="27"/>
  <c r="S332" i="27"/>
  <c r="S333" i="27"/>
  <c r="S334" i="27"/>
  <c r="S335" i="27"/>
  <c r="S336" i="27"/>
  <c r="S337" i="27"/>
  <c r="S338" i="27"/>
  <c r="S339" i="27"/>
  <c r="S340" i="27"/>
  <c r="S341" i="27"/>
  <c r="S342" i="27"/>
  <c r="S343" i="27"/>
  <c r="S344" i="27"/>
  <c r="S345" i="27"/>
  <c r="S346" i="27"/>
  <c r="S347" i="27"/>
  <c r="S348" i="27"/>
  <c r="S349" i="27"/>
  <c r="S350" i="27"/>
  <c r="S351" i="27"/>
  <c r="S352" i="27"/>
  <c r="S353" i="27"/>
  <c r="S354" i="27"/>
  <c r="S355" i="27"/>
  <c r="S356" i="27"/>
  <c r="S357" i="27"/>
  <c r="S358" i="27"/>
  <c r="S359" i="27"/>
  <c r="S360" i="27"/>
  <c r="S361" i="27"/>
  <c r="S362" i="27"/>
  <c r="S363" i="27"/>
  <c r="S364" i="27"/>
  <c r="S365" i="27"/>
  <c r="S366" i="27"/>
  <c r="S367" i="27"/>
  <c r="S368" i="27"/>
  <c r="S369" i="27"/>
  <c r="S370" i="27"/>
  <c r="S371" i="27"/>
  <c r="S372" i="27"/>
  <c r="S373" i="27"/>
  <c r="S374" i="27"/>
  <c r="S375" i="27"/>
  <c r="S376" i="27"/>
  <c r="S377" i="27"/>
  <c r="S378" i="27"/>
  <c r="S379" i="27"/>
  <c r="S380" i="27"/>
  <c r="S381" i="27"/>
  <c r="S382" i="27"/>
  <c r="S383" i="27"/>
  <c r="S384" i="27"/>
  <c r="S385" i="27"/>
  <c r="S386" i="27"/>
  <c r="S387" i="27"/>
  <c r="S388" i="27"/>
  <c r="S389" i="27"/>
  <c r="S390" i="27"/>
  <c r="S391" i="27"/>
  <c r="S392" i="27"/>
  <c r="S393" i="27"/>
  <c r="S394" i="27"/>
  <c r="S395" i="27"/>
  <c r="S396" i="27"/>
  <c r="S397" i="27"/>
  <c r="S398" i="27"/>
  <c r="S399" i="27"/>
  <c r="S400" i="27"/>
  <c r="S401" i="27"/>
  <c r="S402" i="27"/>
  <c r="S403" i="27"/>
  <c r="S404" i="27"/>
  <c r="S405" i="27"/>
  <c r="S406" i="27"/>
  <c r="S407" i="27"/>
  <c r="S408" i="27"/>
  <c r="S409" i="27"/>
  <c r="S410" i="27"/>
  <c r="S411" i="27"/>
  <c r="S412" i="27"/>
  <c r="S413" i="27"/>
  <c r="S414" i="27"/>
  <c r="S415" i="27"/>
  <c r="S416" i="27"/>
  <c r="S417" i="27"/>
  <c r="S418" i="27"/>
  <c r="S419" i="27"/>
  <c r="S420" i="27"/>
  <c r="S421" i="27"/>
  <c r="S422" i="27"/>
  <c r="S423" i="27"/>
  <c r="S424" i="27"/>
  <c r="S425" i="27"/>
  <c r="S426" i="27"/>
  <c r="S427" i="27"/>
  <c r="S428" i="27"/>
  <c r="S429" i="27"/>
  <c r="S430" i="27"/>
  <c r="S431" i="27"/>
  <c r="S432" i="27"/>
  <c r="S433" i="27"/>
  <c r="S434" i="27"/>
  <c r="S435" i="27"/>
  <c r="S436" i="27"/>
  <c r="S437" i="27"/>
  <c r="S438" i="27"/>
  <c r="S439" i="27"/>
  <c r="S440" i="27"/>
  <c r="S441" i="27"/>
  <c r="S442" i="27"/>
  <c r="S443" i="27"/>
  <c r="S444" i="27"/>
  <c r="S445" i="27"/>
  <c r="S446" i="27"/>
  <c r="S447" i="27"/>
  <c r="S448" i="27"/>
  <c r="S449" i="27"/>
  <c r="S450" i="27"/>
  <c r="S451" i="27"/>
  <c r="S452" i="27"/>
  <c r="S453" i="27"/>
  <c r="S454" i="27"/>
  <c r="S455" i="27"/>
  <c r="S456" i="27"/>
  <c r="S457" i="27"/>
  <c r="S458" i="27"/>
  <c r="S459" i="27"/>
  <c r="S460" i="27"/>
  <c r="S461" i="27"/>
  <c r="S462" i="27"/>
  <c r="S463" i="27"/>
  <c r="S464" i="27"/>
  <c r="S465" i="27"/>
  <c r="S466" i="27"/>
  <c r="S467" i="27"/>
  <c r="S468" i="27"/>
  <c r="S469" i="27"/>
  <c r="S470" i="27"/>
  <c r="S471" i="27"/>
  <c r="S472" i="27"/>
  <c r="S473" i="27"/>
  <c r="S474" i="27"/>
  <c r="S475" i="27"/>
  <c r="S476" i="27"/>
  <c r="S477" i="27"/>
  <c r="S478" i="27"/>
  <c r="S479" i="27"/>
  <c r="S480" i="27"/>
  <c r="S481" i="27"/>
  <c r="S482" i="27"/>
  <c r="S483" i="27"/>
  <c r="S484" i="27"/>
  <c r="S485" i="27"/>
  <c r="S486" i="27"/>
  <c r="S487" i="27"/>
  <c r="S488" i="27"/>
  <c r="S489" i="27"/>
  <c r="S490" i="27"/>
  <c r="S491" i="27"/>
  <c r="S492" i="27"/>
  <c r="S493" i="27"/>
  <c r="S494" i="27"/>
  <c r="S495" i="27"/>
  <c r="S496" i="27"/>
  <c r="S497" i="27"/>
  <c r="S498" i="27"/>
  <c r="S499" i="27"/>
  <c r="S500" i="27"/>
  <c r="S501" i="27"/>
  <c r="S2" i="27"/>
  <c r="R3" i="27"/>
  <c r="R4" i="27"/>
  <c r="R5" i="27"/>
  <c r="R6" i="27"/>
  <c r="R7" i="27"/>
  <c r="R8" i="27"/>
  <c r="R9" i="27"/>
  <c r="R10" i="27"/>
  <c r="R11" i="27"/>
  <c r="R12" i="27"/>
  <c r="R13" i="27"/>
  <c r="R14" i="27"/>
  <c r="R15" i="27"/>
  <c r="R16" i="27"/>
  <c r="R17" i="27"/>
  <c r="R18" i="27"/>
  <c r="R19" i="27"/>
  <c r="R20" i="27"/>
  <c r="R21" i="27"/>
  <c r="R22" i="27"/>
  <c r="R23" i="27"/>
  <c r="R24" i="27"/>
  <c r="R25" i="27"/>
  <c r="R26" i="27"/>
  <c r="R27" i="27"/>
  <c r="R28" i="27"/>
  <c r="R29" i="27"/>
  <c r="R30" i="27"/>
  <c r="R31" i="27"/>
  <c r="R32" i="27"/>
  <c r="R33" i="27"/>
  <c r="R34" i="27"/>
  <c r="R35" i="27"/>
  <c r="R36" i="27"/>
  <c r="R37" i="27"/>
  <c r="R38" i="27"/>
  <c r="R39" i="27"/>
  <c r="R40" i="27"/>
  <c r="R41" i="27"/>
  <c r="R42" i="27"/>
  <c r="R43" i="27"/>
  <c r="R44" i="27"/>
  <c r="R45" i="27"/>
  <c r="R46" i="27"/>
  <c r="R47" i="27"/>
  <c r="R48" i="27"/>
  <c r="R49" i="27"/>
  <c r="R50" i="27"/>
  <c r="R51" i="27"/>
  <c r="R52" i="27"/>
  <c r="R53" i="27"/>
  <c r="R54" i="27"/>
  <c r="R55" i="27"/>
  <c r="R56" i="27"/>
  <c r="R57" i="27"/>
  <c r="R58" i="27"/>
  <c r="R59" i="27"/>
  <c r="R60" i="27"/>
  <c r="R61" i="27"/>
  <c r="R62" i="27"/>
  <c r="R63" i="27"/>
  <c r="R64" i="27"/>
  <c r="R65" i="27"/>
  <c r="R66" i="27"/>
  <c r="R67" i="27"/>
  <c r="R68" i="27"/>
  <c r="R69" i="27"/>
  <c r="R70" i="27"/>
  <c r="R71" i="27"/>
  <c r="R72" i="27"/>
  <c r="R73" i="27"/>
  <c r="R74" i="27"/>
  <c r="R75" i="27"/>
  <c r="R76" i="27"/>
  <c r="R77" i="27"/>
  <c r="R78" i="27"/>
  <c r="R79" i="27"/>
  <c r="R80" i="27"/>
  <c r="R81" i="27"/>
  <c r="R82" i="27"/>
  <c r="R83" i="27"/>
  <c r="R84" i="27"/>
  <c r="R85" i="27"/>
  <c r="R86" i="27"/>
  <c r="R87" i="27"/>
  <c r="R88" i="27"/>
  <c r="R89" i="27"/>
  <c r="R90" i="27"/>
  <c r="R91" i="27"/>
  <c r="R92" i="27"/>
  <c r="R93" i="27"/>
  <c r="R94" i="27"/>
  <c r="R95" i="27"/>
  <c r="R96" i="27"/>
  <c r="R97" i="27"/>
  <c r="R98" i="27"/>
  <c r="R99" i="27"/>
  <c r="R100" i="27"/>
  <c r="R101" i="27"/>
  <c r="R102" i="27"/>
  <c r="R103" i="27"/>
  <c r="R104" i="27"/>
  <c r="R105" i="27"/>
  <c r="R106" i="27"/>
  <c r="R107" i="27"/>
  <c r="R108" i="27"/>
  <c r="R109" i="27"/>
  <c r="R110" i="27"/>
  <c r="R111" i="27"/>
  <c r="R112" i="27"/>
  <c r="R113" i="27"/>
  <c r="R114" i="27"/>
  <c r="R115" i="27"/>
  <c r="R116" i="27"/>
  <c r="R117" i="27"/>
  <c r="R118" i="27"/>
  <c r="R119" i="27"/>
  <c r="R120" i="27"/>
  <c r="R121" i="27"/>
  <c r="R122" i="27"/>
  <c r="R123" i="27"/>
  <c r="R124" i="27"/>
  <c r="R125" i="27"/>
  <c r="R126" i="27"/>
  <c r="R127" i="27"/>
  <c r="R128" i="27"/>
  <c r="R129" i="27"/>
  <c r="R130" i="27"/>
  <c r="R131" i="27"/>
  <c r="R132" i="27"/>
  <c r="R133" i="27"/>
  <c r="R134" i="27"/>
  <c r="R135" i="27"/>
  <c r="R136" i="27"/>
  <c r="R137" i="27"/>
  <c r="R138" i="27"/>
  <c r="R139" i="27"/>
  <c r="R140" i="27"/>
  <c r="R141" i="27"/>
  <c r="R142" i="27"/>
  <c r="R143" i="27"/>
  <c r="R144" i="27"/>
  <c r="R145" i="27"/>
  <c r="R146" i="27"/>
  <c r="R147" i="27"/>
  <c r="R148" i="27"/>
  <c r="R149" i="27"/>
  <c r="R150" i="27"/>
  <c r="R151" i="27"/>
  <c r="R152" i="27"/>
  <c r="R153" i="27"/>
  <c r="R154" i="27"/>
  <c r="R155" i="27"/>
  <c r="R156" i="27"/>
  <c r="R157" i="27"/>
  <c r="R158" i="27"/>
  <c r="R159" i="27"/>
  <c r="R160" i="27"/>
  <c r="R161" i="27"/>
  <c r="R162" i="27"/>
  <c r="R163" i="27"/>
  <c r="R164" i="27"/>
  <c r="R165" i="27"/>
  <c r="R166" i="27"/>
  <c r="R167" i="27"/>
  <c r="R168" i="27"/>
  <c r="R169" i="27"/>
  <c r="R170" i="27"/>
  <c r="R171" i="27"/>
  <c r="R172" i="27"/>
  <c r="R173" i="27"/>
  <c r="R174" i="27"/>
  <c r="R175" i="27"/>
  <c r="R176" i="27"/>
  <c r="R177" i="27"/>
  <c r="R178" i="27"/>
  <c r="R179" i="27"/>
  <c r="R180" i="27"/>
  <c r="R181" i="27"/>
  <c r="R182" i="27"/>
  <c r="R183" i="27"/>
  <c r="R184" i="27"/>
  <c r="R185" i="27"/>
  <c r="R186" i="27"/>
  <c r="R187" i="27"/>
  <c r="R188" i="27"/>
  <c r="R189" i="27"/>
  <c r="R190" i="27"/>
  <c r="R191" i="27"/>
  <c r="R192" i="27"/>
  <c r="R193" i="27"/>
  <c r="R194" i="27"/>
  <c r="R195" i="27"/>
  <c r="R196" i="27"/>
  <c r="R197" i="27"/>
  <c r="R198" i="27"/>
  <c r="R199" i="27"/>
  <c r="R200" i="27"/>
  <c r="R201" i="27"/>
  <c r="R202" i="27"/>
  <c r="R203" i="27"/>
  <c r="R204" i="27"/>
  <c r="R205" i="27"/>
  <c r="R206" i="27"/>
  <c r="R207" i="27"/>
  <c r="R208" i="27"/>
  <c r="R209" i="27"/>
  <c r="R210" i="27"/>
  <c r="R211" i="27"/>
  <c r="R212" i="27"/>
  <c r="R213" i="27"/>
  <c r="R214" i="27"/>
  <c r="R215" i="27"/>
  <c r="R216" i="27"/>
  <c r="R217" i="27"/>
  <c r="R218" i="27"/>
  <c r="R219" i="27"/>
  <c r="R220" i="27"/>
  <c r="R221" i="27"/>
  <c r="R222" i="27"/>
  <c r="R223" i="27"/>
  <c r="R224" i="27"/>
  <c r="R225" i="27"/>
  <c r="R226" i="27"/>
  <c r="R227" i="27"/>
  <c r="R228" i="27"/>
  <c r="R229" i="27"/>
  <c r="R230" i="27"/>
  <c r="R231" i="27"/>
  <c r="R232" i="27"/>
  <c r="R233" i="27"/>
  <c r="R234" i="27"/>
  <c r="R235" i="27"/>
  <c r="R236" i="27"/>
  <c r="R237" i="27"/>
  <c r="R238" i="27"/>
  <c r="R239" i="27"/>
  <c r="R240" i="27"/>
  <c r="R241" i="27"/>
  <c r="R242" i="27"/>
  <c r="R243" i="27"/>
  <c r="R244" i="27"/>
  <c r="R245" i="27"/>
  <c r="R246" i="27"/>
  <c r="R247" i="27"/>
  <c r="R248" i="27"/>
  <c r="R249" i="27"/>
  <c r="R250" i="27"/>
  <c r="R251" i="27"/>
  <c r="R252" i="27"/>
  <c r="R253" i="27"/>
  <c r="R254" i="27"/>
  <c r="R255" i="27"/>
  <c r="R256" i="27"/>
  <c r="R257" i="27"/>
  <c r="R258" i="27"/>
  <c r="R259" i="27"/>
  <c r="R260" i="27"/>
  <c r="R261" i="27"/>
  <c r="R262" i="27"/>
  <c r="R263" i="27"/>
  <c r="R264" i="27"/>
  <c r="R265" i="27"/>
  <c r="R266" i="27"/>
  <c r="R267" i="27"/>
  <c r="R268" i="27"/>
  <c r="R269" i="27"/>
  <c r="R270" i="27"/>
  <c r="R271" i="27"/>
  <c r="R272" i="27"/>
  <c r="R273" i="27"/>
  <c r="R274" i="27"/>
  <c r="R275" i="27"/>
  <c r="R276" i="27"/>
  <c r="R277" i="27"/>
  <c r="R278" i="27"/>
  <c r="R279" i="27"/>
  <c r="R280" i="27"/>
  <c r="R281" i="27"/>
  <c r="R282" i="27"/>
  <c r="R283" i="27"/>
  <c r="R284" i="27"/>
  <c r="R285" i="27"/>
  <c r="R286" i="27"/>
  <c r="R287" i="27"/>
  <c r="R288" i="27"/>
  <c r="R289" i="27"/>
  <c r="R290" i="27"/>
  <c r="R291" i="27"/>
  <c r="R292" i="27"/>
  <c r="R293" i="27"/>
  <c r="R294" i="27"/>
  <c r="R295" i="27"/>
  <c r="R296" i="27"/>
  <c r="R297" i="27"/>
  <c r="R298" i="27"/>
  <c r="R299" i="27"/>
  <c r="R300" i="27"/>
  <c r="R301" i="27"/>
  <c r="R302" i="27"/>
  <c r="R303" i="27"/>
  <c r="R304" i="27"/>
  <c r="R305" i="27"/>
  <c r="R306" i="27"/>
  <c r="R307" i="27"/>
  <c r="R308" i="27"/>
  <c r="R309" i="27"/>
  <c r="R310" i="27"/>
  <c r="R311" i="27"/>
  <c r="R312" i="27"/>
  <c r="R313" i="27"/>
  <c r="R314" i="27"/>
  <c r="R315" i="27"/>
  <c r="R316" i="27"/>
  <c r="R317" i="27"/>
  <c r="R318" i="27"/>
  <c r="R319" i="27"/>
  <c r="R320" i="27"/>
  <c r="R321" i="27"/>
  <c r="R322" i="27"/>
  <c r="R323" i="27"/>
  <c r="R324" i="27"/>
  <c r="R325" i="27"/>
  <c r="R326" i="27"/>
  <c r="R327" i="27"/>
  <c r="R328" i="27"/>
  <c r="R329" i="27"/>
  <c r="R330" i="27"/>
  <c r="R331" i="27"/>
  <c r="R332" i="27"/>
  <c r="R333" i="27"/>
  <c r="R334" i="27"/>
  <c r="R335" i="27"/>
  <c r="R336" i="27"/>
  <c r="R337" i="27"/>
  <c r="R338" i="27"/>
  <c r="R339" i="27"/>
  <c r="R340" i="27"/>
  <c r="R341" i="27"/>
  <c r="R342" i="27"/>
  <c r="R343" i="27"/>
  <c r="R344" i="27"/>
  <c r="R345" i="27"/>
  <c r="R346" i="27"/>
  <c r="R347" i="27"/>
  <c r="R348" i="27"/>
  <c r="R349" i="27"/>
  <c r="R350" i="27"/>
  <c r="R351" i="27"/>
  <c r="R352" i="27"/>
  <c r="R353" i="27"/>
  <c r="R354" i="27"/>
  <c r="R355" i="27"/>
  <c r="R356" i="27"/>
  <c r="R357" i="27"/>
  <c r="R358" i="27"/>
  <c r="R359" i="27"/>
  <c r="R360" i="27"/>
  <c r="R361" i="27"/>
  <c r="R362" i="27"/>
  <c r="R363" i="27"/>
  <c r="R364" i="27"/>
  <c r="R365" i="27"/>
  <c r="R366" i="27"/>
  <c r="R367" i="27"/>
  <c r="R368" i="27"/>
  <c r="R369" i="27"/>
  <c r="R370" i="27"/>
  <c r="R371" i="27"/>
  <c r="R372" i="27"/>
  <c r="R373" i="27"/>
  <c r="R374" i="27"/>
  <c r="R375" i="27"/>
  <c r="R376" i="27"/>
  <c r="R377" i="27"/>
  <c r="R378" i="27"/>
  <c r="R379" i="27"/>
  <c r="R380" i="27"/>
  <c r="R381" i="27"/>
  <c r="R382" i="27"/>
  <c r="R383" i="27"/>
  <c r="R384" i="27"/>
  <c r="R385" i="27"/>
  <c r="R386" i="27"/>
  <c r="R387" i="27"/>
  <c r="R388" i="27"/>
  <c r="R389" i="27"/>
  <c r="R390" i="27"/>
  <c r="R391" i="27"/>
  <c r="R392" i="27"/>
  <c r="R393" i="27"/>
  <c r="R394" i="27"/>
  <c r="R395" i="27"/>
  <c r="R396" i="27"/>
  <c r="R397" i="27"/>
  <c r="R398" i="27"/>
  <c r="R399" i="27"/>
  <c r="R400" i="27"/>
  <c r="R401" i="27"/>
  <c r="R402" i="27"/>
  <c r="R403" i="27"/>
  <c r="R404" i="27"/>
  <c r="R405" i="27"/>
  <c r="R406" i="27"/>
  <c r="R407" i="27"/>
  <c r="R408" i="27"/>
  <c r="R409" i="27"/>
  <c r="R410" i="27"/>
  <c r="R411" i="27"/>
  <c r="R412" i="27"/>
  <c r="R413" i="27"/>
  <c r="R414" i="27"/>
  <c r="R415" i="27"/>
  <c r="R416" i="27"/>
  <c r="R417" i="27"/>
  <c r="R418" i="27"/>
  <c r="R419" i="27"/>
  <c r="R420" i="27"/>
  <c r="R421" i="27"/>
  <c r="R422" i="27"/>
  <c r="R423" i="27"/>
  <c r="R424" i="27"/>
  <c r="R425" i="27"/>
  <c r="R426" i="27"/>
  <c r="R427" i="27"/>
  <c r="R428" i="27"/>
  <c r="R429" i="27"/>
  <c r="R430" i="27"/>
  <c r="R431" i="27"/>
  <c r="R432" i="27"/>
  <c r="R433" i="27"/>
  <c r="R434" i="27"/>
  <c r="R435" i="27"/>
  <c r="R436" i="27"/>
  <c r="R437" i="27"/>
  <c r="R438" i="27"/>
  <c r="R439" i="27"/>
  <c r="R440" i="27"/>
  <c r="R441" i="27"/>
  <c r="R442" i="27"/>
  <c r="R443" i="27"/>
  <c r="R444" i="27"/>
  <c r="R445" i="27"/>
  <c r="R446" i="27"/>
  <c r="R447" i="27"/>
  <c r="R448" i="27"/>
  <c r="R449" i="27"/>
  <c r="R450" i="27"/>
  <c r="R451" i="27"/>
  <c r="R452" i="27"/>
  <c r="R453" i="27"/>
  <c r="R454" i="27"/>
  <c r="R455" i="27"/>
  <c r="R456" i="27"/>
  <c r="R457" i="27"/>
  <c r="R458" i="27"/>
  <c r="R459" i="27"/>
  <c r="R460" i="27"/>
  <c r="R461" i="27"/>
  <c r="R462" i="27"/>
  <c r="R463" i="27"/>
  <c r="R464" i="27"/>
  <c r="R465" i="27"/>
  <c r="R466" i="27"/>
  <c r="R467" i="27"/>
  <c r="R468" i="27"/>
  <c r="R469" i="27"/>
  <c r="R470" i="27"/>
  <c r="R471" i="27"/>
  <c r="R472" i="27"/>
  <c r="R473" i="27"/>
  <c r="R474" i="27"/>
  <c r="R475" i="27"/>
  <c r="R476" i="27"/>
  <c r="R477" i="27"/>
  <c r="R478" i="27"/>
  <c r="R479" i="27"/>
  <c r="R480" i="27"/>
  <c r="R481" i="27"/>
  <c r="R482" i="27"/>
  <c r="R483" i="27"/>
  <c r="R484" i="27"/>
  <c r="R485" i="27"/>
  <c r="R486" i="27"/>
  <c r="R487" i="27"/>
  <c r="R488" i="27"/>
  <c r="R489" i="27"/>
  <c r="R490" i="27"/>
  <c r="R491" i="27"/>
  <c r="R492" i="27"/>
  <c r="R493" i="27"/>
  <c r="R494" i="27"/>
  <c r="R495" i="27"/>
  <c r="R496" i="27"/>
  <c r="R497" i="27"/>
  <c r="R498" i="27"/>
  <c r="R499" i="27"/>
  <c r="R500" i="27"/>
  <c r="R501" i="27"/>
  <c r="R2" i="27"/>
  <c r="P3" i="27"/>
  <c r="P4" i="27"/>
  <c r="P5" i="27"/>
  <c r="P6" i="27"/>
  <c r="P7" i="27"/>
  <c r="P8" i="27"/>
  <c r="P9" i="27"/>
  <c r="P10" i="27"/>
  <c r="P11" i="27"/>
  <c r="P12" i="27"/>
  <c r="P13" i="27"/>
  <c r="P14" i="27"/>
  <c r="P15" i="27"/>
  <c r="P16" i="27"/>
  <c r="P17" i="27"/>
  <c r="P18" i="27"/>
  <c r="P19" i="27"/>
  <c r="P20" i="27"/>
  <c r="P21" i="27"/>
  <c r="P22" i="27"/>
  <c r="P23" i="27"/>
  <c r="P24" i="27"/>
  <c r="P25" i="27"/>
  <c r="P26" i="27"/>
  <c r="P27" i="27"/>
  <c r="P28" i="27"/>
  <c r="P29" i="27"/>
  <c r="P30" i="27"/>
  <c r="P31" i="27"/>
  <c r="P32" i="27"/>
  <c r="P33" i="27"/>
  <c r="P34" i="27"/>
  <c r="P35" i="27"/>
  <c r="P36" i="27"/>
  <c r="P37" i="27"/>
  <c r="P38" i="27"/>
  <c r="P39" i="27"/>
  <c r="P40" i="27"/>
  <c r="P41" i="27"/>
  <c r="P42" i="27"/>
  <c r="P43" i="27"/>
  <c r="P44" i="27"/>
  <c r="P45" i="27"/>
  <c r="P46" i="27"/>
  <c r="P47" i="27"/>
  <c r="P48" i="27"/>
  <c r="P49" i="27"/>
  <c r="P50" i="27"/>
  <c r="P51" i="27"/>
  <c r="P52" i="27"/>
  <c r="P53" i="27"/>
  <c r="P54" i="27"/>
  <c r="P55" i="27"/>
  <c r="P56" i="27"/>
  <c r="P57" i="27"/>
  <c r="P58" i="27"/>
  <c r="P59" i="27"/>
  <c r="P60" i="27"/>
  <c r="P61" i="27"/>
  <c r="P62" i="27"/>
  <c r="P63" i="27"/>
  <c r="P64" i="27"/>
  <c r="P65" i="27"/>
  <c r="P66" i="27"/>
  <c r="P67" i="27"/>
  <c r="P68" i="27"/>
  <c r="P69" i="27"/>
  <c r="P70" i="27"/>
  <c r="P71" i="27"/>
  <c r="P72" i="27"/>
  <c r="P73" i="27"/>
  <c r="P74" i="27"/>
  <c r="P75" i="27"/>
  <c r="P76" i="27"/>
  <c r="P77" i="27"/>
  <c r="P78" i="27"/>
  <c r="P79" i="27"/>
  <c r="P80" i="27"/>
  <c r="P81" i="27"/>
  <c r="P82" i="27"/>
  <c r="P83" i="27"/>
  <c r="P84" i="27"/>
  <c r="P85" i="27"/>
  <c r="P86" i="27"/>
  <c r="P87" i="27"/>
  <c r="P88" i="27"/>
  <c r="P89" i="27"/>
  <c r="P90" i="27"/>
  <c r="P91" i="27"/>
  <c r="P92" i="27"/>
  <c r="P93" i="27"/>
  <c r="P94" i="27"/>
  <c r="P95" i="27"/>
  <c r="P96" i="27"/>
  <c r="P97" i="27"/>
  <c r="P98" i="27"/>
  <c r="P99" i="27"/>
  <c r="P100" i="27"/>
  <c r="P101" i="27"/>
  <c r="P102" i="27"/>
  <c r="P103" i="27"/>
  <c r="P104" i="27"/>
  <c r="P105" i="27"/>
  <c r="P106" i="27"/>
  <c r="P107" i="27"/>
  <c r="P108" i="27"/>
  <c r="P109" i="27"/>
  <c r="P110" i="27"/>
  <c r="P111" i="27"/>
  <c r="P112" i="27"/>
  <c r="P113" i="27"/>
  <c r="P114" i="27"/>
  <c r="P115" i="27"/>
  <c r="P116" i="27"/>
  <c r="P117" i="27"/>
  <c r="P118" i="27"/>
  <c r="P119" i="27"/>
  <c r="P120" i="27"/>
  <c r="P121" i="27"/>
  <c r="P122" i="27"/>
  <c r="P123" i="27"/>
  <c r="P124" i="27"/>
  <c r="P125" i="27"/>
  <c r="P126" i="27"/>
  <c r="P127" i="27"/>
  <c r="P128" i="27"/>
  <c r="P129" i="27"/>
  <c r="P130" i="27"/>
  <c r="P131" i="27"/>
  <c r="P132" i="27"/>
  <c r="P133" i="27"/>
  <c r="P134" i="27"/>
  <c r="P135" i="27"/>
  <c r="P136" i="27"/>
  <c r="P137" i="27"/>
  <c r="P138" i="27"/>
  <c r="P139" i="27"/>
  <c r="P140" i="27"/>
  <c r="P141" i="27"/>
  <c r="P142" i="27"/>
  <c r="P143" i="27"/>
  <c r="P144" i="27"/>
  <c r="P145" i="27"/>
  <c r="P146" i="27"/>
  <c r="P147" i="27"/>
  <c r="P148" i="27"/>
  <c r="P149" i="27"/>
  <c r="P150" i="27"/>
  <c r="P151" i="27"/>
  <c r="P152" i="27"/>
  <c r="P153" i="27"/>
  <c r="P154" i="27"/>
  <c r="P155" i="27"/>
  <c r="P156" i="27"/>
  <c r="P157" i="27"/>
  <c r="P158" i="27"/>
  <c r="P159" i="27"/>
  <c r="P160" i="27"/>
  <c r="P161" i="27"/>
  <c r="P162" i="27"/>
  <c r="P163" i="27"/>
  <c r="P164" i="27"/>
  <c r="P165" i="27"/>
  <c r="P166" i="27"/>
  <c r="P167" i="27"/>
  <c r="P168" i="27"/>
  <c r="P169" i="27"/>
  <c r="P170" i="27"/>
  <c r="P171" i="27"/>
  <c r="P172" i="27"/>
  <c r="P173" i="27"/>
  <c r="P174" i="27"/>
  <c r="P175" i="27"/>
  <c r="P176" i="27"/>
  <c r="P177" i="27"/>
  <c r="P178" i="27"/>
  <c r="P179" i="27"/>
  <c r="P180" i="27"/>
  <c r="P181" i="27"/>
  <c r="P182" i="27"/>
  <c r="P183" i="27"/>
  <c r="P184" i="27"/>
  <c r="P185" i="27"/>
  <c r="P186" i="27"/>
  <c r="P187" i="27"/>
  <c r="P188" i="27"/>
  <c r="P189" i="27"/>
  <c r="P190" i="27"/>
  <c r="P191" i="27"/>
  <c r="P192" i="27"/>
  <c r="P193" i="27"/>
  <c r="P194" i="27"/>
  <c r="P195" i="27"/>
  <c r="P196" i="27"/>
  <c r="P197" i="27"/>
  <c r="P198" i="27"/>
  <c r="P199" i="27"/>
  <c r="P200" i="27"/>
  <c r="P201" i="27"/>
  <c r="P202" i="27"/>
  <c r="P203" i="27"/>
  <c r="P204" i="27"/>
  <c r="P205" i="27"/>
  <c r="P206" i="27"/>
  <c r="P207" i="27"/>
  <c r="P208" i="27"/>
  <c r="P209" i="27"/>
  <c r="P210" i="27"/>
  <c r="P211" i="27"/>
  <c r="P212" i="27"/>
  <c r="P213" i="27"/>
  <c r="P214" i="27"/>
  <c r="P215" i="27"/>
  <c r="P216" i="27"/>
  <c r="P217" i="27"/>
  <c r="P218" i="27"/>
  <c r="P219" i="27"/>
  <c r="P220" i="27"/>
  <c r="P221" i="27"/>
  <c r="P222" i="27"/>
  <c r="P223" i="27"/>
  <c r="P224" i="27"/>
  <c r="P225" i="27"/>
  <c r="P226" i="27"/>
  <c r="P227" i="27"/>
  <c r="P228" i="27"/>
  <c r="P229" i="27"/>
  <c r="P230" i="27"/>
  <c r="P231" i="27"/>
  <c r="P232" i="27"/>
  <c r="P233" i="27"/>
  <c r="P234" i="27"/>
  <c r="P235" i="27"/>
  <c r="P236" i="27"/>
  <c r="P237" i="27"/>
  <c r="P238" i="27"/>
  <c r="P239" i="27"/>
  <c r="P240" i="27"/>
  <c r="P241" i="27"/>
  <c r="P242" i="27"/>
  <c r="P243" i="27"/>
  <c r="P244" i="27"/>
  <c r="P245" i="27"/>
  <c r="P246" i="27"/>
  <c r="P247" i="27"/>
  <c r="P248" i="27"/>
  <c r="P249" i="27"/>
  <c r="P250" i="27"/>
  <c r="P251" i="27"/>
  <c r="P252" i="27"/>
  <c r="P253" i="27"/>
  <c r="P254" i="27"/>
  <c r="P255" i="27"/>
  <c r="P256" i="27"/>
  <c r="P257" i="27"/>
  <c r="P258" i="27"/>
  <c r="P259" i="27"/>
  <c r="P260" i="27"/>
  <c r="P261" i="27"/>
  <c r="P262" i="27"/>
  <c r="P263" i="27"/>
  <c r="P264" i="27"/>
  <c r="P265" i="27"/>
  <c r="P266" i="27"/>
  <c r="P267" i="27"/>
  <c r="P268" i="27"/>
  <c r="P269" i="27"/>
  <c r="P270" i="27"/>
  <c r="P271" i="27"/>
  <c r="P272" i="27"/>
  <c r="P273" i="27"/>
  <c r="P274" i="27"/>
  <c r="P275" i="27"/>
  <c r="P276" i="27"/>
  <c r="P277" i="27"/>
  <c r="P278" i="27"/>
  <c r="P279" i="27"/>
  <c r="P280" i="27"/>
  <c r="P281" i="27"/>
  <c r="P282" i="27"/>
  <c r="P283" i="27"/>
  <c r="P284" i="27"/>
  <c r="P285" i="27"/>
  <c r="P286" i="27"/>
  <c r="P287" i="27"/>
  <c r="P288" i="27"/>
  <c r="P289" i="27"/>
  <c r="P290" i="27"/>
  <c r="P291" i="27"/>
  <c r="P292" i="27"/>
  <c r="P293" i="27"/>
  <c r="P294" i="27"/>
  <c r="P295" i="27"/>
  <c r="P296" i="27"/>
  <c r="P297" i="27"/>
  <c r="P298" i="27"/>
  <c r="P299" i="27"/>
  <c r="P300" i="27"/>
  <c r="P301" i="27"/>
  <c r="P302" i="27"/>
  <c r="P303" i="27"/>
  <c r="P304" i="27"/>
  <c r="P305" i="27"/>
  <c r="P306" i="27"/>
  <c r="P307" i="27"/>
  <c r="P308" i="27"/>
  <c r="P309" i="27"/>
  <c r="P310" i="27"/>
  <c r="P311" i="27"/>
  <c r="P312" i="27"/>
  <c r="P313" i="27"/>
  <c r="P314" i="27"/>
  <c r="P315" i="27"/>
  <c r="P316" i="27"/>
  <c r="P317" i="27"/>
  <c r="P318" i="27"/>
  <c r="P319" i="27"/>
  <c r="P320" i="27"/>
  <c r="P321" i="27"/>
  <c r="P322" i="27"/>
  <c r="P323" i="27"/>
  <c r="P324" i="27"/>
  <c r="P325" i="27"/>
  <c r="P326" i="27"/>
  <c r="P327" i="27"/>
  <c r="P328" i="27"/>
  <c r="P329" i="27"/>
  <c r="P330" i="27"/>
  <c r="P331" i="27"/>
  <c r="P332" i="27"/>
  <c r="P333" i="27"/>
  <c r="P334" i="27"/>
  <c r="P335" i="27"/>
  <c r="P336" i="27"/>
  <c r="P337" i="27"/>
  <c r="P338" i="27"/>
  <c r="P339" i="27"/>
  <c r="P340" i="27"/>
  <c r="P341" i="27"/>
  <c r="P342" i="27"/>
  <c r="P343" i="27"/>
  <c r="P344" i="27"/>
  <c r="P345" i="27"/>
  <c r="P346" i="27"/>
  <c r="P347" i="27"/>
  <c r="P348" i="27"/>
  <c r="P349" i="27"/>
  <c r="P350" i="27"/>
  <c r="P351" i="27"/>
  <c r="P352" i="27"/>
  <c r="P353" i="27"/>
  <c r="P354" i="27"/>
  <c r="P355" i="27"/>
  <c r="P356" i="27"/>
  <c r="P357" i="27"/>
  <c r="P358" i="27"/>
  <c r="P359" i="27"/>
  <c r="P360" i="27"/>
  <c r="P361" i="27"/>
  <c r="P362" i="27"/>
  <c r="P363" i="27"/>
  <c r="P364" i="27"/>
  <c r="P365" i="27"/>
  <c r="P366" i="27"/>
  <c r="P367" i="27"/>
  <c r="P368" i="27"/>
  <c r="P369" i="27"/>
  <c r="P370" i="27"/>
  <c r="P371" i="27"/>
  <c r="P372" i="27"/>
  <c r="P373" i="27"/>
  <c r="P374" i="27"/>
  <c r="P375" i="27"/>
  <c r="P376" i="27"/>
  <c r="P377" i="27"/>
  <c r="P378" i="27"/>
  <c r="P379" i="27"/>
  <c r="P380" i="27"/>
  <c r="P381" i="27"/>
  <c r="P382" i="27"/>
  <c r="P383" i="27"/>
  <c r="P384" i="27"/>
  <c r="P385" i="27"/>
  <c r="P386" i="27"/>
  <c r="P387" i="27"/>
  <c r="P388" i="27"/>
  <c r="P389" i="27"/>
  <c r="P390" i="27"/>
  <c r="P391" i="27"/>
  <c r="P392" i="27"/>
  <c r="P393" i="27"/>
  <c r="P394" i="27"/>
  <c r="P395" i="27"/>
  <c r="P396" i="27"/>
  <c r="P397" i="27"/>
  <c r="P398" i="27"/>
  <c r="P399" i="27"/>
  <c r="P400" i="27"/>
  <c r="P401" i="27"/>
  <c r="P402" i="27"/>
  <c r="P403" i="27"/>
  <c r="P404" i="27"/>
  <c r="P405" i="27"/>
  <c r="P406" i="27"/>
  <c r="P407" i="27"/>
  <c r="P408" i="27"/>
  <c r="P409" i="27"/>
  <c r="P410" i="27"/>
  <c r="P411" i="27"/>
  <c r="P412" i="27"/>
  <c r="P413" i="27"/>
  <c r="P414" i="27"/>
  <c r="P415" i="27"/>
  <c r="P416" i="27"/>
  <c r="P417" i="27"/>
  <c r="P418" i="27"/>
  <c r="P419" i="27"/>
  <c r="P420" i="27"/>
  <c r="P421" i="27"/>
  <c r="P422" i="27"/>
  <c r="P423" i="27"/>
  <c r="P424" i="27"/>
  <c r="P425" i="27"/>
  <c r="P426" i="27"/>
  <c r="P427" i="27"/>
  <c r="P428" i="27"/>
  <c r="P429" i="27"/>
  <c r="P430" i="27"/>
  <c r="P431" i="27"/>
  <c r="P432" i="27"/>
  <c r="P433" i="27"/>
  <c r="P434" i="27"/>
  <c r="P435" i="27"/>
  <c r="P436" i="27"/>
  <c r="P437" i="27"/>
  <c r="P438" i="27"/>
  <c r="P439" i="27"/>
  <c r="P440" i="27"/>
  <c r="P441" i="27"/>
  <c r="P442" i="27"/>
  <c r="P443" i="27"/>
  <c r="P444" i="27"/>
  <c r="P445" i="27"/>
  <c r="P446" i="27"/>
  <c r="P447" i="27"/>
  <c r="P448" i="27"/>
  <c r="P449" i="27"/>
  <c r="P450" i="27"/>
  <c r="P451" i="27"/>
  <c r="P452" i="27"/>
  <c r="P453" i="27"/>
  <c r="P454" i="27"/>
  <c r="P455" i="27"/>
  <c r="P456" i="27"/>
  <c r="P457" i="27"/>
  <c r="P458" i="27"/>
  <c r="P459" i="27"/>
  <c r="P460" i="27"/>
  <c r="P461" i="27"/>
  <c r="P462" i="27"/>
  <c r="P463" i="27"/>
  <c r="P464" i="27"/>
  <c r="P465" i="27"/>
  <c r="P466" i="27"/>
  <c r="P467" i="27"/>
  <c r="P468" i="27"/>
  <c r="P469" i="27"/>
  <c r="P470" i="27"/>
  <c r="P471" i="27"/>
  <c r="P472" i="27"/>
  <c r="P473" i="27"/>
  <c r="P474" i="27"/>
  <c r="P475" i="27"/>
  <c r="P476" i="27"/>
  <c r="P477" i="27"/>
  <c r="P478" i="27"/>
  <c r="P479" i="27"/>
  <c r="P480" i="27"/>
  <c r="P481" i="27"/>
  <c r="P482" i="27"/>
  <c r="P483" i="27"/>
  <c r="P484" i="27"/>
  <c r="P485" i="27"/>
  <c r="P486" i="27"/>
  <c r="P487" i="27"/>
  <c r="P488" i="27"/>
  <c r="P489" i="27"/>
  <c r="P490" i="27"/>
  <c r="P491" i="27"/>
  <c r="P492" i="27"/>
  <c r="P493" i="27"/>
  <c r="P494" i="27"/>
  <c r="P495" i="27"/>
  <c r="P496" i="27"/>
  <c r="P497" i="27"/>
  <c r="P498" i="27"/>
  <c r="P499" i="27"/>
  <c r="P500" i="27"/>
  <c r="P501" i="27"/>
  <c r="P2" i="27"/>
  <c r="F3" i="27"/>
  <c r="F4" i="27"/>
  <c r="F5" i="27"/>
  <c r="F6" i="27"/>
  <c r="F7" i="27"/>
  <c r="F8" i="27"/>
  <c r="F9" i="27"/>
  <c r="F10" i="27"/>
  <c r="F11" i="27"/>
  <c r="F12" i="27"/>
  <c r="F13" i="27"/>
  <c r="F14" i="27"/>
  <c r="F15" i="27"/>
  <c r="F16" i="27"/>
  <c r="F17" i="27"/>
  <c r="F18" i="27"/>
  <c r="F19" i="27"/>
  <c r="F20" i="27"/>
  <c r="F21" i="27"/>
  <c r="F22" i="27"/>
  <c r="F23" i="27"/>
  <c r="F24" i="27"/>
  <c r="F25" i="27"/>
  <c r="F26" i="27"/>
  <c r="F27" i="27"/>
  <c r="F28" i="27"/>
  <c r="F29" i="27"/>
  <c r="F30" i="27"/>
  <c r="F31" i="27"/>
  <c r="F32" i="27"/>
  <c r="F33" i="27"/>
  <c r="F34" i="27"/>
  <c r="F35" i="27"/>
  <c r="F36" i="27"/>
  <c r="F37" i="27"/>
  <c r="F38" i="27"/>
  <c r="F39" i="27"/>
  <c r="F40" i="27"/>
  <c r="F41" i="27"/>
  <c r="F42" i="27"/>
  <c r="F43" i="27"/>
  <c r="F44" i="27"/>
  <c r="F45" i="27"/>
  <c r="F46" i="27"/>
  <c r="F47" i="27"/>
  <c r="F48" i="27"/>
  <c r="F49" i="27"/>
  <c r="F50" i="27"/>
  <c r="F51" i="27"/>
  <c r="F52" i="27"/>
  <c r="F53" i="27"/>
  <c r="F54" i="27"/>
  <c r="F55" i="27"/>
  <c r="F56" i="27"/>
  <c r="F57" i="27"/>
  <c r="F58" i="27"/>
  <c r="F59" i="27"/>
  <c r="F60" i="27"/>
  <c r="F61" i="27"/>
  <c r="F62" i="27"/>
  <c r="F63" i="27"/>
  <c r="F64" i="27"/>
  <c r="F65" i="27"/>
  <c r="F66" i="27"/>
  <c r="F67" i="27"/>
  <c r="F68" i="27"/>
  <c r="F69" i="27"/>
  <c r="F70" i="27"/>
  <c r="F71" i="27"/>
  <c r="F72" i="27"/>
  <c r="F73" i="27"/>
  <c r="F74" i="27"/>
  <c r="F75" i="27"/>
  <c r="F76" i="27"/>
  <c r="F77" i="27"/>
  <c r="F78" i="27"/>
  <c r="F79" i="27"/>
  <c r="F80" i="27"/>
  <c r="F81" i="27"/>
  <c r="F82" i="27"/>
  <c r="F83" i="27"/>
  <c r="F84" i="27"/>
  <c r="F85" i="27"/>
  <c r="F86" i="27"/>
  <c r="F87" i="27"/>
  <c r="F88" i="27"/>
  <c r="F89" i="27"/>
  <c r="F90" i="27"/>
  <c r="F91" i="27"/>
  <c r="F92" i="27"/>
  <c r="F93" i="27"/>
  <c r="F94" i="27"/>
  <c r="F95" i="27"/>
  <c r="F96" i="27"/>
  <c r="F97" i="27"/>
  <c r="F98" i="27"/>
  <c r="F99" i="27"/>
  <c r="F100" i="27"/>
  <c r="F101" i="27"/>
  <c r="F102" i="27"/>
  <c r="F103" i="27"/>
  <c r="F104" i="27"/>
  <c r="F105" i="27"/>
  <c r="F106" i="27"/>
  <c r="F107" i="27"/>
  <c r="F108" i="27"/>
  <c r="F109" i="27"/>
  <c r="F110" i="27"/>
  <c r="F111" i="27"/>
  <c r="F112" i="27"/>
  <c r="F113" i="27"/>
  <c r="F114" i="27"/>
  <c r="F115" i="27"/>
  <c r="F116" i="27"/>
  <c r="F117" i="27"/>
  <c r="F118" i="27"/>
  <c r="F119" i="27"/>
  <c r="F120" i="27"/>
  <c r="F121" i="27"/>
  <c r="F122" i="27"/>
  <c r="F123" i="27"/>
  <c r="F124" i="27"/>
  <c r="F125" i="27"/>
  <c r="F126" i="27"/>
  <c r="F127" i="27"/>
  <c r="F128" i="27"/>
  <c r="F129" i="27"/>
  <c r="F130" i="27"/>
  <c r="F131" i="27"/>
  <c r="F132" i="27"/>
  <c r="F133" i="27"/>
  <c r="F134" i="27"/>
  <c r="F135" i="27"/>
  <c r="F136" i="27"/>
  <c r="F137" i="27"/>
  <c r="F138" i="27"/>
  <c r="F139" i="27"/>
  <c r="F140" i="27"/>
  <c r="F141" i="27"/>
  <c r="F142" i="27"/>
  <c r="F143" i="27"/>
  <c r="F144" i="27"/>
  <c r="F145" i="27"/>
  <c r="F146" i="27"/>
  <c r="F147" i="27"/>
  <c r="F148" i="27"/>
  <c r="F149" i="27"/>
  <c r="F150" i="27"/>
  <c r="F151" i="27"/>
  <c r="F152" i="27"/>
  <c r="F153" i="27"/>
  <c r="F154" i="27"/>
  <c r="F155" i="27"/>
  <c r="F156" i="27"/>
  <c r="F157" i="27"/>
  <c r="F158" i="27"/>
  <c r="F159" i="27"/>
  <c r="F160" i="27"/>
  <c r="F161" i="27"/>
  <c r="F162" i="27"/>
  <c r="F163" i="27"/>
  <c r="F164" i="27"/>
  <c r="F165" i="27"/>
  <c r="F166" i="27"/>
  <c r="F167" i="27"/>
  <c r="F168" i="27"/>
  <c r="F169" i="27"/>
  <c r="F170" i="27"/>
  <c r="F171" i="27"/>
  <c r="F172" i="27"/>
  <c r="F173" i="27"/>
  <c r="F174" i="27"/>
  <c r="F175" i="27"/>
  <c r="F176" i="27"/>
  <c r="F177" i="27"/>
  <c r="F178" i="27"/>
  <c r="F179" i="27"/>
  <c r="F180" i="27"/>
  <c r="F181" i="27"/>
  <c r="F182" i="27"/>
  <c r="F183" i="27"/>
  <c r="F184" i="27"/>
  <c r="F185" i="27"/>
  <c r="F186" i="27"/>
  <c r="F187" i="27"/>
  <c r="F188" i="27"/>
  <c r="F189" i="27"/>
  <c r="F190" i="27"/>
  <c r="F191" i="27"/>
  <c r="F192" i="27"/>
  <c r="F193" i="27"/>
  <c r="F194" i="27"/>
  <c r="F195" i="27"/>
  <c r="F196" i="27"/>
  <c r="F197" i="27"/>
  <c r="F198" i="27"/>
  <c r="F199" i="27"/>
  <c r="F200" i="27"/>
  <c r="F201" i="27"/>
  <c r="F202" i="27"/>
  <c r="F203" i="27"/>
  <c r="F204" i="27"/>
  <c r="F205" i="27"/>
  <c r="F206" i="27"/>
  <c r="F207" i="27"/>
  <c r="F208" i="27"/>
  <c r="F209" i="27"/>
  <c r="F210" i="27"/>
  <c r="F211" i="27"/>
  <c r="F212" i="27"/>
  <c r="F213" i="27"/>
  <c r="F214" i="27"/>
  <c r="F215" i="27"/>
  <c r="F216" i="27"/>
  <c r="F217" i="27"/>
  <c r="F218" i="27"/>
  <c r="F219" i="27"/>
  <c r="F220" i="27"/>
  <c r="F221" i="27"/>
  <c r="F222" i="27"/>
  <c r="F223" i="27"/>
  <c r="F224" i="27"/>
  <c r="F225" i="27"/>
  <c r="F226" i="27"/>
  <c r="F227" i="27"/>
  <c r="F228" i="27"/>
  <c r="F229" i="27"/>
  <c r="F230" i="27"/>
  <c r="F231" i="27"/>
  <c r="F232" i="27"/>
  <c r="F233" i="27"/>
  <c r="F234" i="27"/>
  <c r="F235" i="27"/>
  <c r="F236" i="27"/>
  <c r="F237" i="27"/>
  <c r="F238" i="27"/>
  <c r="F239" i="27"/>
  <c r="F240" i="27"/>
  <c r="F241" i="27"/>
  <c r="F242" i="27"/>
  <c r="F243" i="27"/>
  <c r="F244" i="27"/>
  <c r="F245" i="27"/>
  <c r="F246" i="27"/>
  <c r="F247" i="27"/>
  <c r="F248" i="27"/>
  <c r="F249" i="27"/>
  <c r="F250" i="27"/>
  <c r="F251" i="27"/>
  <c r="F252" i="27"/>
  <c r="F253" i="27"/>
  <c r="F254" i="27"/>
  <c r="F255" i="27"/>
  <c r="F256" i="27"/>
  <c r="F257" i="27"/>
  <c r="F258" i="27"/>
  <c r="F259" i="27"/>
  <c r="F260" i="27"/>
  <c r="F261" i="27"/>
  <c r="F262" i="27"/>
  <c r="F263" i="27"/>
  <c r="F264" i="27"/>
  <c r="F265" i="27"/>
  <c r="F266" i="27"/>
  <c r="F267" i="27"/>
  <c r="F268" i="27"/>
  <c r="F269" i="27"/>
  <c r="F270" i="27"/>
  <c r="F271" i="27"/>
  <c r="F272" i="27"/>
  <c r="F273" i="27"/>
  <c r="F274" i="27"/>
  <c r="F275" i="27"/>
  <c r="F276" i="27"/>
  <c r="F277" i="27"/>
  <c r="F278" i="27"/>
  <c r="F279" i="27"/>
  <c r="F280" i="27"/>
  <c r="F281" i="27"/>
  <c r="F282" i="27"/>
  <c r="F283" i="27"/>
  <c r="F284" i="27"/>
  <c r="F285" i="27"/>
  <c r="F286" i="27"/>
  <c r="F287" i="27"/>
  <c r="F288" i="27"/>
  <c r="F289" i="27"/>
  <c r="F290" i="27"/>
  <c r="F291" i="27"/>
  <c r="F292" i="27"/>
  <c r="F293" i="27"/>
  <c r="F294" i="27"/>
  <c r="F295" i="27"/>
  <c r="F296" i="27"/>
  <c r="F297" i="27"/>
  <c r="F298" i="27"/>
  <c r="F299" i="27"/>
  <c r="F300" i="27"/>
  <c r="F301" i="27"/>
  <c r="F302" i="27"/>
  <c r="F303" i="27"/>
  <c r="F304" i="27"/>
  <c r="F305" i="27"/>
  <c r="F306" i="27"/>
  <c r="F307" i="27"/>
  <c r="F308" i="27"/>
  <c r="F309" i="27"/>
  <c r="F310" i="27"/>
  <c r="F311" i="27"/>
  <c r="F312" i="27"/>
  <c r="F313" i="27"/>
  <c r="F314" i="27"/>
  <c r="F315" i="27"/>
  <c r="F316" i="27"/>
  <c r="F317" i="27"/>
  <c r="F318" i="27"/>
  <c r="F319" i="27"/>
  <c r="F320" i="27"/>
  <c r="F321" i="27"/>
  <c r="F322" i="27"/>
  <c r="F323" i="27"/>
  <c r="F324" i="27"/>
  <c r="F325" i="27"/>
  <c r="F326" i="27"/>
  <c r="F327" i="27"/>
  <c r="F328" i="27"/>
  <c r="F329" i="27"/>
  <c r="F330" i="27"/>
  <c r="F331" i="27"/>
  <c r="F332" i="27"/>
  <c r="F333" i="27"/>
  <c r="F334" i="27"/>
  <c r="F335" i="27"/>
  <c r="F336" i="27"/>
  <c r="F337" i="27"/>
  <c r="F338" i="27"/>
  <c r="F339" i="27"/>
  <c r="F340" i="27"/>
  <c r="F341" i="27"/>
  <c r="F342" i="27"/>
  <c r="F343" i="27"/>
  <c r="F344" i="27"/>
  <c r="F345" i="27"/>
  <c r="F346" i="27"/>
  <c r="F347" i="27"/>
  <c r="F348" i="27"/>
  <c r="F349" i="27"/>
  <c r="F350" i="27"/>
  <c r="F351" i="27"/>
  <c r="F352" i="27"/>
  <c r="F353" i="27"/>
  <c r="F354" i="27"/>
  <c r="F355" i="27"/>
  <c r="F356" i="27"/>
  <c r="F357" i="27"/>
  <c r="F358" i="27"/>
  <c r="F359" i="27"/>
  <c r="F360" i="27"/>
  <c r="F361" i="27"/>
  <c r="F362" i="27"/>
  <c r="F363" i="27"/>
  <c r="F364" i="27"/>
  <c r="F365" i="27"/>
  <c r="F366" i="27"/>
  <c r="F367" i="27"/>
  <c r="F368" i="27"/>
  <c r="F369" i="27"/>
  <c r="F370" i="27"/>
  <c r="F371" i="27"/>
  <c r="F372" i="27"/>
  <c r="F373" i="27"/>
  <c r="F374" i="27"/>
  <c r="F375" i="27"/>
  <c r="F376" i="27"/>
  <c r="F377" i="27"/>
  <c r="F378" i="27"/>
  <c r="F379" i="27"/>
  <c r="F380" i="27"/>
  <c r="F381" i="27"/>
  <c r="F382" i="27"/>
  <c r="F383" i="27"/>
  <c r="F384" i="27"/>
  <c r="F385" i="27"/>
  <c r="F386" i="27"/>
  <c r="F387" i="27"/>
  <c r="F388" i="27"/>
  <c r="F389" i="27"/>
  <c r="F390" i="27"/>
  <c r="F391" i="27"/>
  <c r="F392" i="27"/>
  <c r="F393" i="27"/>
  <c r="F394" i="27"/>
  <c r="F395" i="27"/>
  <c r="F396" i="27"/>
  <c r="F397" i="27"/>
  <c r="F398" i="27"/>
  <c r="F399" i="27"/>
  <c r="F400" i="27"/>
  <c r="F401" i="27"/>
  <c r="F402" i="27"/>
  <c r="F403" i="27"/>
  <c r="F404" i="27"/>
  <c r="F405" i="27"/>
  <c r="F406" i="27"/>
  <c r="F407" i="27"/>
  <c r="F408" i="27"/>
  <c r="F409" i="27"/>
  <c r="F410" i="27"/>
  <c r="F411" i="27"/>
  <c r="F412" i="27"/>
  <c r="F413" i="27"/>
  <c r="F414" i="27"/>
  <c r="F415" i="27"/>
  <c r="F416" i="27"/>
  <c r="F417" i="27"/>
  <c r="F418" i="27"/>
  <c r="F419" i="27"/>
  <c r="F420" i="27"/>
  <c r="F421" i="27"/>
  <c r="F422" i="27"/>
  <c r="F423" i="27"/>
  <c r="F424" i="27"/>
  <c r="F425" i="27"/>
  <c r="F426" i="27"/>
  <c r="F427" i="27"/>
  <c r="F428" i="27"/>
  <c r="F429" i="27"/>
  <c r="F430" i="27"/>
  <c r="F431" i="27"/>
  <c r="F432" i="27"/>
  <c r="F433" i="27"/>
  <c r="F434" i="27"/>
  <c r="F435" i="27"/>
  <c r="F436" i="27"/>
  <c r="F437" i="27"/>
  <c r="F438" i="27"/>
  <c r="F439" i="27"/>
  <c r="F440" i="27"/>
  <c r="F441" i="27"/>
  <c r="F442" i="27"/>
  <c r="F443" i="27"/>
  <c r="F444" i="27"/>
  <c r="F445" i="27"/>
  <c r="F446" i="27"/>
  <c r="F447" i="27"/>
  <c r="F448" i="27"/>
  <c r="F449" i="27"/>
  <c r="F450" i="27"/>
  <c r="F451" i="27"/>
  <c r="F452" i="27"/>
  <c r="F453" i="27"/>
  <c r="F454" i="27"/>
  <c r="F455" i="27"/>
  <c r="F456" i="27"/>
  <c r="F457" i="27"/>
  <c r="F458" i="27"/>
  <c r="F459" i="27"/>
  <c r="F460" i="27"/>
  <c r="F461" i="27"/>
  <c r="F462" i="27"/>
  <c r="F463" i="27"/>
  <c r="F464" i="27"/>
  <c r="F465" i="27"/>
  <c r="F466" i="27"/>
  <c r="F467" i="27"/>
  <c r="F468" i="27"/>
  <c r="F469" i="27"/>
  <c r="F470" i="27"/>
  <c r="F471" i="27"/>
  <c r="F472" i="27"/>
  <c r="F473" i="27"/>
  <c r="F474" i="27"/>
  <c r="F475" i="27"/>
  <c r="F476" i="27"/>
  <c r="F477" i="27"/>
  <c r="F478" i="27"/>
  <c r="F479" i="27"/>
  <c r="F480" i="27"/>
  <c r="F481" i="27"/>
  <c r="F482" i="27"/>
  <c r="F483" i="27"/>
  <c r="F484" i="27"/>
  <c r="F485" i="27"/>
  <c r="F486" i="27"/>
  <c r="F487" i="27"/>
  <c r="F488" i="27"/>
  <c r="F489" i="27"/>
  <c r="F490" i="27"/>
  <c r="F491" i="27"/>
  <c r="F492" i="27"/>
  <c r="F493" i="27"/>
  <c r="F494" i="27"/>
  <c r="F495" i="27"/>
  <c r="F496" i="27"/>
  <c r="F497" i="27"/>
  <c r="F498" i="27"/>
  <c r="F499" i="27"/>
  <c r="F500" i="27"/>
  <c r="F501" i="27"/>
  <c r="F2" i="27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H201" i="27"/>
  <c r="H202" i="27"/>
  <c r="H203" i="27"/>
  <c r="H204" i="27"/>
  <c r="H205" i="27"/>
  <c r="H206" i="27"/>
  <c r="H207" i="27"/>
  <c r="H208" i="27"/>
  <c r="H209" i="27"/>
  <c r="H210" i="27"/>
  <c r="H211" i="27"/>
  <c r="H212" i="27"/>
  <c r="H213" i="27"/>
  <c r="H214" i="27"/>
  <c r="H215" i="27"/>
  <c r="H216" i="27"/>
  <c r="H217" i="27"/>
  <c r="H218" i="27"/>
  <c r="H219" i="27"/>
  <c r="H220" i="27"/>
  <c r="H221" i="27"/>
  <c r="H222" i="27"/>
  <c r="H223" i="27"/>
  <c r="H224" i="27"/>
  <c r="H225" i="27"/>
  <c r="H226" i="27"/>
  <c r="H227" i="27"/>
  <c r="H228" i="27"/>
  <c r="H229" i="27"/>
  <c r="H230" i="27"/>
  <c r="H231" i="27"/>
  <c r="H232" i="27"/>
  <c r="H233" i="27"/>
  <c r="H234" i="27"/>
  <c r="H235" i="27"/>
  <c r="H236" i="27"/>
  <c r="H237" i="27"/>
  <c r="H238" i="27"/>
  <c r="H239" i="27"/>
  <c r="H240" i="27"/>
  <c r="H241" i="27"/>
  <c r="H242" i="27"/>
  <c r="H243" i="27"/>
  <c r="H244" i="27"/>
  <c r="H245" i="27"/>
  <c r="H246" i="27"/>
  <c r="H247" i="27"/>
  <c r="H248" i="27"/>
  <c r="H249" i="27"/>
  <c r="H250" i="27"/>
  <c r="H251" i="27"/>
  <c r="H252" i="27"/>
  <c r="H253" i="27"/>
  <c r="H254" i="27"/>
  <c r="H255" i="27"/>
  <c r="H256" i="27"/>
  <c r="H257" i="27"/>
  <c r="H258" i="27"/>
  <c r="H259" i="27"/>
  <c r="H260" i="27"/>
  <c r="H261" i="27"/>
  <c r="H262" i="27"/>
  <c r="H263" i="27"/>
  <c r="H264" i="27"/>
  <c r="H265" i="27"/>
  <c r="H266" i="27"/>
  <c r="H267" i="27"/>
  <c r="H268" i="27"/>
  <c r="H269" i="27"/>
  <c r="H270" i="27"/>
  <c r="H271" i="27"/>
  <c r="H272" i="27"/>
  <c r="H273" i="27"/>
  <c r="H274" i="27"/>
  <c r="H275" i="27"/>
  <c r="H276" i="27"/>
  <c r="H277" i="27"/>
  <c r="H278" i="27"/>
  <c r="H279" i="27"/>
  <c r="H280" i="27"/>
  <c r="H281" i="27"/>
  <c r="H282" i="27"/>
  <c r="H283" i="27"/>
  <c r="H284" i="27"/>
  <c r="H285" i="27"/>
  <c r="H286" i="27"/>
  <c r="H287" i="27"/>
  <c r="H288" i="27"/>
  <c r="H289" i="27"/>
  <c r="H290" i="27"/>
  <c r="H291" i="27"/>
  <c r="H292" i="27"/>
  <c r="H293" i="27"/>
  <c r="H294" i="27"/>
  <c r="H295" i="27"/>
  <c r="H296" i="27"/>
  <c r="H297" i="27"/>
  <c r="H298" i="27"/>
  <c r="H299" i="27"/>
  <c r="H300" i="27"/>
  <c r="H301" i="27"/>
  <c r="H302" i="27"/>
  <c r="H303" i="27"/>
  <c r="H304" i="27"/>
  <c r="H305" i="27"/>
  <c r="H306" i="27"/>
  <c r="H307" i="27"/>
  <c r="H308" i="27"/>
  <c r="H309" i="27"/>
  <c r="H310" i="27"/>
  <c r="H311" i="27"/>
  <c r="H312" i="27"/>
  <c r="H313" i="27"/>
  <c r="H314" i="27"/>
  <c r="H315" i="27"/>
  <c r="H316" i="27"/>
  <c r="H317" i="27"/>
  <c r="H318" i="27"/>
  <c r="H319" i="27"/>
  <c r="H320" i="27"/>
  <c r="H321" i="27"/>
  <c r="H322" i="27"/>
  <c r="H323" i="27"/>
  <c r="H324" i="27"/>
  <c r="H325" i="27"/>
  <c r="H326" i="27"/>
  <c r="H327" i="27"/>
  <c r="H328" i="27"/>
  <c r="H329" i="27"/>
  <c r="H330" i="27"/>
  <c r="H331" i="27"/>
  <c r="H332" i="27"/>
  <c r="H333" i="27"/>
  <c r="H334" i="27"/>
  <c r="H335" i="27"/>
  <c r="H336" i="27"/>
  <c r="H337" i="27"/>
  <c r="H338" i="27"/>
  <c r="H339" i="27"/>
  <c r="H340" i="27"/>
  <c r="H341" i="27"/>
  <c r="H342" i="27"/>
  <c r="H343" i="27"/>
  <c r="H344" i="27"/>
  <c r="H345" i="27"/>
  <c r="H346" i="27"/>
  <c r="H347" i="27"/>
  <c r="H348" i="27"/>
  <c r="H349" i="27"/>
  <c r="H350" i="27"/>
  <c r="H351" i="27"/>
  <c r="H352" i="27"/>
  <c r="H353" i="27"/>
  <c r="H354" i="27"/>
  <c r="H355" i="27"/>
  <c r="H356" i="27"/>
  <c r="H357" i="27"/>
  <c r="H358" i="27"/>
  <c r="H359" i="27"/>
  <c r="H360" i="27"/>
  <c r="H361" i="27"/>
  <c r="H362" i="27"/>
  <c r="H363" i="27"/>
  <c r="H364" i="27"/>
  <c r="H365" i="27"/>
  <c r="H366" i="27"/>
  <c r="H367" i="27"/>
  <c r="H368" i="27"/>
  <c r="H369" i="27"/>
  <c r="H370" i="27"/>
  <c r="H371" i="27"/>
  <c r="H372" i="27"/>
  <c r="H373" i="27"/>
  <c r="H374" i="27"/>
  <c r="H375" i="27"/>
  <c r="H376" i="27"/>
  <c r="H377" i="27"/>
  <c r="H378" i="27"/>
  <c r="H379" i="27"/>
  <c r="H380" i="27"/>
  <c r="H381" i="27"/>
  <c r="H382" i="27"/>
  <c r="H383" i="27"/>
  <c r="H384" i="27"/>
  <c r="H385" i="27"/>
  <c r="H386" i="27"/>
  <c r="H387" i="27"/>
  <c r="H388" i="27"/>
  <c r="H389" i="27"/>
  <c r="H390" i="27"/>
  <c r="H391" i="27"/>
  <c r="H392" i="27"/>
  <c r="H393" i="27"/>
  <c r="H394" i="27"/>
  <c r="H395" i="27"/>
  <c r="H396" i="27"/>
  <c r="H397" i="27"/>
  <c r="H398" i="27"/>
  <c r="H399" i="27"/>
  <c r="H400" i="27"/>
  <c r="H401" i="27"/>
  <c r="H402" i="27"/>
  <c r="H403" i="27"/>
  <c r="H404" i="27"/>
  <c r="H405" i="27"/>
  <c r="H406" i="27"/>
  <c r="H407" i="27"/>
  <c r="H408" i="27"/>
  <c r="H409" i="27"/>
  <c r="H410" i="27"/>
  <c r="H411" i="27"/>
  <c r="H412" i="27"/>
  <c r="H413" i="27"/>
  <c r="H414" i="27"/>
  <c r="H415" i="27"/>
  <c r="H416" i="27"/>
  <c r="H417" i="27"/>
  <c r="H418" i="27"/>
  <c r="H419" i="27"/>
  <c r="H420" i="27"/>
  <c r="H421" i="27"/>
  <c r="H422" i="27"/>
  <c r="H423" i="27"/>
  <c r="H424" i="27"/>
  <c r="H425" i="27"/>
  <c r="H426" i="27"/>
  <c r="H427" i="27"/>
  <c r="H428" i="27"/>
  <c r="H429" i="27"/>
  <c r="H430" i="27"/>
  <c r="H431" i="27"/>
  <c r="H432" i="27"/>
  <c r="H433" i="27"/>
  <c r="H434" i="27"/>
  <c r="H435" i="27"/>
  <c r="H436" i="27"/>
  <c r="H437" i="27"/>
  <c r="H438" i="27"/>
  <c r="H439" i="27"/>
  <c r="H440" i="27"/>
  <c r="H441" i="27"/>
  <c r="H442" i="27"/>
  <c r="H443" i="27"/>
  <c r="H444" i="27"/>
  <c r="H445" i="27"/>
  <c r="H446" i="27"/>
  <c r="H447" i="27"/>
  <c r="H448" i="27"/>
  <c r="H449" i="27"/>
  <c r="H450" i="27"/>
  <c r="H451" i="27"/>
  <c r="H452" i="27"/>
  <c r="H453" i="27"/>
  <c r="H454" i="27"/>
  <c r="H455" i="27"/>
  <c r="H456" i="27"/>
  <c r="H457" i="27"/>
  <c r="H458" i="27"/>
  <c r="H459" i="27"/>
  <c r="H460" i="27"/>
  <c r="H461" i="27"/>
  <c r="H462" i="27"/>
  <c r="H463" i="27"/>
  <c r="H464" i="27"/>
  <c r="H465" i="27"/>
  <c r="H466" i="27"/>
  <c r="H467" i="27"/>
  <c r="H468" i="27"/>
  <c r="H469" i="27"/>
  <c r="H470" i="27"/>
  <c r="H471" i="27"/>
  <c r="H472" i="27"/>
  <c r="H473" i="27"/>
  <c r="H474" i="27"/>
  <c r="H475" i="27"/>
  <c r="H476" i="27"/>
  <c r="H477" i="27"/>
  <c r="H478" i="27"/>
  <c r="H479" i="27"/>
  <c r="H480" i="27"/>
  <c r="H481" i="27"/>
  <c r="H482" i="27"/>
  <c r="H483" i="27"/>
  <c r="H484" i="27"/>
  <c r="H485" i="27"/>
  <c r="H486" i="27"/>
  <c r="H487" i="27"/>
  <c r="H488" i="27"/>
  <c r="H489" i="27"/>
  <c r="H490" i="27"/>
  <c r="H491" i="27"/>
  <c r="H492" i="27"/>
  <c r="H493" i="27"/>
  <c r="H494" i="27"/>
  <c r="H495" i="27"/>
  <c r="H496" i="27"/>
  <c r="H497" i="27"/>
  <c r="H498" i="27"/>
  <c r="H499" i="27"/>
  <c r="H500" i="27"/>
  <c r="H501" i="27"/>
  <c r="H2" i="27"/>
  <c r="E3" i="27"/>
  <c r="E4" i="27"/>
  <c r="E5" i="27"/>
  <c r="E6" i="27"/>
  <c r="E7" i="27"/>
  <c r="E8" i="27"/>
  <c r="E9" i="27"/>
  <c r="E10" i="27"/>
  <c r="E11" i="27"/>
  <c r="E12" i="27"/>
  <c r="E13" i="27"/>
  <c r="E14" i="27"/>
  <c r="E15" i="27"/>
  <c r="E16" i="27"/>
  <c r="E17" i="27"/>
  <c r="E18" i="27"/>
  <c r="E19" i="27"/>
  <c r="E20" i="27"/>
  <c r="E21" i="27"/>
  <c r="E22" i="27"/>
  <c r="E23" i="27"/>
  <c r="E24" i="27"/>
  <c r="E25" i="27"/>
  <c r="E26" i="27"/>
  <c r="E27" i="27"/>
  <c r="E28" i="27"/>
  <c r="E29" i="27"/>
  <c r="E30" i="27"/>
  <c r="E31" i="27"/>
  <c r="E32" i="27"/>
  <c r="E33" i="27"/>
  <c r="E34" i="27"/>
  <c r="E35" i="27"/>
  <c r="E36" i="27"/>
  <c r="E37" i="27"/>
  <c r="E38" i="27"/>
  <c r="E39" i="27"/>
  <c r="E40" i="27"/>
  <c r="E41" i="27"/>
  <c r="E42" i="27"/>
  <c r="E43" i="27"/>
  <c r="E44" i="27"/>
  <c r="E45" i="27"/>
  <c r="E46" i="27"/>
  <c r="E47" i="27"/>
  <c r="E48" i="27"/>
  <c r="E49" i="27"/>
  <c r="E50" i="27"/>
  <c r="E51" i="27"/>
  <c r="E52" i="27"/>
  <c r="E53" i="27"/>
  <c r="E54" i="27"/>
  <c r="E55" i="27"/>
  <c r="E56" i="27"/>
  <c r="E57" i="27"/>
  <c r="E58" i="27"/>
  <c r="E59" i="27"/>
  <c r="E60" i="27"/>
  <c r="E61" i="27"/>
  <c r="E62" i="27"/>
  <c r="E63" i="27"/>
  <c r="E64" i="27"/>
  <c r="E65" i="27"/>
  <c r="E66" i="27"/>
  <c r="E67" i="27"/>
  <c r="E68" i="27"/>
  <c r="E69" i="27"/>
  <c r="E70" i="27"/>
  <c r="E71" i="27"/>
  <c r="E72" i="27"/>
  <c r="E73" i="27"/>
  <c r="E74" i="27"/>
  <c r="E75" i="27"/>
  <c r="E76" i="27"/>
  <c r="E77" i="27"/>
  <c r="E78" i="27"/>
  <c r="E79" i="27"/>
  <c r="E80" i="27"/>
  <c r="E81" i="27"/>
  <c r="E82" i="27"/>
  <c r="E83" i="27"/>
  <c r="E84" i="27"/>
  <c r="E85" i="27"/>
  <c r="E86" i="27"/>
  <c r="E87" i="27"/>
  <c r="E88" i="27"/>
  <c r="E89" i="27"/>
  <c r="E90" i="27"/>
  <c r="E91" i="27"/>
  <c r="E92" i="27"/>
  <c r="E93" i="27"/>
  <c r="E94" i="27"/>
  <c r="E95" i="27"/>
  <c r="E96" i="27"/>
  <c r="E97" i="27"/>
  <c r="E98" i="27"/>
  <c r="E99" i="27"/>
  <c r="E100" i="27"/>
  <c r="E101" i="27"/>
  <c r="E102" i="27"/>
  <c r="E103" i="27"/>
  <c r="E104" i="27"/>
  <c r="E105" i="27"/>
  <c r="E106" i="27"/>
  <c r="E107" i="27"/>
  <c r="E108" i="27"/>
  <c r="E109" i="27"/>
  <c r="E110" i="27"/>
  <c r="E111" i="27"/>
  <c r="E112" i="27"/>
  <c r="E113" i="27"/>
  <c r="E114" i="27"/>
  <c r="E115" i="27"/>
  <c r="E116" i="27"/>
  <c r="E117" i="27"/>
  <c r="E118" i="27"/>
  <c r="E119" i="27"/>
  <c r="E120" i="27"/>
  <c r="E121" i="27"/>
  <c r="E122" i="27"/>
  <c r="E123" i="27"/>
  <c r="E124" i="27"/>
  <c r="E125" i="27"/>
  <c r="E126" i="27"/>
  <c r="E127" i="27"/>
  <c r="E128" i="27"/>
  <c r="E129" i="27"/>
  <c r="E130" i="27"/>
  <c r="E131" i="27"/>
  <c r="E132" i="27"/>
  <c r="E133" i="27"/>
  <c r="E134" i="27"/>
  <c r="E135" i="27"/>
  <c r="E136" i="27"/>
  <c r="E137" i="27"/>
  <c r="E138" i="27"/>
  <c r="E139" i="27"/>
  <c r="E140" i="27"/>
  <c r="E141" i="27"/>
  <c r="E142" i="27"/>
  <c r="E143" i="27"/>
  <c r="E144" i="27"/>
  <c r="E145" i="27"/>
  <c r="E146" i="27"/>
  <c r="E147" i="27"/>
  <c r="E148" i="27"/>
  <c r="E149" i="27"/>
  <c r="E150" i="27"/>
  <c r="E151" i="27"/>
  <c r="E152" i="27"/>
  <c r="E153" i="27"/>
  <c r="E154" i="27"/>
  <c r="E155" i="27"/>
  <c r="E156" i="27"/>
  <c r="E157" i="27"/>
  <c r="E158" i="27"/>
  <c r="E159" i="27"/>
  <c r="E160" i="27"/>
  <c r="E161" i="27"/>
  <c r="E162" i="27"/>
  <c r="E163" i="27"/>
  <c r="E164" i="27"/>
  <c r="E165" i="27"/>
  <c r="E166" i="27"/>
  <c r="E167" i="27"/>
  <c r="E168" i="27"/>
  <c r="E169" i="27"/>
  <c r="E170" i="27"/>
  <c r="E171" i="27"/>
  <c r="E172" i="27"/>
  <c r="E173" i="27"/>
  <c r="E174" i="27"/>
  <c r="E175" i="27"/>
  <c r="E176" i="27"/>
  <c r="E177" i="27"/>
  <c r="E178" i="27"/>
  <c r="E179" i="27"/>
  <c r="E180" i="27"/>
  <c r="E181" i="27"/>
  <c r="E182" i="27"/>
  <c r="E183" i="27"/>
  <c r="E184" i="27"/>
  <c r="E185" i="27"/>
  <c r="E186" i="27"/>
  <c r="E187" i="27"/>
  <c r="E188" i="27"/>
  <c r="E189" i="27"/>
  <c r="E190" i="27"/>
  <c r="E191" i="27"/>
  <c r="E192" i="27"/>
  <c r="E193" i="27"/>
  <c r="E194" i="27"/>
  <c r="E195" i="27"/>
  <c r="E196" i="27"/>
  <c r="E197" i="27"/>
  <c r="E198" i="27"/>
  <c r="E199" i="27"/>
  <c r="E200" i="27"/>
  <c r="E201" i="27"/>
  <c r="E202" i="27"/>
  <c r="E203" i="27"/>
  <c r="E204" i="27"/>
  <c r="E205" i="27"/>
  <c r="E206" i="27"/>
  <c r="E207" i="27"/>
  <c r="E208" i="27"/>
  <c r="E209" i="27"/>
  <c r="E210" i="27"/>
  <c r="E211" i="27"/>
  <c r="E212" i="27"/>
  <c r="E213" i="27"/>
  <c r="E214" i="27"/>
  <c r="E215" i="27"/>
  <c r="E216" i="27"/>
  <c r="E217" i="27"/>
  <c r="E218" i="27"/>
  <c r="E219" i="27"/>
  <c r="E220" i="27"/>
  <c r="E221" i="27"/>
  <c r="E222" i="27"/>
  <c r="E223" i="27"/>
  <c r="E224" i="27"/>
  <c r="E225" i="27"/>
  <c r="E226" i="27"/>
  <c r="E227" i="27"/>
  <c r="E228" i="27"/>
  <c r="E229" i="27"/>
  <c r="E230" i="27"/>
  <c r="E231" i="27"/>
  <c r="E232" i="27"/>
  <c r="E233" i="27"/>
  <c r="E234" i="27"/>
  <c r="E235" i="27"/>
  <c r="E236" i="27"/>
  <c r="E237" i="27"/>
  <c r="E238" i="27"/>
  <c r="E239" i="27"/>
  <c r="E240" i="27"/>
  <c r="E241" i="27"/>
  <c r="E242" i="27"/>
  <c r="E243" i="27"/>
  <c r="E244" i="27"/>
  <c r="E245" i="27"/>
  <c r="E246" i="27"/>
  <c r="E247" i="27"/>
  <c r="E248" i="27"/>
  <c r="E249" i="27"/>
  <c r="E250" i="27"/>
  <c r="E251" i="27"/>
  <c r="E252" i="27"/>
  <c r="E253" i="27"/>
  <c r="E254" i="27"/>
  <c r="E255" i="27"/>
  <c r="E256" i="27"/>
  <c r="E257" i="27"/>
  <c r="E258" i="27"/>
  <c r="E259" i="27"/>
  <c r="E260" i="27"/>
  <c r="E261" i="27"/>
  <c r="E262" i="27"/>
  <c r="E263" i="27"/>
  <c r="E264" i="27"/>
  <c r="E265" i="27"/>
  <c r="E266" i="27"/>
  <c r="E267" i="27"/>
  <c r="E268" i="27"/>
  <c r="E269" i="27"/>
  <c r="E270" i="27"/>
  <c r="E271" i="27"/>
  <c r="E272" i="27"/>
  <c r="E273" i="27"/>
  <c r="E274" i="27"/>
  <c r="E275" i="27"/>
  <c r="E276" i="27"/>
  <c r="E277" i="27"/>
  <c r="E278" i="27"/>
  <c r="E279" i="27"/>
  <c r="E280" i="27"/>
  <c r="E281" i="27"/>
  <c r="E282" i="27"/>
  <c r="E283" i="27"/>
  <c r="E284" i="27"/>
  <c r="E285" i="27"/>
  <c r="E286" i="27"/>
  <c r="E287" i="27"/>
  <c r="E288" i="27"/>
  <c r="E289" i="27"/>
  <c r="E290" i="27"/>
  <c r="E291" i="27"/>
  <c r="E292" i="27"/>
  <c r="E293" i="27"/>
  <c r="E294" i="27"/>
  <c r="E295" i="27"/>
  <c r="E296" i="27"/>
  <c r="E297" i="27"/>
  <c r="E298" i="27"/>
  <c r="E299" i="27"/>
  <c r="E300" i="27"/>
  <c r="E301" i="27"/>
  <c r="E302" i="27"/>
  <c r="E303" i="27"/>
  <c r="E304" i="27"/>
  <c r="E305" i="27"/>
  <c r="E306" i="27"/>
  <c r="E307" i="27"/>
  <c r="E308" i="27"/>
  <c r="E309" i="27"/>
  <c r="E310" i="27"/>
  <c r="E311" i="27"/>
  <c r="E312" i="27"/>
  <c r="E313" i="27"/>
  <c r="E314" i="27"/>
  <c r="E315" i="27"/>
  <c r="E316" i="27"/>
  <c r="E317" i="27"/>
  <c r="E318" i="27"/>
  <c r="E319" i="27"/>
  <c r="E320" i="27"/>
  <c r="E321" i="27"/>
  <c r="E322" i="27"/>
  <c r="E323" i="27"/>
  <c r="E324" i="27"/>
  <c r="E325" i="27"/>
  <c r="E326" i="27"/>
  <c r="E327" i="27"/>
  <c r="E328" i="27"/>
  <c r="E329" i="27"/>
  <c r="E330" i="27"/>
  <c r="E331" i="27"/>
  <c r="E332" i="27"/>
  <c r="E333" i="27"/>
  <c r="E334" i="27"/>
  <c r="E335" i="27"/>
  <c r="E336" i="27"/>
  <c r="E337" i="27"/>
  <c r="E338" i="27"/>
  <c r="E339" i="27"/>
  <c r="E340" i="27"/>
  <c r="E341" i="27"/>
  <c r="E342" i="27"/>
  <c r="E343" i="27"/>
  <c r="E344" i="27"/>
  <c r="E345" i="27"/>
  <c r="E346" i="27"/>
  <c r="E347" i="27"/>
  <c r="E348" i="27"/>
  <c r="E349" i="27"/>
  <c r="E350" i="27"/>
  <c r="E351" i="27"/>
  <c r="E352" i="27"/>
  <c r="E353" i="27"/>
  <c r="E354" i="27"/>
  <c r="E355" i="27"/>
  <c r="E356" i="27"/>
  <c r="E357" i="27"/>
  <c r="E358" i="27"/>
  <c r="E359" i="27"/>
  <c r="E360" i="27"/>
  <c r="E361" i="27"/>
  <c r="E362" i="27"/>
  <c r="E363" i="27"/>
  <c r="E364" i="27"/>
  <c r="E365" i="27"/>
  <c r="E366" i="27"/>
  <c r="E367" i="27"/>
  <c r="E368" i="27"/>
  <c r="E369" i="27"/>
  <c r="E370" i="27"/>
  <c r="E371" i="27"/>
  <c r="E372" i="27"/>
  <c r="E373" i="27"/>
  <c r="E374" i="27"/>
  <c r="E375" i="27"/>
  <c r="E376" i="27"/>
  <c r="E377" i="27"/>
  <c r="E378" i="27"/>
  <c r="E379" i="27"/>
  <c r="E380" i="27"/>
  <c r="E381" i="27"/>
  <c r="E382" i="27"/>
  <c r="E383" i="27"/>
  <c r="E384" i="27"/>
  <c r="E385" i="27"/>
  <c r="E386" i="27"/>
  <c r="E387" i="27"/>
  <c r="E388" i="27"/>
  <c r="E389" i="27"/>
  <c r="E390" i="27"/>
  <c r="E391" i="27"/>
  <c r="E392" i="27"/>
  <c r="E393" i="27"/>
  <c r="E394" i="27"/>
  <c r="E395" i="27"/>
  <c r="E396" i="27"/>
  <c r="E397" i="27"/>
  <c r="E398" i="27"/>
  <c r="E399" i="27"/>
  <c r="E400" i="27"/>
  <c r="E401" i="27"/>
  <c r="E402" i="27"/>
  <c r="E403" i="27"/>
  <c r="E404" i="27"/>
  <c r="E405" i="27"/>
  <c r="E406" i="27"/>
  <c r="E407" i="27"/>
  <c r="E408" i="27"/>
  <c r="E409" i="27"/>
  <c r="E410" i="27"/>
  <c r="E411" i="27"/>
  <c r="E412" i="27"/>
  <c r="E413" i="27"/>
  <c r="E414" i="27"/>
  <c r="E415" i="27"/>
  <c r="E416" i="27"/>
  <c r="E417" i="27"/>
  <c r="E418" i="27"/>
  <c r="E419" i="27"/>
  <c r="E420" i="27"/>
  <c r="E421" i="27"/>
  <c r="E422" i="27"/>
  <c r="E423" i="27"/>
  <c r="E424" i="27"/>
  <c r="E425" i="27"/>
  <c r="E426" i="27"/>
  <c r="E427" i="27"/>
  <c r="E428" i="27"/>
  <c r="E429" i="27"/>
  <c r="E430" i="27"/>
  <c r="E431" i="27"/>
  <c r="E432" i="27"/>
  <c r="E433" i="27"/>
  <c r="E434" i="27"/>
  <c r="E435" i="27"/>
  <c r="E436" i="27"/>
  <c r="E437" i="27"/>
  <c r="E438" i="27"/>
  <c r="E439" i="27"/>
  <c r="E440" i="27"/>
  <c r="E441" i="27"/>
  <c r="E442" i="27"/>
  <c r="E443" i="27"/>
  <c r="E444" i="27"/>
  <c r="E445" i="27"/>
  <c r="E446" i="27"/>
  <c r="E447" i="27"/>
  <c r="E448" i="27"/>
  <c r="E449" i="27"/>
  <c r="E450" i="27"/>
  <c r="E451" i="27"/>
  <c r="E452" i="27"/>
  <c r="E453" i="27"/>
  <c r="E454" i="27"/>
  <c r="E455" i="27"/>
  <c r="E456" i="27"/>
  <c r="E457" i="27"/>
  <c r="E458" i="27"/>
  <c r="E459" i="27"/>
  <c r="E460" i="27"/>
  <c r="E461" i="27"/>
  <c r="E462" i="27"/>
  <c r="E463" i="27"/>
  <c r="E464" i="27"/>
  <c r="E465" i="27"/>
  <c r="E466" i="27"/>
  <c r="E467" i="27"/>
  <c r="E468" i="27"/>
  <c r="E469" i="27"/>
  <c r="E470" i="27"/>
  <c r="E471" i="27"/>
  <c r="E472" i="27"/>
  <c r="E473" i="27"/>
  <c r="E474" i="27"/>
  <c r="E475" i="27"/>
  <c r="E476" i="27"/>
  <c r="E477" i="27"/>
  <c r="E478" i="27"/>
  <c r="E479" i="27"/>
  <c r="E480" i="27"/>
  <c r="E481" i="27"/>
  <c r="E482" i="27"/>
  <c r="E483" i="27"/>
  <c r="E484" i="27"/>
  <c r="E485" i="27"/>
  <c r="E486" i="27"/>
  <c r="E487" i="27"/>
  <c r="E488" i="27"/>
  <c r="E489" i="27"/>
  <c r="E490" i="27"/>
  <c r="E491" i="27"/>
  <c r="E492" i="27"/>
  <c r="E493" i="27"/>
  <c r="E494" i="27"/>
  <c r="E495" i="27"/>
  <c r="E496" i="27"/>
  <c r="E497" i="27"/>
  <c r="E498" i="27"/>
  <c r="E499" i="27"/>
  <c r="E500" i="27"/>
  <c r="E501" i="27"/>
  <c r="E2" i="27"/>
  <c r="B3" i="27"/>
  <c r="B4" i="27"/>
  <c r="B5" i="27"/>
  <c r="B6" i="27"/>
  <c r="B7" i="27"/>
  <c r="B8" i="27"/>
  <c r="B9" i="27"/>
  <c r="B10" i="27"/>
  <c r="B11" i="27"/>
  <c r="B12" i="27"/>
  <c r="B13" i="27"/>
  <c r="B14" i="27"/>
  <c r="B15" i="27"/>
  <c r="B16" i="27"/>
  <c r="B17" i="27"/>
  <c r="B18" i="27"/>
  <c r="B19" i="27"/>
  <c r="B20" i="27"/>
  <c r="B21" i="27"/>
  <c r="B22" i="27"/>
  <c r="B23" i="27"/>
  <c r="B24" i="27"/>
  <c r="B25" i="27"/>
  <c r="B26" i="27"/>
  <c r="B27" i="27"/>
  <c r="B28" i="27"/>
  <c r="B29" i="27"/>
  <c r="B30" i="27"/>
  <c r="B31" i="27"/>
  <c r="B32" i="27"/>
  <c r="B33" i="27"/>
  <c r="B34" i="27"/>
  <c r="B35" i="27"/>
  <c r="B36" i="27"/>
  <c r="B37" i="27"/>
  <c r="B38" i="27"/>
  <c r="B39" i="27"/>
  <c r="B40" i="27"/>
  <c r="B41" i="27"/>
  <c r="B42" i="27"/>
  <c r="B43" i="27"/>
  <c r="B44" i="27"/>
  <c r="B45" i="27"/>
  <c r="B46" i="27"/>
  <c r="B47" i="27"/>
  <c r="B48" i="27"/>
  <c r="B49" i="27"/>
  <c r="B50" i="27"/>
  <c r="B51" i="27"/>
  <c r="B52" i="27"/>
  <c r="B53" i="27"/>
  <c r="B54" i="27"/>
  <c r="B55" i="27"/>
  <c r="B56" i="27"/>
  <c r="B57" i="27"/>
  <c r="B58" i="27"/>
  <c r="B59" i="27"/>
  <c r="B60" i="27"/>
  <c r="B61" i="27"/>
  <c r="B62" i="27"/>
  <c r="B63" i="27"/>
  <c r="B64" i="27"/>
  <c r="B65" i="27"/>
  <c r="B66" i="27"/>
  <c r="B67" i="27"/>
  <c r="B68" i="27"/>
  <c r="B69" i="27"/>
  <c r="B70" i="27"/>
  <c r="B71" i="27"/>
  <c r="B72" i="27"/>
  <c r="B73" i="27"/>
  <c r="B74" i="27"/>
  <c r="B75" i="27"/>
  <c r="B76" i="27"/>
  <c r="B77" i="27"/>
  <c r="B78" i="27"/>
  <c r="B79" i="27"/>
  <c r="B80" i="27"/>
  <c r="B81" i="27"/>
  <c r="B82" i="27"/>
  <c r="B83" i="27"/>
  <c r="B84" i="27"/>
  <c r="B85" i="27"/>
  <c r="B86" i="27"/>
  <c r="B87" i="27"/>
  <c r="B88" i="27"/>
  <c r="B89" i="27"/>
  <c r="B90" i="27"/>
  <c r="B91" i="27"/>
  <c r="B92" i="27"/>
  <c r="B93" i="27"/>
  <c r="B94" i="27"/>
  <c r="B95" i="27"/>
  <c r="B96" i="27"/>
  <c r="B97" i="27"/>
  <c r="B98" i="27"/>
  <c r="B99" i="27"/>
  <c r="B100" i="27"/>
  <c r="B101" i="27"/>
  <c r="B102" i="27"/>
  <c r="B103" i="27"/>
  <c r="B104" i="27"/>
  <c r="B105" i="27"/>
  <c r="B106" i="27"/>
  <c r="B107" i="27"/>
  <c r="B108" i="27"/>
  <c r="B109" i="27"/>
  <c r="B110" i="27"/>
  <c r="B111" i="27"/>
  <c r="B112" i="27"/>
  <c r="B113" i="27"/>
  <c r="B114" i="27"/>
  <c r="B115" i="27"/>
  <c r="B116" i="27"/>
  <c r="B117" i="27"/>
  <c r="B118" i="27"/>
  <c r="B119" i="27"/>
  <c r="B120" i="27"/>
  <c r="B121" i="27"/>
  <c r="B122" i="27"/>
  <c r="B123" i="27"/>
  <c r="B124" i="27"/>
  <c r="B125" i="27"/>
  <c r="B126" i="27"/>
  <c r="B127" i="27"/>
  <c r="B128" i="27"/>
  <c r="B129" i="27"/>
  <c r="B130" i="27"/>
  <c r="B131" i="27"/>
  <c r="B132" i="27"/>
  <c r="B133" i="27"/>
  <c r="B134" i="27"/>
  <c r="B135" i="27"/>
  <c r="B136" i="27"/>
  <c r="B137" i="27"/>
  <c r="B138" i="27"/>
  <c r="B139" i="27"/>
  <c r="B140" i="27"/>
  <c r="B141" i="27"/>
  <c r="B142" i="27"/>
  <c r="B143" i="27"/>
  <c r="B144" i="27"/>
  <c r="B145" i="27"/>
  <c r="B146" i="27"/>
  <c r="B147" i="27"/>
  <c r="B148" i="27"/>
  <c r="B149" i="27"/>
  <c r="B150" i="27"/>
  <c r="B151" i="27"/>
  <c r="B152" i="27"/>
  <c r="B153" i="27"/>
  <c r="B154" i="27"/>
  <c r="B155" i="27"/>
  <c r="B156" i="27"/>
  <c r="B157" i="27"/>
  <c r="B158" i="27"/>
  <c r="B159" i="27"/>
  <c r="B160" i="27"/>
  <c r="B161" i="27"/>
  <c r="B162" i="27"/>
  <c r="B163" i="27"/>
  <c r="B164" i="27"/>
  <c r="B165" i="27"/>
  <c r="B166" i="27"/>
  <c r="B167" i="27"/>
  <c r="B168" i="27"/>
  <c r="B169" i="27"/>
  <c r="B170" i="27"/>
  <c r="B171" i="27"/>
  <c r="B172" i="27"/>
  <c r="B173" i="27"/>
  <c r="B174" i="27"/>
  <c r="B175" i="27"/>
  <c r="B176" i="27"/>
  <c r="B177" i="27"/>
  <c r="B178" i="27"/>
  <c r="B179" i="27"/>
  <c r="B180" i="27"/>
  <c r="B181" i="27"/>
  <c r="B182" i="27"/>
  <c r="B183" i="27"/>
  <c r="B184" i="27"/>
  <c r="B185" i="27"/>
  <c r="B186" i="27"/>
  <c r="B187" i="27"/>
  <c r="B188" i="27"/>
  <c r="B189" i="27"/>
  <c r="B190" i="27"/>
  <c r="B191" i="27"/>
  <c r="B192" i="27"/>
  <c r="B193" i="27"/>
  <c r="B194" i="27"/>
  <c r="B195" i="27"/>
  <c r="B196" i="27"/>
  <c r="B197" i="27"/>
  <c r="B198" i="27"/>
  <c r="B199" i="27"/>
  <c r="B200" i="27"/>
  <c r="B201" i="27"/>
  <c r="B202" i="27"/>
  <c r="B203" i="27"/>
  <c r="B204" i="27"/>
  <c r="B205" i="27"/>
  <c r="B206" i="27"/>
  <c r="B207" i="27"/>
  <c r="B208" i="27"/>
  <c r="B209" i="27"/>
  <c r="B210" i="27"/>
  <c r="B211" i="27"/>
  <c r="B212" i="27"/>
  <c r="B213" i="27"/>
  <c r="B214" i="27"/>
  <c r="B215" i="27"/>
  <c r="B216" i="27"/>
  <c r="B217" i="27"/>
  <c r="B218" i="27"/>
  <c r="B219" i="27"/>
  <c r="B220" i="27"/>
  <c r="B221" i="27"/>
  <c r="B222" i="27"/>
  <c r="B223" i="27"/>
  <c r="B224" i="27"/>
  <c r="B225" i="27"/>
  <c r="B226" i="27"/>
  <c r="B227" i="27"/>
  <c r="B228" i="27"/>
  <c r="B229" i="27"/>
  <c r="B230" i="27"/>
  <c r="B231" i="27"/>
  <c r="B232" i="27"/>
  <c r="B233" i="27"/>
  <c r="B234" i="27"/>
  <c r="B235" i="27"/>
  <c r="B236" i="27"/>
  <c r="B237" i="27"/>
  <c r="B238" i="27"/>
  <c r="B239" i="27"/>
  <c r="B240" i="27"/>
  <c r="B241" i="27"/>
  <c r="B242" i="27"/>
  <c r="B243" i="27"/>
  <c r="B244" i="27"/>
  <c r="B245" i="27"/>
  <c r="B246" i="27"/>
  <c r="B247" i="27"/>
  <c r="B248" i="27"/>
  <c r="B249" i="27"/>
  <c r="B250" i="27"/>
  <c r="B251" i="27"/>
  <c r="B252" i="27"/>
  <c r="B253" i="27"/>
  <c r="B254" i="27"/>
  <c r="B255" i="27"/>
  <c r="B256" i="27"/>
  <c r="B257" i="27"/>
  <c r="B258" i="27"/>
  <c r="B259" i="27"/>
  <c r="B260" i="27"/>
  <c r="B261" i="27"/>
  <c r="B262" i="27"/>
  <c r="B263" i="27"/>
  <c r="B264" i="27"/>
  <c r="B265" i="27"/>
  <c r="B266" i="27"/>
  <c r="B267" i="27"/>
  <c r="B268" i="27"/>
  <c r="B269" i="27"/>
  <c r="B270" i="27"/>
  <c r="B271" i="27"/>
  <c r="B272" i="27"/>
  <c r="B273" i="27"/>
  <c r="B274" i="27"/>
  <c r="B275" i="27"/>
  <c r="B276" i="27"/>
  <c r="B277" i="27"/>
  <c r="B278" i="27"/>
  <c r="B279" i="27"/>
  <c r="B280" i="27"/>
  <c r="B281" i="27"/>
  <c r="B282" i="27"/>
  <c r="B283" i="27"/>
  <c r="B284" i="27"/>
  <c r="B285" i="27"/>
  <c r="B286" i="27"/>
  <c r="B287" i="27"/>
  <c r="B288" i="27"/>
  <c r="B289" i="27"/>
  <c r="B290" i="27"/>
  <c r="B291" i="27"/>
  <c r="B292" i="27"/>
  <c r="B293" i="27"/>
  <c r="B294" i="27"/>
  <c r="B295" i="27"/>
  <c r="B296" i="27"/>
  <c r="B297" i="27"/>
  <c r="B298" i="27"/>
  <c r="B299" i="27"/>
  <c r="B300" i="27"/>
  <c r="B301" i="27"/>
  <c r="B302" i="27"/>
  <c r="B303" i="27"/>
  <c r="B304" i="27"/>
  <c r="B305" i="27"/>
  <c r="B306" i="27"/>
  <c r="B307" i="27"/>
  <c r="B308" i="27"/>
  <c r="B309" i="27"/>
  <c r="B310" i="27"/>
  <c r="B311" i="27"/>
  <c r="B312" i="27"/>
  <c r="B313" i="27"/>
  <c r="B314" i="27"/>
  <c r="B315" i="27"/>
  <c r="B316" i="27"/>
  <c r="B317" i="27"/>
  <c r="B318" i="27"/>
  <c r="B319" i="27"/>
  <c r="B320" i="27"/>
  <c r="B321" i="27"/>
  <c r="B322" i="27"/>
  <c r="B323" i="27"/>
  <c r="B324" i="27"/>
  <c r="B325" i="27"/>
  <c r="B326" i="27"/>
  <c r="B327" i="27"/>
  <c r="B328" i="27"/>
  <c r="B329" i="27"/>
  <c r="B330" i="27"/>
  <c r="B331" i="27"/>
  <c r="B332" i="27"/>
  <c r="B333" i="27"/>
  <c r="B334" i="27"/>
  <c r="B335" i="27"/>
  <c r="B336" i="27"/>
  <c r="B337" i="27"/>
  <c r="B338" i="27"/>
  <c r="B339" i="27"/>
  <c r="B340" i="27"/>
  <c r="B341" i="27"/>
  <c r="B342" i="27"/>
  <c r="B343" i="27"/>
  <c r="B344" i="27"/>
  <c r="B345" i="27"/>
  <c r="B346" i="27"/>
  <c r="B347" i="27"/>
  <c r="B348" i="27"/>
  <c r="B349" i="27"/>
  <c r="B350" i="27"/>
  <c r="B351" i="27"/>
  <c r="B352" i="27"/>
  <c r="B353" i="27"/>
  <c r="B354" i="27"/>
  <c r="B355" i="27"/>
  <c r="B356" i="27"/>
  <c r="B357" i="27"/>
  <c r="B358" i="27"/>
  <c r="B359" i="27"/>
  <c r="B360" i="27"/>
  <c r="B361" i="27"/>
  <c r="B362" i="27"/>
  <c r="B363" i="27"/>
  <c r="B364" i="27"/>
  <c r="B365" i="27"/>
  <c r="B366" i="27"/>
  <c r="B367" i="27"/>
  <c r="B368" i="27"/>
  <c r="B369" i="27"/>
  <c r="B370" i="27"/>
  <c r="B371" i="27"/>
  <c r="B372" i="27"/>
  <c r="B373" i="27"/>
  <c r="B374" i="27"/>
  <c r="B375" i="27"/>
  <c r="B376" i="27"/>
  <c r="B377" i="27"/>
  <c r="B378" i="27"/>
  <c r="B379" i="27"/>
  <c r="B380" i="27"/>
  <c r="B381" i="27"/>
  <c r="B382" i="27"/>
  <c r="B383" i="27"/>
  <c r="B384" i="27"/>
  <c r="B385" i="27"/>
  <c r="B386" i="27"/>
  <c r="B387" i="27"/>
  <c r="B388" i="27"/>
  <c r="B389" i="27"/>
  <c r="B390" i="27"/>
  <c r="B391" i="27"/>
  <c r="B392" i="27"/>
  <c r="B393" i="27"/>
  <c r="B394" i="27"/>
  <c r="B395" i="27"/>
  <c r="B396" i="27"/>
  <c r="B397" i="27"/>
  <c r="B398" i="27"/>
  <c r="B399" i="27"/>
  <c r="B400" i="27"/>
  <c r="B401" i="27"/>
  <c r="B402" i="27"/>
  <c r="B403" i="27"/>
  <c r="B404" i="27"/>
  <c r="B405" i="27"/>
  <c r="B406" i="27"/>
  <c r="B407" i="27"/>
  <c r="B408" i="27"/>
  <c r="B409" i="27"/>
  <c r="B410" i="27"/>
  <c r="B411" i="27"/>
  <c r="B412" i="27"/>
  <c r="B413" i="27"/>
  <c r="B414" i="27"/>
  <c r="B415" i="27"/>
  <c r="B416" i="27"/>
  <c r="B417" i="27"/>
  <c r="B418" i="27"/>
  <c r="B419" i="27"/>
  <c r="B420" i="27"/>
  <c r="B421" i="27"/>
  <c r="B422" i="27"/>
  <c r="B423" i="27"/>
  <c r="B424" i="27"/>
  <c r="B425" i="27"/>
  <c r="B426" i="27"/>
  <c r="B427" i="27"/>
  <c r="B428" i="27"/>
  <c r="B429" i="27"/>
  <c r="B430" i="27"/>
  <c r="B431" i="27"/>
  <c r="B432" i="27"/>
  <c r="B433" i="27"/>
  <c r="B434" i="27"/>
  <c r="B435" i="27"/>
  <c r="B436" i="27"/>
  <c r="B437" i="27"/>
  <c r="B438" i="27"/>
  <c r="B439" i="27"/>
  <c r="B440" i="27"/>
  <c r="B441" i="27"/>
  <c r="B442" i="27"/>
  <c r="B443" i="27"/>
  <c r="B444" i="27"/>
  <c r="B445" i="27"/>
  <c r="B446" i="27"/>
  <c r="B447" i="27"/>
  <c r="B448" i="27"/>
  <c r="B449" i="27"/>
  <c r="B450" i="27"/>
  <c r="B451" i="27"/>
  <c r="B452" i="27"/>
  <c r="B453" i="27"/>
  <c r="B454" i="27"/>
  <c r="B455" i="27"/>
  <c r="B456" i="27"/>
  <c r="B457" i="27"/>
  <c r="B458" i="27"/>
  <c r="B459" i="27"/>
  <c r="B460" i="27"/>
  <c r="B461" i="27"/>
  <c r="B462" i="27"/>
  <c r="B463" i="27"/>
  <c r="B464" i="27"/>
  <c r="B465" i="27"/>
  <c r="B466" i="27"/>
  <c r="B467" i="27"/>
  <c r="B468" i="27"/>
  <c r="B469" i="27"/>
  <c r="B470" i="27"/>
  <c r="B471" i="27"/>
  <c r="B472" i="27"/>
  <c r="B473" i="27"/>
  <c r="B474" i="27"/>
  <c r="B475" i="27"/>
  <c r="B476" i="27"/>
  <c r="B477" i="27"/>
  <c r="B478" i="27"/>
  <c r="B479" i="27"/>
  <c r="B480" i="27"/>
  <c r="B481" i="27"/>
  <c r="B482" i="27"/>
  <c r="B483" i="27"/>
  <c r="B484" i="27"/>
  <c r="B485" i="27"/>
  <c r="B486" i="27"/>
  <c r="B487" i="27"/>
  <c r="B488" i="27"/>
  <c r="B489" i="27"/>
  <c r="B490" i="27"/>
  <c r="B491" i="27"/>
  <c r="B492" i="27"/>
  <c r="B493" i="27"/>
  <c r="B494" i="27"/>
  <c r="B495" i="27"/>
  <c r="B496" i="27"/>
  <c r="B497" i="27"/>
  <c r="B498" i="27"/>
  <c r="B499" i="27"/>
  <c r="B500" i="27"/>
  <c r="B501" i="27"/>
  <c r="B2" i="27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2" i="16"/>
  <c r="H2" i="16"/>
  <c r="C2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2" i="16"/>
  <c r="D3" i="16"/>
  <c r="D4" i="16"/>
  <c r="D5" i="16"/>
  <c r="D6" i="16"/>
  <c r="D7" i="16"/>
  <c r="D8" i="16"/>
  <c r="D9" i="16"/>
  <c r="D10" i="16"/>
  <c r="D11" i="16"/>
  <c r="D12" i="16"/>
  <c r="D13" i="16"/>
  <c r="D14" i="16"/>
  <c r="D15" i="16"/>
  <c r="D2" i="16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2" i="16"/>
  <c r="C3" i="16"/>
  <c r="C4" i="16"/>
  <c r="C5" i="16"/>
  <c r="C6" i="16"/>
  <c r="C7" i="16"/>
  <c r="C8" i="16"/>
  <c r="C9" i="16"/>
  <c r="C10" i="16"/>
  <c r="C11" i="16"/>
  <c r="C12" i="16"/>
  <c r="C13" i="16"/>
  <c r="C14" i="16"/>
  <c r="C15" i="16"/>
  <c r="B3" i="16"/>
  <c r="B4" i="16"/>
  <c r="B5" i="16"/>
  <c r="B6" i="16"/>
  <c r="B7" i="16"/>
  <c r="B8" i="16"/>
  <c r="B9" i="16"/>
  <c r="B10" i="16"/>
  <c r="B11" i="16"/>
  <c r="B12" i="16"/>
  <c r="B13" i="16"/>
  <c r="B14" i="16"/>
  <c r="B15" i="16"/>
  <c r="B2" i="16"/>
  <c r="D8" i="25"/>
  <c r="D2" i="25"/>
  <c r="G5" i="14"/>
  <c r="B7" i="35"/>
  <c r="B8" i="35"/>
  <c r="B6" i="35"/>
  <c r="E4" i="33"/>
  <c r="D4" i="33"/>
  <c r="C4" i="33"/>
  <c r="B4" i="33"/>
  <c r="G3" i="11"/>
  <c r="G4" i="11"/>
  <c r="G5" i="11"/>
  <c r="G6" i="11"/>
  <c r="G7" i="11"/>
  <c r="G9" i="11"/>
  <c r="G10" i="11"/>
  <c r="G11" i="11"/>
  <c r="G12" i="11"/>
  <c r="G13" i="11"/>
  <c r="G14" i="11"/>
  <c r="G16" i="11"/>
  <c r="G17" i="11"/>
  <c r="G18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1" i="11"/>
  <c r="G62" i="11"/>
  <c r="G63" i="11"/>
  <c r="G64" i="11"/>
  <c r="G65" i="11"/>
  <c r="G66" i="11"/>
  <c r="G67" i="11"/>
  <c r="G68" i="11"/>
  <c r="G69" i="11"/>
  <c r="G71" i="11"/>
  <c r="G72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2" i="11"/>
  <c r="G113" i="11"/>
  <c r="G114" i="11"/>
  <c r="G115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4" i="11"/>
  <c r="G186" i="11"/>
  <c r="G188" i="11"/>
  <c r="G189" i="11"/>
  <c r="G190" i="11"/>
  <c r="G191" i="11"/>
  <c r="G192" i="11"/>
  <c r="G193" i="11"/>
  <c r="G194" i="11"/>
  <c r="G195" i="11"/>
  <c r="G196" i="11"/>
  <c r="G197" i="11"/>
  <c r="G198" i="11"/>
  <c r="G200" i="11"/>
  <c r="G201" i="11"/>
  <c r="G202" i="11"/>
  <c r="G203" i="11"/>
  <c r="G204" i="11"/>
  <c r="G205" i="11"/>
  <c r="G2" i="11" l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F97" i="11"/>
  <c r="F98" i="11"/>
  <c r="F99" i="11"/>
  <c r="F100" i="11"/>
  <c r="F101" i="11"/>
  <c r="F102" i="11"/>
  <c r="F103" i="11"/>
  <c r="F104" i="11"/>
  <c r="F105" i="11"/>
  <c r="F106" i="11"/>
  <c r="F107" i="11"/>
  <c r="F108" i="11"/>
  <c r="F109" i="11"/>
  <c r="F110" i="11"/>
  <c r="F111" i="11"/>
  <c r="F112" i="11"/>
  <c r="F113" i="11"/>
  <c r="F114" i="11"/>
  <c r="F115" i="11"/>
  <c r="F116" i="11"/>
  <c r="F117" i="11"/>
  <c r="F118" i="11"/>
  <c r="F119" i="11"/>
  <c r="F120" i="11"/>
  <c r="F121" i="11"/>
  <c r="F122" i="11"/>
  <c r="F123" i="11"/>
  <c r="F124" i="11"/>
  <c r="F125" i="11"/>
  <c r="F126" i="11"/>
  <c r="F127" i="11"/>
  <c r="F128" i="11"/>
  <c r="F129" i="11"/>
  <c r="F130" i="11"/>
  <c r="F131" i="11"/>
  <c r="F132" i="11"/>
  <c r="F133" i="11"/>
  <c r="F134" i="11"/>
  <c r="F135" i="11"/>
  <c r="F136" i="11"/>
  <c r="F137" i="11"/>
  <c r="F138" i="11"/>
  <c r="F139" i="11"/>
  <c r="F140" i="11"/>
  <c r="F141" i="11"/>
  <c r="F142" i="11"/>
  <c r="F143" i="11"/>
  <c r="F144" i="11"/>
  <c r="F145" i="11"/>
  <c r="F146" i="11"/>
  <c r="F147" i="11"/>
  <c r="F148" i="11"/>
  <c r="F149" i="11"/>
  <c r="F150" i="11"/>
  <c r="F151" i="11"/>
  <c r="F152" i="11"/>
  <c r="F153" i="11"/>
  <c r="F154" i="11"/>
  <c r="F155" i="11"/>
  <c r="F156" i="11"/>
  <c r="F157" i="11"/>
  <c r="F158" i="11"/>
  <c r="F159" i="11"/>
  <c r="F160" i="11"/>
  <c r="F161" i="11"/>
  <c r="F162" i="11"/>
  <c r="F163" i="11"/>
  <c r="F164" i="11"/>
  <c r="F165" i="11"/>
  <c r="F166" i="11"/>
  <c r="F167" i="11"/>
  <c r="F168" i="11"/>
  <c r="F169" i="11"/>
  <c r="F170" i="11"/>
  <c r="F171" i="11"/>
  <c r="F172" i="11"/>
  <c r="F173" i="11"/>
  <c r="F174" i="11"/>
  <c r="F175" i="11"/>
  <c r="F176" i="11"/>
  <c r="F177" i="11"/>
  <c r="F178" i="11"/>
  <c r="F179" i="11"/>
  <c r="F180" i="11"/>
  <c r="F181" i="11"/>
  <c r="F182" i="11"/>
  <c r="F183" i="11"/>
  <c r="F184" i="11"/>
  <c r="F185" i="11"/>
  <c r="F186" i="11"/>
  <c r="F187" i="11"/>
  <c r="F188" i="11"/>
  <c r="F189" i="11"/>
  <c r="F190" i="11"/>
  <c r="F191" i="11"/>
  <c r="F192" i="11"/>
  <c r="F193" i="11"/>
  <c r="F194" i="11"/>
  <c r="F195" i="11"/>
  <c r="F196" i="11"/>
  <c r="F197" i="11"/>
  <c r="F198" i="11"/>
  <c r="F199" i="11"/>
  <c r="F200" i="11"/>
  <c r="F201" i="11"/>
  <c r="F202" i="11"/>
  <c r="F203" i="11"/>
  <c r="F204" i="11"/>
  <c r="F205" i="11"/>
  <c r="F2" i="11"/>
  <c r="J9" i="10"/>
  <c r="J10" i="10"/>
  <c r="J8" i="10"/>
  <c r="I9" i="10"/>
  <c r="I10" i="10"/>
  <c r="I8" i="10"/>
  <c r="H9" i="10"/>
  <c r="H10" i="10"/>
  <c r="H8" i="10"/>
  <c r="H5" i="10"/>
  <c r="G6" i="36"/>
  <c r="G7" i="36"/>
  <c r="G8" i="36"/>
  <c r="G9" i="36"/>
  <c r="G10" i="36"/>
  <c r="G11" i="36"/>
  <c r="G12" i="36"/>
  <c r="G13" i="36"/>
  <c r="G14" i="36"/>
  <c r="G15" i="36"/>
  <c r="G16" i="36"/>
  <c r="G17" i="36"/>
  <c r="G18" i="36"/>
  <c r="G19" i="36"/>
  <c r="G20" i="36"/>
  <c r="G21" i="36"/>
  <c r="G22" i="36"/>
  <c r="G23" i="36"/>
  <c r="G24" i="36"/>
  <c r="G25" i="36"/>
  <c r="G26" i="36"/>
  <c r="G27" i="36"/>
  <c r="G28" i="36"/>
  <c r="G29" i="36"/>
  <c r="G30" i="36"/>
  <c r="G31" i="36"/>
  <c r="G32" i="36"/>
  <c r="G33" i="36"/>
  <c r="G34" i="36"/>
  <c r="G35" i="36"/>
  <c r="G36" i="36"/>
  <c r="G37" i="36"/>
  <c r="G38" i="36"/>
  <c r="G39" i="36"/>
  <c r="G40" i="36"/>
  <c r="G41" i="36"/>
  <c r="G42" i="36"/>
  <c r="G43" i="36"/>
  <c r="G44" i="36"/>
  <c r="G45" i="36"/>
  <c r="G46" i="36"/>
  <c r="G47" i="36"/>
  <c r="G48" i="36"/>
  <c r="G49" i="36"/>
  <c r="G50" i="36"/>
  <c r="G51" i="36"/>
  <c r="G52" i="36"/>
  <c r="G53" i="36"/>
  <c r="G54" i="36"/>
  <c r="G55" i="36"/>
  <c r="G56" i="36"/>
  <c r="G57" i="36"/>
  <c r="G58" i="36"/>
  <c r="G59" i="36"/>
  <c r="G60" i="36"/>
  <c r="G61" i="36"/>
  <c r="G62" i="36"/>
  <c r="G5" i="36"/>
  <c r="H8" i="29"/>
  <c r="H4" i="29"/>
  <c r="H2" i="29"/>
  <c r="G3" i="22"/>
  <c r="G4" i="22"/>
  <c r="G5" i="22"/>
  <c r="G6" i="22"/>
  <c r="G7" i="22"/>
  <c r="G8" i="22"/>
  <c r="G9" i="22"/>
  <c r="G10" i="22"/>
  <c r="G11" i="22"/>
  <c r="G12" i="22"/>
  <c r="G13" i="22"/>
  <c r="G14" i="22"/>
  <c r="G15" i="22"/>
  <c r="G16" i="22"/>
  <c r="G2" i="22"/>
  <c r="F3" i="22"/>
  <c r="F4" i="22"/>
  <c r="F5" i="22"/>
  <c r="F6" i="22"/>
  <c r="F7" i="22"/>
  <c r="F8" i="22"/>
  <c r="F9" i="22"/>
  <c r="F10" i="22"/>
  <c r="F11" i="22"/>
  <c r="F12" i="22"/>
  <c r="F13" i="22"/>
  <c r="F14" i="22"/>
  <c r="F15" i="22"/>
  <c r="F16" i="22"/>
  <c r="F2" i="22"/>
  <c r="E3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2" i="22"/>
  <c r="D3" i="22"/>
  <c r="D4" i="22"/>
  <c r="D5" i="22"/>
  <c r="D6" i="22"/>
  <c r="D7" i="22"/>
  <c r="D8" i="22"/>
  <c r="D9" i="22"/>
  <c r="D10" i="22"/>
  <c r="D11" i="22"/>
  <c r="D12" i="22"/>
  <c r="D13" i="22"/>
  <c r="D14" i="22"/>
  <c r="D15" i="22"/>
  <c r="D16" i="22"/>
  <c r="D2" i="22"/>
  <c r="F3" i="19"/>
  <c r="F4" i="19"/>
  <c r="F5" i="19"/>
  <c r="F6" i="19"/>
  <c r="F7" i="19"/>
  <c r="F8" i="19"/>
  <c r="F9" i="19"/>
  <c r="F10" i="19"/>
  <c r="F12" i="19"/>
  <c r="F13" i="19"/>
  <c r="F14" i="19"/>
  <c r="F15" i="19"/>
  <c r="F16" i="19"/>
  <c r="F17" i="19"/>
  <c r="F18" i="19"/>
  <c r="F19" i="19"/>
  <c r="F20" i="19"/>
  <c r="F21" i="19"/>
  <c r="F22" i="19"/>
  <c r="F23" i="19"/>
  <c r="F24" i="19"/>
  <c r="F25" i="19"/>
  <c r="F26" i="19"/>
  <c r="F2" i="19"/>
  <c r="E3" i="19"/>
  <c r="E4" i="19"/>
  <c r="E5" i="19"/>
  <c r="E6" i="19"/>
  <c r="E7" i="19"/>
  <c r="E8" i="19"/>
  <c r="E9" i="19"/>
  <c r="E10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" i="19"/>
  <c r="E2" i="41"/>
  <c r="G2" i="41" s="1"/>
  <c r="C3" i="41"/>
  <c r="G3" i="41"/>
  <c r="C4" i="41"/>
  <c r="E4" i="41"/>
  <c r="G4" i="41" s="1"/>
  <c r="C5" i="41"/>
  <c r="E5" i="41"/>
  <c r="G5" i="41" s="1"/>
  <c r="C6" i="41"/>
  <c r="E6" i="41"/>
  <c r="G6" i="41" s="1"/>
  <c r="C7" i="41"/>
  <c r="E7" i="41"/>
  <c r="G7" i="41" s="1"/>
  <c r="C8" i="41"/>
  <c r="E8" i="41"/>
  <c r="G8" i="41" s="1"/>
  <c r="C9" i="41"/>
  <c r="E9" i="41"/>
  <c r="G9" i="41" s="1"/>
  <c r="C10" i="41"/>
  <c r="E10" i="41"/>
  <c r="G10" i="41"/>
  <c r="C11" i="41"/>
  <c r="E11" i="41"/>
  <c r="G11" i="41" s="1"/>
  <c r="C12" i="41"/>
  <c r="E12" i="41"/>
  <c r="G12" i="41" s="1"/>
  <c r="C13" i="41"/>
  <c r="E13" i="41"/>
  <c r="G13" i="41" s="1"/>
  <c r="C14" i="41"/>
  <c r="E14" i="41"/>
  <c r="G14" i="41"/>
  <c r="C15" i="41"/>
  <c r="E15" i="41"/>
  <c r="G15" i="41"/>
  <c r="C16" i="41"/>
  <c r="E16" i="41"/>
  <c r="G16" i="41"/>
  <c r="C17" i="41"/>
  <c r="E17" i="41"/>
  <c r="G17" i="41"/>
  <c r="C18" i="41"/>
  <c r="E18" i="41"/>
  <c r="G18" i="41"/>
  <c r="C19" i="41"/>
  <c r="E19" i="41"/>
  <c r="G19" i="41" s="1"/>
  <c r="C20" i="41"/>
  <c r="G20" i="41"/>
  <c r="C21" i="41"/>
  <c r="E21" i="41"/>
  <c r="G21" i="41" s="1"/>
  <c r="C22" i="41"/>
  <c r="G22" i="41"/>
  <c r="C23" i="41"/>
  <c r="E23" i="41"/>
  <c r="G23" i="41"/>
  <c r="C24" i="41"/>
  <c r="E24" i="41"/>
  <c r="G24" i="41"/>
  <c r="C25" i="41"/>
  <c r="E25" i="41"/>
  <c r="G25" i="41" s="1"/>
  <c r="B9" i="39" l="1"/>
  <c r="C9" i="39"/>
  <c r="D9" i="39"/>
  <c r="E9" i="39"/>
  <c r="B9" i="38"/>
  <c r="C9" i="38"/>
  <c r="D9" i="38"/>
  <c r="E9" i="38"/>
  <c r="B9" i="37"/>
  <c r="C9" i="37"/>
  <c r="D9" i="37"/>
  <c r="E9" i="37"/>
  <c r="K17" i="25" l="1"/>
  <c r="K18" i="25" a="1"/>
  <c r="C22" i="25" a="1"/>
  <c r="I3" i="14"/>
  <c r="A3" i="13"/>
  <c r="A4" i="13"/>
  <c r="A5" i="13"/>
  <c r="A6" i="13"/>
  <c r="A7" i="13"/>
  <c r="A8" i="13"/>
  <c r="A9" i="13"/>
  <c r="A10" i="13"/>
  <c r="A11" i="13"/>
  <c r="A12" i="13"/>
  <c r="A13" i="13"/>
  <c r="A14" i="13"/>
  <c r="A15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102" i="13"/>
  <c r="A103" i="13"/>
  <c r="A104" i="13"/>
  <c r="A105" i="13"/>
  <c r="A106" i="13"/>
  <c r="A107" i="13"/>
  <c r="A108" i="13"/>
  <c r="A109" i="13"/>
  <c r="A110" i="13"/>
  <c r="A111" i="13"/>
  <c r="A112" i="13"/>
  <c r="A113" i="13"/>
  <c r="A114" i="13"/>
  <c r="A115" i="13"/>
  <c r="A116" i="13"/>
  <c r="A117" i="13"/>
  <c r="A118" i="13"/>
  <c r="A119" i="13"/>
  <c r="A120" i="13"/>
  <c r="A121" i="13"/>
  <c r="A122" i="13"/>
  <c r="A123" i="13"/>
  <c r="A124" i="13"/>
  <c r="A125" i="13"/>
  <c r="A126" i="13"/>
  <c r="A127" i="13"/>
  <c r="A128" i="13"/>
  <c r="A129" i="13"/>
  <c r="A130" i="13"/>
  <c r="A131" i="13"/>
  <c r="A132" i="13"/>
  <c r="A133" i="13"/>
  <c r="A134" i="13"/>
  <c r="A135" i="13"/>
  <c r="A136" i="13"/>
  <c r="A137" i="13"/>
  <c r="A138" i="13"/>
  <c r="A139" i="13"/>
  <c r="A140" i="13"/>
  <c r="A141" i="13"/>
  <c r="A142" i="13"/>
  <c r="A143" i="13"/>
  <c r="A144" i="13"/>
  <c r="A145" i="13"/>
  <c r="A146" i="13"/>
  <c r="A147" i="13"/>
  <c r="A148" i="13"/>
  <c r="A149" i="13"/>
  <c r="A150" i="13"/>
  <c r="A151" i="13"/>
  <c r="A152" i="13"/>
  <c r="A153" i="13"/>
  <c r="A154" i="13"/>
  <c r="A155" i="13"/>
  <c r="A156" i="13"/>
  <c r="A157" i="13"/>
  <c r="A158" i="13"/>
  <c r="A159" i="13"/>
  <c r="A160" i="13"/>
  <c r="A161" i="13"/>
  <c r="A162" i="13"/>
  <c r="A163" i="13"/>
  <c r="A164" i="13"/>
  <c r="A165" i="13"/>
  <c r="A166" i="13"/>
  <c r="A167" i="13"/>
  <c r="A168" i="13"/>
  <c r="A169" i="13"/>
  <c r="A170" i="13"/>
  <c r="A171" i="13"/>
  <c r="A172" i="13"/>
  <c r="A173" i="13"/>
  <c r="A174" i="13"/>
  <c r="A175" i="13"/>
  <c r="A176" i="13"/>
  <c r="A177" i="13"/>
  <c r="A178" i="13"/>
  <c r="A179" i="13"/>
  <c r="A180" i="13"/>
  <c r="A181" i="13"/>
  <c r="A182" i="13"/>
  <c r="A183" i="13"/>
  <c r="A184" i="13"/>
  <c r="A185" i="13"/>
  <c r="A186" i="13"/>
  <c r="A187" i="13"/>
  <c r="A188" i="13"/>
  <c r="A189" i="13"/>
  <c r="A190" i="13"/>
  <c r="A2" i="13"/>
  <c r="A3" i="1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" i="11"/>
  <c r="K18" i="25" l="1"/>
  <c r="C22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<sst xmlns="http://schemas.openxmlformats.org/spreadsheetml/2006/main" count="6319" uniqueCount="3552">
  <si>
    <t>State</t>
  </si>
  <si>
    <t>Year</t>
  </si>
  <si>
    <t>Total Population</t>
  </si>
  <si>
    <t>Student 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</si>
  <si>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</si>
  <si>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</si>
  <si>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</si>
  <si>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</si>
  <si>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</si>
  <si>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</si>
  <si>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</si>
  <si>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D.C.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</si>
  <si>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</si>
  <si>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</si>
  <si>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</si>
  <si>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</si>
  <si>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</si>
  <si>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</si>
  <si>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</si>
  <si>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</si>
  <si>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</si>
  <si>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</si>
  <si>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</si>
  <si>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</si>
  <si>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</si>
  <si>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</si>
  <si>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</si>
  <si>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</si>
  <si>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</si>
  <si>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</si>
  <si>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</si>
  <si>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</si>
  <si>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</si>
  <si>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</si>
  <si>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</si>
  <si>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</si>
  <si>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</si>
  <si>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</si>
  <si>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</si>
  <si>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</si>
  <si>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</si>
  <si>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</si>
  <si>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</si>
  <si>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</si>
  <si>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</si>
  <si>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</si>
  <si>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</si>
  <si>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</si>
  <si>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</si>
  <si>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</si>
  <si>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</si>
  <si>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</si>
  <si>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</si>
  <si>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</si>
  <si>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</si>
  <si>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Gender</t>
  </si>
  <si>
    <t>J</t>
  </si>
  <si>
    <t>IL</t>
  </si>
  <si>
    <t>CA</t>
  </si>
  <si>
    <t>NJ</t>
  </si>
  <si>
    <t>M</t>
  </si>
  <si>
    <t>VA</t>
  </si>
  <si>
    <t>D</t>
  </si>
  <si>
    <t>LA</t>
  </si>
  <si>
    <t>OR</t>
  </si>
  <si>
    <t>K</t>
  </si>
  <si>
    <t>TX</t>
  </si>
  <si>
    <t>AL</t>
  </si>
  <si>
    <t>NY</t>
  </si>
  <si>
    <t>H</t>
  </si>
  <si>
    <t>F</t>
  </si>
  <si>
    <t>RI</t>
  </si>
  <si>
    <t>E</t>
  </si>
  <si>
    <t>WI</t>
  </si>
  <si>
    <t>MI</t>
  </si>
  <si>
    <t>B</t>
  </si>
  <si>
    <t>TN</t>
  </si>
  <si>
    <t>C</t>
  </si>
  <si>
    <t>Chicago</t>
  </si>
  <si>
    <t>FL</t>
  </si>
  <si>
    <t>NE</t>
  </si>
  <si>
    <t>A</t>
  </si>
  <si>
    <t>UT</t>
  </si>
  <si>
    <t>WV</t>
  </si>
  <si>
    <t>GA</t>
  </si>
  <si>
    <t>NC</t>
  </si>
  <si>
    <t>MA</t>
  </si>
  <si>
    <t>Boston</t>
  </si>
  <si>
    <t>OH</t>
  </si>
  <si>
    <t>MN</t>
  </si>
  <si>
    <t>ID</t>
  </si>
  <si>
    <t>L</t>
  </si>
  <si>
    <t>MO</t>
  </si>
  <si>
    <t>G</t>
  </si>
  <si>
    <t>AZ</t>
  </si>
  <si>
    <t>MD</t>
  </si>
  <si>
    <t>CO</t>
  </si>
  <si>
    <t>OK</t>
  </si>
  <si>
    <t>SD</t>
  </si>
  <si>
    <t>IN</t>
  </si>
  <si>
    <t>MS</t>
  </si>
  <si>
    <t>PA</t>
  </si>
  <si>
    <t>IA</t>
  </si>
  <si>
    <t>KY</t>
  </si>
  <si>
    <t>NH</t>
  </si>
  <si>
    <t>AK</t>
  </si>
  <si>
    <t>VT</t>
  </si>
  <si>
    <t>ND</t>
  </si>
  <si>
    <t>I</t>
  </si>
  <si>
    <t>WA</t>
  </si>
  <si>
    <t>KS</t>
  </si>
  <si>
    <t>ME</t>
  </si>
  <si>
    <t>SC</t>
  </si>
  <si>
    <t>HI</t>
  </si>
  <si>
    <t>MT</t>
  </si>
  <si>
    <t>AR</t>
  </si>
  <si>
    <t>DE</t>
  </si>
  <si>
    <t>DC</t>
  </si>
  <si>
    <t>NV</t>
  </si>
  <si>
    <t>CT</t>
  </si>
  <si>
    <t>DAY</t>
  </si>
  <si>
    <t>NM</t>
  </si>
  <si>
    <t>Product Category</t>
  </si>
  <si>
    <t>Store Location</t>
  </si>
  <si>
    <t>Sales</t>
  </si>
  <si>
    <t>Revenue</t>
  </si>
  <si>
    <t>Apparel &amp; Accessories</t>
  </si>
  <si>
    <t>Product Category:</t>
  </si>
  <si>
    <t>Consumer Electronics</t>
  </si>
  <si>
    <t>Health &amp; Beauty</t>
  </si>
  <si>
    <t>Total Sales</t>
  </si>
  <si>
    <t>Food &amp; Beverage</t>
  </si>
  <si>
    <t>Total Revenue</t>
  </si>
  <si>
    <t>State Abbreviation</t>
  </si>
  <si>
    <t>Per Capita Income</t>
  </si>
  <si>
    <t>WY</t>
  </si>
  <si>
    <t>Date</t>
  </si>
  <si>
    <t>Apparel</t>
  </si>
  <si>
    <t>Electronics</t>
  </si>
  <si>
    <t>Transactions</t>
  </si>
  <si>
    <t>Year:</t>
  </si>
  <si>
    <t>Metric:</t>
  </si>
  <si>
    <t>TOTAL:</t>
  </si>
  <si>
    <t>Student</t>
  </si>
  <si>
    <t>Score</t>
  </si>
  <si>
    <t>Pass/Fail</t>
  </si>
  <si>
    <t>Letter</t>
  </si>
  <si>
    <t>Jill</t>
  </si>
  <si>
    <t>Outlier</t>
  </si>
  <si>
    <t>Award</t>
  </si>
  <si>
    <t>Tom</t>
  </si>
  <si>
    <t>Brittany</t>
  </si>
  <si>
    <t>Alan</t>
  </si>
  <si>
    <t>George</t>
  </si>
  <si>
    <t>Sally</t>
  </si>
  <si>
    <t>Chris</t>
  </si>
  <si>
    <t>Jamie</t>
  </si>
  <si>
    <t>Valorie</t>
  </si>
  <si>
    <t>Steve</t>
  </si>
  <si>
    <t>Jake</t>
  </si>
  <si>
    <t>Lori</t>
  </si>
  <si>
    <t>Meghan</t>
  </si>
  <si>
    <t>Michelle</t>
  </si>
  <si>
    <t>Tim</t>
  </si>
  <si>
    <t>Leads</t>
  </si>
  <si>
    <t>Phone Calls</t>
  </si>
  <si>
    <t>Leads per Call</t>
  </si>
  <si>
    <t>Sales per Call</t>
  </si>
  <si>
    <t>Product Key</t>
  </si>
  <si>
    <t>Product ID (v2)</t>
  </si>
  <si>
    <t>Product Size (v1)</t>
  </si>
  <si>
    <t>Product Size (v2)</t>
  </si>
  <si>
    <t>Value</t>
  </si>
  <si>
    <t>Latest Date in Column A:</t>
  </si>
  <si>
    <t># of Dates in Column A:</t>
  </si>
  <si>
    <t>Sum of all Values in Column B:</t>
  </si>
  <si>
    <t>Last Value in Column B:</t>
  </si>
  <si>
    <r>
      <t>Sum of Values</t>
    </r>
    <r>
      <rPr>
        <b/>
        <i/>
        <sz val="11"/>
        <color theme="1"/>
        <rFont val="Calibri"/>
        <family val="2"/>
        <scheme val="minor"/>
      </rPr>
      <t xml:space="preserve"> through previous day</t>
    </r>
    <r>
      <rPr>
        <i/>
        <sz val="11"/>
        <color theme="1"/>
        <rFont val="Calibri"/>
        <family val="2"/>
        <scheme val="minor"/>
      </rPr>
      <t>:</t>
    </r>
  </si>
  <si>
    <t>133462-AA-BOS_SMALL</t>
  </si>
  <si>
    <t>191768-AC-NYC_MEDIUM</t>
  </si>
  <si>
    <t>157263-BB-BOS_XL</t>
  </si>
  <si>
    <t>1734372-AA-CHI_SMALL</t>
  </si>
  <si>
    <t>135351-BC-NYC_XL</t>
  </si>
  <si>
    <t>14330305-AC-BOS_LARGE</t>
  </si>
  <si>
    <t>177772-BB-NYC_MEDIUM</t>
  </si>
  <si>
    <t>87192837-AB-CHI_XL</t>
  </si>
  <si>
    <t>161266-BB-CHI_SMALL</t>
  </si>
  <si>
    <t>122892-AA-NYC_MEDIUM</t>
  </si>
  <si>
    <t>128919-AC-CHI_XL</t>
  </si>
  <si>
    <t>191999-BB-BOS_LARGE</t>
  </si>
  <si>
    <t>117091126-BC-NYC_LARGE</t>
  </si>
  <si>
    <t>New Key</t>
  </si>
  <si>
    <t>City</t>
  </si>
  <si>
    <t>112283-AB-BOS_MEDIUM</t>
  </si>
  <si>
    <t>Impressions</t>
  </si>
  <si>
    <t>Clicks</t>
  </si>
  <si>
    <t>Employee</t>
  </si>
  <si>
    <t>Office</t>
  </si>
  <si>
    <t>Department</t>
  </si>
  <si>
    <t>2015 Sales</t>
  </si>
  <si>
    <t>2016 Sales</t>
  </si>
  <si>
    <t>Kathy</t>
  </si>
  <si>
    <t>BOS</t>
  </si>
  <si>
    <t>Max 2016 Sales in NYC office:</t>
  </si>
  <si>
    <t>John</t>
  </si>
  <si>
    <t>Mindy</t>
  </si>
  <si>
    <t>Max 2016 Sales in NYC office, Electronics only:</t>
  </si>
  <si>
    <t>Aaron</t>
  </si>
  <si>
    <t>Phil</t>
  </si>
  <si>
    <t>NYC</t>
  </si>
  <si>
    <t># of rows where 2016 Sales &gt; 2015 Sales:</t>
  </si>
  <si>
    <t>Bill</t>
  </si>
  <si>
    <t>Sum of 2015 and 2016 Sales in Boston:</t>
  </si>
  <si>
    <t>Lauren</t>
  </si>
  <si>
    <t>Jason</t>
  </si>
  <si>
    <t>Mark</t>
  </si>
  <si>
    <t>Kim</t>
  </si>
  <si>
    <t>CHI</t>
  </si>
  <si>
    <t>Tina</t>
  </si>
  <si>
    <t>Jean</t>
  </si>
  <si>
    <t>Sam</t>
  </si>
  <si>
    <t>Ashley</t>
  </si>
  <si>
    <t>Product ID</t>
  </si>
  <si>
    <t>Number of Product IDs</t>
  </si>
  <si>
    <t>Key</t>
  </si>
  <si>
    <t>Genre</t>
  </si>
  <si>
    <t>Action</t>
  </si>
  <si>
    <t>Adventure</t>
  </si>
  <si>
    <t>Animation</t>
  </si>
  <si>
    <t>Biography</t>
  </si>
  <si>
    <t>Comedy</t>
  </si>
  <si>
    <t>Crime</t>
  </si>
  <si>
    <t>Documentary</t>
  </si>
  <si>
    <t>Drama</t>
  </si>
  <si>
    <t>Fantasy</t>
  </si>
  <si>
    <t>Horror</t>
  </si>
  <si>
    <t>96-5196</t>
  </si>
  <si>
    <t>410-972-3074</t>
  </si>
  <si>
    <t>LucilleRMoss@hotmail.com</t>
  </si>
  <si>
    <t>Baltimore</t>
  </si>
  <si>
    <t>1929 Beechwood Drive</t>
  </si>
  <si>
    <t>female</t>
  </si>
  <si>
    <t>MOSS</t>
  </si>
  <si>
    <t>R</t>
  </si>
  <si>
    <t>LUCILLE</t>
  </si>
  <si>
    <t>92-7444</t>
  </si>
  <si>
    <t>417-769-1953</t>
  </si>
  <si>
    <t>StaceyLHaynes@gmail.com</t>
  </si>
  <si>
    <t>Arma</t>
  </si>
  <si>
    <t>3039 Briarwood Road</t>
  </si>
  <si>
    <t>HAYNES</t>
  </si>
  <si>
    <t>STACEY</t>
  </si>
  <si>
    <t>92-4804</t>
  </si>
  <si>
    <t>708-435-1491</t>
  </si>
  <si>
    <t>JulieCRoss@hotmail.com</t>
  </si>
  <si>
    <t>Wheeling</t>
  </si>
  <si>
    <t>1190 Hog Camp Road</t>
  </si>
  <si>
    <t>ROSS</t>
  </si>
  <si>
    <t>JULIE</t>
  </si>
  <si>
    <t>18-1426</t>
  </si>
  <si>
    <t>337-503-6181</t>
  </si>
  <si>
    <t>ChanceSCrump@hotmail.com</t>
  </si>
  <si>
    <t>Lake Charles</t>
  </si>
  <si>
    <t>762 Sarah Drive</t>
  </si>
  <si>
    <t>male</t>
  </si>
  <si>
    <t>CRUMP</t>
  </si>
  <si>
    <t>S</t>
  </si>
  <si>
    <t>CHANCE</t>
  </si>
  <si>
    <t>50-677</t>
  </si>
  <si>
    <t>916-688-8108</t>
  </si>
  <si>
    <t>WayneRDray@aol.com</t>
  </si>
  <si>
    <t>Elk Grove</t>
  </si>
  <si>
    <t>3578 Highland View Drive</t>
  </si>
  <si>
    <t>DRAY</t>
  </si>
  <si>
    <t>WAYNE</t>
  </si>
  <si>
    <t>19-2255</t>
  </si>
  <si>
    <t>620-307-0819</t>
  </si>
  <si>
    <t>ArthurJPharris@aol.com</t>
  </si>
  <si>
    <t>Wichita</t>
  </si>
  <si>
    <t>1324 Roosevelt Road</t>
  </si>
  <si>
    <t>PHARRIS</t>
  </si>
  <si>
    <t>ARTHUR</t>
  </si>
  <si>
    <t>57-1488</t>
  </si>
  <si>
    <t>228-222-3010</t>
  </si>
  <si>
    <t>KevinBMullen@hotmail.com</t>
  </si>
  <si>
    <t>Biloxi</t>
  </si>
  <si>
    <t>2953 Coventry Court</t>
  </si>
  <si>
    <t>MULLEN</t>
  </si>
  <si>
    <t>KEVIN</t>
  </si>
  <si>
    <t>46-248</t>
  </si>
  <si>
    <t>401-925-8657</t>
  </si>
  <si>
    <t>WilliamJHall@gmail.com</t>
  </si>
  <si>
    <t>Johnston</t>
  </si>
  <si>
    <t>3989 Crummit Lane</t>
  </si>
  <si>
    <t>HALL</t>
  </si>
  <si>
    <t>WILLIAM</t>
  </si>
  <si>
    <t>12-7013</t>
  </si>
  <si>
    <t>334-549-8128</t>
  </si>
  <si>
    <t>AmyJCarpenter@aol.com</t>
  </si>
  <si>
    <t>Montgomery</t>
  </si>
  <si>
    <t>912 Turkey Pen Lane</t>
  </si>
  <si>
    <t>CARPENTER</t>
  </si>
  <si>
    <t>AMY</t>
  </si>
  <si>
    <t>36-6791</t>
  </si>
  <si>
    <t>419-407-5401</t>
  </si>
  <si>
    <t>KevinMTong@gmail.com</t>
  </si>
  <si>
    <t>Toledo</t>
  </si>
  <si>
    <t>4750 Cedarstone Drive</t>
  </si>
  <si>
    <t>TONG</t>
  </si>
  <si>
    <t>09-370</t>
  </si>
  <si>
    <t>845-367-9542</t>
  </si>
  <si>
    <t>FrankBOlson@hotmail.com</t>
  </si>
  <si>
    <t>129 Benedum Drive</t>
  </si>
  <si>
    <t>OLSON</t>
  </si>
  <si>
    <t>FRANK</t>
  </si>
  <si>
    <t>05-084</t>
  </si>
  <si>
    <t>406-286-3178</t>
  </si>
  <si>
    <t>TomDWebb@gmail.com</t>
  </si>
  <si>
    <t>Reserve</t>
  </si>
  <si>
    <t>2451 Richison Drive</t>
  </si>
  <si>
    <t>WEBB</t>
  </si>
  <si>
    <t>TOM</t>
  </si>
  <si>
    <t>47-5400</t>
  </si>
  <si>
    <t>505-273-1301</t>
  </si>
  <si>
    <t>LucyDDelgado@aol.com</t>
  </si>
  <si>
    <t>Causey</t>
  </si>
  <si>
    <t>242 Byrd Lane</t>
  </si>
  <si>
    <t>DELGADO</t>
  </si>
  <si>
    <t>LUCY</t>
  </si>
  <si>
    <t>26-0445</t>
  </si>
  <si>
    <t>815-224-1168</t>
  </si>
  <si>
    <t>TaylorMYoung@gmail.com</t>
  </si>
  <si>
    <t>La Salle</t>
  </si>
  <si>
    <t>151 Emeral Dreams Drive</t>
  </si>
  <si>
    <t>YOUNG</t>
  </si>
  <si>
    <t>TAYLOR</t>
  </si>
  <si>
    <t>28-7956</t>
  </si>
  <si>
    <t>205-442-9042</t>
  </si>
  <si>
    <t>LelandJLee@aol.com</t>
  </si>
  <si>
    <t>Birmingham</t>
  </si>
  <si>
    <t>2636 Broad Street</t>
  </si>
  <si>
    <t>LEE</t>
  </si>
  <si>
    <t>LELAND</t>
  </si>
  <si>
    <t>77-4134</t>
  </si>
  <si>
    <t>303-986-6439</t>
  </si>
  <si>
    <t>WilliamMBarber@aol.com</t>
  </si>
  <si>
    <t>Lakewood</t>
  </si>
  <si>
    <t>591 Tavern Place</t>
  </si>
  <si>
    <t>BARBER</t>
  </si>
  <si>
    <t>04-500</t>
  </si>
  <si>
    <t>312-274-6550</t>
  </si>
  <si>
    <t>GilbertEDawson@aol.com</t>
  </si>
  <si>
    <t>1032 Cecil Street</t>
  </si>
  <si>
    <t>DAWSON</t>
  </si>
  <si>
    <t>GILBERT</t>
  </si>
  <si>
    <t>70-7789</t>
  </si>
  <si>
    <t>607-847-7803</t>
  </si>
  <si>
    <t>MadelineTHeadley@aol.com</t>
  </si>
  <si>
    <t>New Berlin</t>
  </si>
  <si>
    <t>844 Browning Lane</t>
  </si>
  <si>
    <t>HEADLEY</t>
  </si>
  <si>
    <t>T</t>
  </si>
  <si>
    <t>MADELINE</t>
  </si>
  <si>
    <t>36-861</t>
  </si>
  <si>
    <t>209-774-2113</t>
  </si>
  <si>
    <t>DavidSWilliams@gmail.com</t>
  </si>
  <si>
    <t>Stockton</t>
  </si>
  <si>
    <t>1202 Freed Drive</t>
  </si>
  <si>
    <t>WILLIAMS</t>
  </si>
  <si>
    <t>DAVID</t>
  </si>
  <si>
    <t>03-114</t>
  </si>
  <si>
    <t>757-371-8587</t>
  </si>
  <si>
    <t>FrancesSColeman@gmail.com</t>
  </si>
  <si>
    <t>Norfolk</t>
  </si>
  <si>
    <t>2198 Pinchelone Street</t>
  </si>
  <si>
    <t>COLEMAN</t>
  </si>
  <si>
    <t>FRANCES</t>
  </si>
  <si>
    <t>10-836</t>
  </si>
  <si>
    <t>801-301-3595</t>
  </si>
  <si>
    <t>SamAPerry@hotmail.com</t>
  </si>
  <si>
    <t>Salt Lake City</t>
  </si>
  <si>
    <t>4565 Philadelphia Avenue</t>
  </si>
  <si>
    <t>PERRY</t>
  </si>
  <si>
    <t>SAM</t>
  </si>
  <si>
    <t>60-3494</t>
  </si>
  <si>
    <t>918-581-6967</t>
  </si>
  <si>
    <t>DonaldABlevins@aol.com</t>
  </si>
  <si>
    <t>Tulsa</t>
  </si>
  <si>
    <t>1804 Camel Back Road</t>
  </si>
  <si>
    <t>BLEVINS</t>
  </si>
  <si>
    <t>DONALD</t>
  </si>
  <si>
    <t>20-3929</t>
  </si>
  <si>
    <t>818-488-1368</t>
  </si>
  <si>
    <t>NormaIFolden@hotmail.com</t>
  </si>
  <si>
    <t>Burbank</t>
  </si>
  <si>
    <t>1037 Edsel Road</t>
  </si>
  <si>
    <t>FOLDEN</t>
  </si>
  <si>
    <t>NORMA</t>
  </si>
  <si>
    <t>56-6500</t>
  </si>
  <si>
    <t>785-382-4302</t>
  </si>
  <si>
    <t>CarlJWeis@aol.com</t>
  </si>
  <si>
    <t>Home</t>
  </si>
  <si>
    <t>509 Maloy Court</t>
  </si>
  <si>
    <t>WEIS</t>
  </si>
  <si>
    <t>CARL</t>
  </si>
  <si>
    <t>74-495</t>
  </si>
  <si>
    <t>216-263-2475</t>
  </si>
  <si>
    <t>JosephBOliver@hotmail.com</t>
  </si>
  <si>
    <t>Cleveland</t>
  </si>
  <si>
    <t>3294 Glenwood Avenue</t>
  </si>
  <si>
    <t>OLIVER</t>
  </si>
  <si>
    <t>JOSEPH</t>
  </si>
  <si>
    <t>84-265</t>
  </si>
  <si>
    <t>646-238-5360</t>
  </si>
  <si>
    <t>RonaldJSawyer@aol.com</t>
  </si>
  <si>
    <t>1477 Morningview Lane</t>
  </si>
  <si>
    <t>SAWYER</t>
  </si>
  <si>
    <t>RONALD</t>
  </si>
  <si>
    <t>89-8017</t>
  </si>
  <si>
    <t>213-347-9293</t>
  </si>
  <si>
    <t>DavidJGilman@aol.com</t>
  </si>
  <si>
    <t>Los Angeles</t>
  </si>
  <si>
    <t>591 Brannon Street</t>
  </si>
  <si>
    <t>GILMAN</t>
  </si>
  <si>
    <t>14-718</t>
  </si>
  <si>
    <t>816-612-5450</t>
  </si>
  <si>
    <t>PatrickCDunson@hotmail.com</t>
  </si>
  <si>
    <t>Kansas City</t>
  </si>
  <si>
    <t>3674 White Oak Drive</t>
  </si>
  <si>
    <t>DUNSON</t>
  </si>
  <si>
    <t>PATRICK</t>
  </si>
  <si>
    <t>06-905</t>
  </si>
  <si>
    <t>856-678-5886</t>
  </si>
  <si>
    <t>BryanFRobinson@aol.com</t>
  </si>
  <si>
    <t>Pennsville</t>
  </si>
  <si>
    <t>1049 Prospect Street</t>
  </si>
  <si>
    <t>ROBINSON</t>
  </si>
  <si>
    <t>BRYAN</t>
  </si>
  <si>
    <t>48-3969</t>
  </si>
  <si>
    <t>435-938-4989</t>
  </si>
  <si>
    <t>ChristopherCDawson@gmail.com</t>
  </si>
  <si>
    <t>2379 Lang Avenue</t>
  </si>
  <si>
    <t>CHRISTOPHER</t>
  </si>
  <si>
    <t>28-9452</t>
  </si>
  <si>
    <t>618-667-5060</t>
  </si>
  <si>
    <t>CynthiaJKizer@gmail.com</t>
  </si>
  <si>
    <t>Troy</t>
  </si>
  <si>
    <t>777 College View</t>
  </si>
  <si>
    <t>KIZER</t>
  </si>
  <si>
    <t>CYNTHIA</t>
  </si>
  <si>
    <t>56-790</t>
  </si>
  <si>
    <t>931-503-2978</t>
  </si>
  <si>
    <t>SarahGJohnson@gmail.com</t>
  </si>
  <si>
    <t>Clarksville</t>
  </si>
  <si>
    <t>3648 Chenoweth Drive</t>
  </si>
  <si>
    <t>JOHNSON</t>
  </si>
  <si>
    <t>SARAH</t>
  </si>
  <si>
    <t>39-9306</t>
  </si>
  <si>
    <t>662-869-6312</t>
  </si>
  <si>
    <t>BarbaraWVelazquez@gmail.com</t>
  </si>
  <si>
    <t>Saltillo</t>
  </si>
  <si>
    <t>4739 Tanglewood Road</t>
  </si>
  <si>
    <t>VELAZQUEZ</t>
  </si>
  <si>
    <t>W</t>
  </si>
  <si>
    <t>BARBARA</t>
  </si>
  <si>
    <t>74-6769</t>
  </si>
  <si>
    <t>917-299-0981</t>
  </si>
  <si>
    <t>LeeMDiaz@aol.com</t>
  </si>
  <si>
    <t>Garden City</t>
  </si>
  <si>
    <t>2479 Turkey Pen Road</t>
  </si>
  <si>
    <t>DIAZ</t>
  </si>
  <si>
    <t>71-298</t>
  </si>
  <si>
    <t>909-463-0852</t>
  </si>
  <si>
    <t>ScottyJHorton@gmail.com</t>
  </si>
  <si>
    <t>Etiwanda</t>
  </si>
  <si>
    <t>4751 Gordon Street</t>
  </si>
  <si>
    <t>HORTON</t>
  </si>
  <si>
    <t>SCOTTY</t>
  </si>
  <si>
    <t>42-284</t>
  </si>
  <si>
    <t>253-852-4052</t>
  </si>
  <si>
    <t>DerekRWelch@hotmail.com</t>
  </si>
  <si>
    <t>Kent</t>
  </si>
  <si>
    <t>3019 Dale Avenue</t>
  </si>
  <si>
    <t>WELCH</t>
  </si>
  <si>
    <t>DEREK</t>
  </si>
  <si>
    <t>62-4098</t>
  </si>
  <si>
    <t>410-861-3215</t>
  </si>
  <si>
    <t>StephanieCTipler@hotmail.com</t>
  </si>
  <si>
    <t>Reisterstown</t>
  </si>
  <si>
    <t>1172 Marie Street</t>
  </si>
  <si>
    <t>TIPLER</t>
  </si>
  <si>
    <t>STEPHANIE</t>
  </si>
  <si>
    <t>85-9855</t>
  </si>
  <si>
    <t>843-424-8460</t>
  </si>
  <si>
    <t>MarySBorders@gmail.com</t>
  </si>
  <si>
    <t>Myrtle Beach</t>
  </si>
  <si>
    <t>3103 Jerry Dove Drive</t>
  </si>
  <si>
    <t>BORDERS</t>
  </si>
  <si>
    <t>MARY</t>
  </si>
  <si>
    <t>01-1104</t>
  </si>
  <si>
    <t>336-434-5443</t>
  </si>
  <si>
    <t>LarryGHiggin@hotmail.com</t>
  </si>
  <si>
    <t>Archdale</t>
  </si>
  <si>
    <t>3602 Keyser Ridge Road</t>
  </si>
  <si>
    <t>HIGGIN</t>
  </si>
  <si>
    <t>LARRY</t>
  </si>
  <si>
    <t>10-7324</t>
  </si>
  <si>
    <t>281-587-3822</t>
  </si>
  <si>
    <t>DavidJRobinson@aol.com</t>
  </si>
  <si>
    <t>Houston</t>
  </si>
  <si>
    <t>1515 Bird Spring Lane</t>
  </si>
  <si>
    <t>42-3187</t>
  </si>
  <si>
    <t>216-741-1378</t>
  </si>
  <si>
    <t>LindaRHarris@aol.com</t>
  </si>
  <si>
    <t>3620 Sunny Glen Lane</t>
  </si>
  <si>
    <t>HARRIS</t>
  </si>
  <si>
    <t>LINDA</t>
  </si>
  <si>
    <t>60-7560</t>
  </si>
  <si>
    <t>325-853-1929</t>
  </si>
  <si>
    <t>JohnSJacobs@hotmail.com</t>
  </si>
  <si>
    <t>Eldorado</t>
  </si>
  <si>
    <t>2270 Anthony Avenue</t>
  </si>
  <si>
    <t>JACOBS</t>
  </si>
  <si>
    <t>JOHN</t>
  </si>
  <si>
    <t>01-889</t>
  </si>
  <si>
    <t>808-397-5315</t>
  </si>
  <si>
    <t>GuyDLent@hotmail.com</t>
  </si>
  <si>
    <t>Honolulu</t>
  </si>
  <si>
    <t>3898 Arron Smith Drive</t>
  </si>
  <si>
    <t>LENT</t>
  </si>
  <si>
    <t>GUY</t>
  </si>
  <si>
    <t>56-2096</t>
  </si>
  <si>
    <t>985-255-0725</t>
  </si>
  <si>
    <t>HowardJSykes@gmail.com</t>
  </si>
  <si>
    <t>New Orleans</t>
  </si>
  <si>
    <t>3845 Swick Hill Street</t>
  </si>
  <si>
    <t>SYKES</t>
  </si>
  <si>
    <t>HOWARD</t>
  </si>
  <si>
    <t>48-7067</t>
  </si>
  <si>
    <t>937-834-6456</t>
  </si>
  <si>
    <t>JesusaFLarsen@gmail.com</t>
  </si>
  <si>
    <t>Mechanicsburg</t>
  </si>
  <si>
    <t>2252 Crim Lane</t>
  </si>
  <si>
    <t>LARSEN</t>
  </si>
  <si>
    <t>JESUSA</t>
  </si>
  <si>
    <t>07-025</t>
  </si>
  <si>
    <t>972-871-3664</t>
  </si>
  <si>
    <t>DonaldLMurray@hotmail.com</t>
  </si>
  <si>
    <t>Irving</t>
  </si>
  <si>
    <t>1429 Ash Street</t>
  </si>
  <si>
    <t>MURRAY</t>
  </si>
  <si>
    <t>49-4081</t>
  </si>
  <si>
    <t>213-617-3930</t>
  </si>
  <si>
    <t>CharlesRMarshall@hotmail.com</t>
  </si>
  <si>
    <t>12 Canis Heights Drive</t>
  </si>
  <si>
    <t>MARSHALL</t>
  </si>
  <si>
    <t>CHARLES</t>
  </si>
  <si>
    <t>28-480</t>
  </si>
  <si>
    <t>770-522-3655</t>
  </si>
  <si>
    <t>JamesJYu@aol.com</t>
  </si>
  <si>
    <t>Dunwoody</t>
  </si>
  <si>
    <t>2237 Elk Creek Road</t>
  </si>
  <si>
    <t>YU</t>
  </si>
  <si>
    <t>JAMES</t>
  </si>
  <si>
    <t>01-3941</t>
  </si>
  <si>
    <t>704-908-1546</t>
  </si>
  <si>
    <t>JuanGJacobsen@gmail.com</t>
  </si>
  <si>
    <t>Charlotte</t>
  </si>
  <si>
    <t>527 Kelly Street</t>
  </si>
  <si>
    <t>JACOBSEN</t>
  </si>
  <si>
    <t>JUAN</t>
  </si>
  <si>
    <t>46-9353</t>
  </si>
  <si>
    <t>713-902-5769</t>
  </si>
  <si>
    <t>TeddyWDishman@aol.com</t>
  </si>
  <si>
    <t>Sugar Land</t>
  </si>
  <si>
    <t>287 Margaret Street</t>
  </si>
  <si>
    <t>DISHMAN</t>
  </si>
  <si>
    <t>TEDDY</t>
  </si>
  <si>
    <t>34-680</t>
  </si>
  <si>
    <t>815-371-6613</t>
  </si>
  <si>
    <t>ClarenceAJoseph@gmail.com</t>
  </si>
  <si>
    <t>2276 Lowland Drive</t>
  </si>
  <si>
    <t>CLARENCE</t>
  </si>
  <si>
    <t>01-4076</t>
  </si>
  <si>
    <t>931-416-4171</t>
  </si>
  <si>
    <t>EarlMAguirre@hotmail.com</t>
  </si>
  <si>
    <t>Nashville</t>
  </si>
  <si>
    <t>3747 McDowell Street</t>
  </si>
  <si>
    <t>AGUIRRE</t>
  </si>
  <si>
    <t>EARL</t>
  </si>
  <si>
    <t>68-3622</t>
  </si>
  <si>
    <t>325-846-3787</t>
  </si>
  <si>
    <t>TaraTEmberton@gmail.com</t>
  </si>
  <si>
    <t>Nubia</t>
  </si>
  <si>
    <t>3032 Anthony Avenue</t>
  </si>
  <si>
    <t>EMBERTON</t>
  </si>
  <si>
    <t>TARA</t>
  </si>
  <si>
    <t>36-8075</t>
  </si>
  <si>
    <t>765-746-0191</t>
  </si>
  <si>
    <t>KathyJBazan@gmail.com</t>
  </si>
  <si>
    <t>Lafayette</t>
  </si>
  <si>
    <t>1668 Winifred Way</t>
  </si>
  <si>
    <t>BAZAN</t>
  </si>
  <si>
    <t>KATHY</t>
  </si>
  <si>
    <t>03-594</t>
  </si>
  <si>
    <t>949-929-5020</t>
  </si>
  <si>
    <t>SusanABoling@hotmail.com</t>
  </si>
  <si>
    <t>Irvine</t>
  </si>
  <si>
    <t>1423 Hillcrest Lane</t>
  </si>
  <si>
    <t>BOLING</t>
  </si>
  <si>
    <t>SUSAN</t>
  </si>
  <si>
    <t>26-014</t>
  </si>
  <si>
    <t>785-461-6037</t>
  </si>
  <si>
    <t>DerekLRivera@hotmail.com</t>
  </si>
  <si>
    <t>Wakefield</t>
  </si>
  <si>
    <t>2513 Maloy Court</t>
  </si>
  <si>
    <t>RIVERA</t>
  </si>
  <si>
    <t>03-272</t>
  </si>
  <si>
    <t>864-621-2834</t>
  </si>
  <si>
    <t>SamuelMRobinson@gmail.com</t>
  </si>
  <si>
    <t>Greenville</t>
  </si>
  <si>
    <t>1518 Pooh Bear Lane</t>
  </si>
  <si>
    <t>SAMUEL</t>
  </si>
  <si>
    <t>88-5756</t>
  </si>
  <si>
    <t>513-793-4303</t>
  </si>
  <si>
    <t>LeroyJBallweg@aol.com</t>
  </si>
  <si>
    <t>Cincinnati</t>
  </si>
  <si>
    <t>3532 Round Table Drive</t>
  </si>
  <si>
    <t>BALLWEG</t>
  </si>
  <si>
    <t>LEROY</t>
  </si>
  <si>
    <t>78-219</t>
  </si>
  <si>
    <t>304-487-6096</t>
  </si>
  <si>
    <t>VirginiaMGivens@hotmail.com</t>
  </si>
  <si>
    <t>Princeton</t>
  </si>
  <si>
    <t>3716 Fulton Street</t>
  </si>
  <si>
    <t>GIVENS</t>
  </si>
  <si>
    <t>VIRGINIA</t>
  </si>
  <si>
    <t>38-065</t>
  </si>
  <si>
    <t>504-415-5456</t>
  </si>
  <si>
    <t>AmyGThomas@aol.com</t>
  </si>
  <si>
    <t>Metairie</t>
  </si>
  <si>
    <t>2180 Paul Wayne Haggerty Road</t>
  </si>
  <si>
    <t>THOMAS</t>
  </si>
  <si>
    <t>07-8580</t>
  </si>
  <si>
    <t>717-575-6752</t>
  </si>
  <si>
    <t>BrendaLNorris@gmail.com</t>
  </si>
  <si>
    <t>Harrisburg</t>
  </si>
  <si>
    <t>2832 Lincoln Drive</t>
  </si>
  <si>
    <t>NORRIS</t>
  </si>
  <si>
    <t>BRENDA</t>
  </si>
  <si>
    <t>20-6141</t>
  </si>
  <si>
    <t>660-797-8359</t>
  </si>
  <si>
    <t>StacySPetersen@gmail.com</t>
  </si>
  <si>
    <t>1887 Oak Lane</t>
  </si>
  <si>
    <t>PETERSEN</t>
  </si>
  <si>
    <t>STACY</t>
  </si>
  <si>
    <t>60-597</t>
  </si>
  <si>
    <t>240-643-5792</t>
  </si>
  <si>
    <t>JesseSMorrow@hotmail.com</t>
  </si>
  <si>
    <t>Beltsville</t>
  </si>
  <si>
    <t>2702 Chatham Way</t>
  </si>
  <si>
    <t>MORROW</t>
  </si>
  <si>
    <t>JESSE</t>
  </si>
  <si>
    <t>80-0885</t>
  </si>
  <si>
    <t>443-227-9750</t>
  </si>
  <si>
    <t>AnthonyDBrawner@aol.com</t>
  </si>
  <si>
    <t>481 Five Points</t>
  </si>
  <si>
    <t>BRAWNER</t>
  </si>
  <si>
    <t>ANTHONY</t>
  </si>
  <si>
    <t>01-807</t>
  </si>
  <si>
    <t>831-218-2456</t>
  </si>
  <si>
    <t>SusanRWallace@gmail.com</t>
  </si>
  <si>
    <t>San Jose</t>
  </si>
  <si>
    <t>662 Parrish Avenue</t>
  </si>
  <si>
    <t>WALLACE</t>
  </si>
  <si>
    <t>67-197</t>
  </si>
  <si>
    <t>808-782-9339</t>
  </si>
  <si>
    <t>DeanCDay@aol.com</t>
  </si>
  <si>
    <t>1037 Randall Drive</t>
  </si>
  <si>
    <t>DEAN</t>
  </si>
  <si>
    <t>61-2978</t>
  </si>
  <si>
    <t>503-513-3931</t>
  </si>
  <si>
    <t>HaywoodMAlbritton@aol.com</t>
  </si>
  <si>
    <t>Milwaukie</t>
  </si>
  <si>
    <t>1778 Kincheloe Road</t>
  </si>
  <si>
    <t>ALBRITTON</t>
  </si>
  <si>
    <t>HAYWOOD</t>
  </si>
  <si>
    <t>70-449</t>
  </si>
  <si>
    <t>501-278-7551</t>
  </si>
  <si>
    <t>DianeJColdwell@aol.com</t>
  </si>
  <si>
    <t>Searcy</t>
  </si>
  <si>
    <t>2385 Clinton Street</t>
  </si>
  <si>
    <t>COLDWELL</t>
  </si>
  <si>
    <t>DIANE</t>
  </si>
  <si>
    <t>10-210</t>
  </si>
  <si>
    <t>318-463-7717</t>
  </si>
  <si>
    <t>AmyKCarter@gmail.com</t>
  </si>
  <si>
    <t>Alexandria</t>
  </si>
  <si>
    <t>2091 August Lane</t>
  </si>
  <si>
    <t>CARTER</t>
  </si>
  <si>
    <t>55-188</t>
  </si>
  <si>
    <t>972-774-2663</t>
  </si>
  <si>
    <t>OliviaLMunson@gmail.com</t>
  </si>
  <si>
    <t>Dallas</t>
  </si>
  <si>
    <t>3196 Charla Lane</t>
  </si>
  <si>
    <t>MUNSON</t>
  </si>
  <si>
    <t>OLIVIA</t>
  </si>
  <si>
    <t>68-271</t>
  </si>
  <si>
    <t>937-413-2916</t>
  </si>
  <si>
    <t>JeffreyJDuggins@hotmail.com</t>
  </si>
  <si>
    <t>Dayton</t>
  </si>
  <si>
    <t>3871 College Avenue</t>
  </si>
  <si>
    <t>DUGGINS</t>
  </si>
  <si>
    <t>JEFFREY</t>
  </si>
  <si>
    <t>60-767</t>
  </si>
  <si>
    <t>415-936-3184</t>
  </si>
  <si>
    <t>AndrewLAtkinson@gmail.com</t>
  </si>
  <si>
    <t>San Francisco</t>
  </si>
  <si>
    <t>627 Locust View Drive</t>
  </si>
  <si>
    <t>ATKINSON</t>
  </si>
  <si>
    <t>ANDREW</t>
  </si>
  <si>
    <t>64-935</t>
  </si>
  <si>
    <t>417-280-1772</t>
  </si>
  <si>
    <t>GilbertoSLau@gmail.com</t>
  </si>
  <si>
    <t>Branson</t>
  </si>
  <si>
    <t>3459 Lighthouse Drive</t>
  </si>
  <si>
    <t>LAU</t>
  </si>
  <si>
    <t>GILBERTO</t>
  </si>
  <si>
    <t>24-8912</t>
  </si>
  <si>
    <t>917-278-4105</t>
  </si>
  <si>
    <t>FrancesCKing@gmail.com</t>
  </si>
  <si>
    <t>3784 Turkey Pen Road</t>
  </si>
  <si>
    <t>KING</t>
  </si>
  <si>
    <t>98-8008</t>
  </si>
  <si>
    <t>443-383-8083</t>
  </si>
  <si>
    <t>MikiCGries@gmail.com</t>
  </si>
  <si>
    <t>3504 Calvin Street</t>
  </si>
  <si>
    <t>GRIES</t>
  </si>
  <si>
    <t>MIKI</t>
  </si>
  <si>
    <t>58-5735</t>
  </si>
  <si>
    <t>323-691-2424</t>
  </si>
  <si>
    <t>ThomasSLowman@hotmail.com</t>
  </si>
  <si>
    <t>Santa Fe Springs</t>
  </si>
  <si>
    <t>4715 Southside Lane</t>
  </si>
  <si>
    <t>LOWMAN</t>
  </si>
  <si>
    <t>01-800</t>
  </si>
  <si>
    <t>504-832-3602</t>
  </si>
  <si>
    <t>AndreaDFlinn@gmail.com</t>
  </si>
  <si>
    <t>706 Shadowmar Drive</t>
  </si>
  <si>
    <t>FLINN</t>
  </si>
  <si>
    <t>ANDREA</t>
  </si>
  <si>
    <t>96-7918</t>
  </si>
  <si>
    <t>909-309-5979</t>
  </si>
  <si>
    <t>RobertSSparks@hotmail.com</t>
  </si>
  <si>
    <t>1564 Bel Meadow Drive</t>
  </si>
  <si>
    <t>SPARKS</t>
  </si>
  <si>
    <t>ROBERT</t>
  </si>
  <si>
    <t>91-8716</t>
  </si>
  <si>
    <t>704-770-4875</t>
  </si>
  <si>
    <t>RussellRKeel@hotmail.com</t>
  </si>
  <si>
    <t>3245 Harry Place</t>
  </si>
  <si>
    <t>KEEL</t>
  </si>
  <si>
    <t>RUSSELL</t>
  </si>
  <si>
    <t>01-9086</t>
  </si>
  <si>
    <t>540-689-1022</t>
  </si>
  <si>
    <t>AmeliaTLane@aol.com</t>
  </si>
  <si>
    <t>Harrisonburg</t>
  </si>
  <si>
    <t>1484 White Pine Lane</t>
  </si>
  <si>
    <t>LANE</t>
  </si>
  <si>
    <t>AMELIA</t>
  </si>
  <si>
    <t>55-035</t>
  </si>
  <si>
    <t>661-245-5261</t>
  </si>
  <si>
    <t>EstherLLord@gmail.com</t>
  </si>
  <si>
    <t>Frazier Park</t>
  </si>
  <si>
    <t>657 Williams Avenue</t>
  </si>
  <si>
    <t>LORD</t>
  </si>
  <si>
    <t>ESTHER</t>
  </si>
  <si>
    <t>01-5060</t>
  </si>
  <si>
    <t>617-392-2943</t>
  </si>
  <si>
    <t>AshleyDJohnson@hotmail.com</t>
  </si>
  <si>
    <t>2835 Aspen Court</t>
  </si>
  <si>
    <t>ASHLEY</t>
  </si>
  <si>
    <t>03-7118</t>
  </si>
  <si>
    <t>540-653-0178</t>
  </si>
  <si>
    <t>LydiaHAmoroso@gmail.com</t>
  </si>
  <si>
    <t>Dahlgren</t>
  </si>
  <si>
    <t>3013 White Pine Lane</t>
  </si>
  <si>
    <t>AMOROSO</t>
  </si>
  <si>
    <t>LYDIA</t>
  </si>
  <si>
    <t>31-990</t>
  </si>
  <si>
    <t>503-713-0992</t>
  </si>
  <si>
    <t>VictorAJohnson@hotmail.com</t>
  </si>
  <si>
    <t>Portland</t>
  </si>
  <si>
    <t>4515 Illinois Avenue</t>
  </si>
  <si>
    <t>VICTOR</t>
  </si>
  <si>
    <t>34-3018</t>
  </si>
  <si>
    <t>214-617-9083</t>
  </si>
  <si>
    <t>EdithJReed@hotmail.com</t>
  </si>
  <si>
    <t>841 Romines Mill Road</t>
  </si>
  <si>
    <t>REED</t>
  </si>
  <si>
    <t>EDITH</t>
  </si>
  <si>
    <t>69-143</t>
  </si>
  <si>
    <t>410-302-4255</t>
  </si>
  <si>
    <t>MichaelNHorning@hotmail.com</t>
  </si>
  <si>
    <t>Hanover</t>
  </si>
  <si>
    <t>1086 Blue Spruce Lane</t>
  </si>
  <si>
    <t>HORNING</t>
  </si>
  <si>
    <t>N</t>
  </si>
  <si>
    <t>MICHAEL</t>
  </si>
  <si>
    <t>92-266</t>
  </si>
  <si>
    <t>202-470-8024</t>
  </si>
  <si>
    <t>DanielMBrister@hotmail.com</t>
  </si>
  <si>
    <t>Fort Washington</t>
  </si>
  <si>
    <t>232 Hickory Lane</t>
  </si>
  <si>
    <t>BRISTER</t>
  </si>
  <si>
    <t>DANIEL</t>
  </si>
  <si>
    <t>56-809</t>
  </si>
  <si>
    <t>806-434-1502</t>
  </si>
  <si>
    <t>MichaelJWendling@aol.com</t>
  </si>
  <si>
    <t>Perryton</t>
  </si>
  <si>
    <t>2626 Charmaine Lane</t>
  </si>
  <si>
    <t>WENDLING</t>
  </si>
  <si>
    <t>78-2018</t>
  </si>
  <si>
    <t>641-722-2778</t>
  </si>
  <si>
    <t>LatonyaBTaggart@aol.com</t>
  </si>
  <si>
    <t>Drakesville</t>
  </si>
  <si>
    <t>3904 Park Boulevard</t>
  </si>
  <si>
    <t>TAGGART</t>
  </si>
  <si>
    <t>LATONYA</t>
  </si>
  <si>
    <t>02-588</t>
  </si>
  <si>
    <t>309-667-9596</t>
  </si>
  <si>
    <t>ScottJLohr@hotmail.com</t>
  </si>
  <si>
    <t>New Windsor</t>
  </si>
  <si>
    <t>3016 Garfield Road</t>
  </si>
  <si>
    <t>LOHR</t>
  </si>
  <si>
    <t>SCOTT</t>
  </si>
  <si>
    <t>49-304</t>
  </si>
  <si>
    <t>662-990-9028</t>
  </si>
  <si>
    <t>SidneyRWilliams@gmail.com</t>
  </si>
  <si>
    <t>Jackson</t>
  </si>
  <si>
    <t>4292 Tanglewood Road</t>
  </si>
  <si>
    <t>SIDNEY</t>
  </si>
  <si>
    <t>62-4358</t>
  </si>
  <si>
    <t>607-210-4364</t>
  </si>
  <si>
    <t>RoseCGlenn@aol.com</t>
  </si>
  <si>
    <t>Binghamton</t>
  </si>
  <si>
    <t>3643 Hinkle Deegan Lake Road</t>
  </si>
  <si>
    <t>GLENN</t>
  </si>
  <si>
    <t>ROSE</t>
  </si>
  <si>
    <t>39-271</t>
  </si>
  <si>
    <t>303-848-9860</t>
  </si>
  <si>
    <t>MarkLMonroe@gmail.com</t>
  </si>
  <si>
    <t>Denver</t>
  </si>
  <si>
    <t>3535 McKinley Avenue</t>
  </si>
  <si>
    <t>MONROE</t>
  </si>
  <si>
    <t>MARK</t>
  </si>
  <si>
    <t>14-923</t>
  </si>
  <si>
    <t>914-937-4898</t>
  </si>
  <si>
    <t>RobertDWeber@gmail.com</t>
  </si>
  <si>
    <t>Port Chester</t>
  </si>
  <si>
    <t>385 Ward Road</t>
  </si>
  <si>
    <t>WEBER</t>
  </si>
  <si>
    <t>64-856</t>
  </si>
  <si>
    <t>951-801-7659</t>
  </si>
  <si>
    <t>PaulaWMadden@gmail.com</t>
  </si>
  <si>
    <t>4731 Murphy Court</t>
  </si>
  <si>
    <t>MADDEN</t>
  </si>
  <si>
    <t>PAULA</t>
  </si>
  <si>
    <t>22-8985</t>
  </si>
  <si>
    <t>217-674-4591</t>
  </si>
  <si>
    <t>MelodyMNelson@hotmail.com</t>
  </si>
  <si>
    <t>Latham</t>
  </si>
  <si>
    <t>757 Scenic Way</t>
  </si>
  <si>
    <t>NELSON</t>
  </si>
  <si>
    <t>MELODY</t>
  </si>
  <si>
    <t>90-7327</t>
  </si>
  <si>
    <t>360-481-3112</t>
  </si>
  <si>
    <t>TylerADejesus@gmail.com</t>
  </si>
  <si>
    <t>Seattle</t>
  </si>
  <si>
    <t>4128 Boone Crockett Lane</t>
  </si>
  <si>
    <t>DEJESUS</t>
  </si>
  <si>
    <t>TYLER</t>
  </si>
  <si>
    <t>22-8995</t>
  </si>
  <si>
    <t>817-489-0531</t>
  </si>
  <si>
    <t>LindseyRMartinez@gmail.com</t>
  </si>
  <si>
    <t>Newark</t>
  </si>
  <si>
    <t>3675 Jones Street</t>
  </si>
  <si>
    <t>MARTINEZ</t>
  </si>
  <si>
    <t>LINDSEY</t>
  </si>
  <si>
    <t>72-839</t>
  </si>
  <si>
    <t>202-420-6111</t>
  </si>
  <si>
    <t>JosephCAtkinson@aol.com</t>
  </si>
  <si>
    <t>4723 Rhode Island Avenue</t>
  </si>
  <si>
    <t>86-3624</t>
  </si>
  <si>
    <t>914-324-6344</t>
  </si>
  <si>
    <t>MaryAPearson@hotmail.com</t>
  </si>
  <si>
    <t>Monsey</t>
  </si>
  <si>
    <t>4041 Pallet Street</t>
  </si>
  <si>
    <t>PEARSON</t>
  </si>
  <si>
    <t>52-8535</t>
  </si>
  <si>
    <t>916-640-6029</t>
  </si>
  <si>
    <t>JaniceNKrout@hotmail.com</t>
  </si>
  <si>
    <t>Roseville</t>
  </si>
  <si>
    <t>4966 Highland View Drive</t>
  </si>
  <si>
    <t>KROUT</t>
  </si>
  <si>
    <t>JANICE</t>
  </si>
  <si>
    <t>30-8425</t>
  </si>
  <si>
    <t>732-480-7525</t>
  </si>
  <si>
    <t>RobertRBrock@gmail.com</t>
  </si>
  <si>
    <t>New Brunswick</t>
  </si>
  <si>
    <t>3374 Finwood Road</t>
  </si>
  <si>
    <t>BROCK</t>
  </si>
  <si>
    <t>48-0389</t>
  </si>
  <si>
    <t>908-474-4556</t>
  </si>
  <si>
    <t>HenryCRosenbaum@gmail.com</t>
  </si>
  <si>
    <t>Linden</t>
  </si>
  <si>
    <t>586 Caynor Circle</t>
  </si>
  <si>
    <t>ROSENBAUM</t>
  </si>
  <si>
    <t>HENRY</t>
  </si>
  <si>
    <t>96-1971</t>
  </si>
  <si>
    <t>580-565-5337</t>
  </si>
  <si>
    <t>PaulLCurtis@aol.com</t>
  </si>
  <si>
    <t>Oklahoma City</t>
  </si>
  <si>
    <t>3750 Simpson Square</t>
  </si>
  <si>
    <t>CURTIS</t>
  </si>
  <si>
    <t>PAUL</t>
  </si>
  <si>
    <t>02-679</t>
  </si>
  <si>
    <t>580-284-2663</t>
  </si>
  <si>
    <t>TheresaJCraig@hotmail.com</t>
  </si>
  <si>
    <t>2374 Luke Lane</t>
  </si>
  <si>
    <t>CRAIG</t>
  </si>
  <si>
    <t>THERESA</t>
  </si>
  <si>
    <t>49-301</t>
  </si>
  <si>
    <t>843-652-1588</t>
  </si>
  <si>
    <t>CarlosMNa@gmail.com</t>
  </si>
  <si>
    <t>Murrells Inlet</t>
  </si>
  <si>
    <t>2290 Khale Street</t>
  </si>
  <si>
    <t>NA</t>
  </si>
  <si>
    <t>CARLOS</t>
  </si>
  <si>
    <t>51-906</t>
  </si>
  <si>
    <t>702-691-7861</t>
  </si>
  <si>
    <t>CharlesMRoberts@hotmail.com</t>
  </si>
  <si>
    <t>Las Vegas</t>
  </si>
  <si>
    <t>283 Hickory Ridge Drive</t>
  </si>
  <si>
    <t>ROBERTS</t>
  </si>
  <si>
    <t>84-8580</t>
  </si>
  <si>
    <t>410-861-1596</t>
  </si>
  <si>
    <t>SusanSValentine@gmail.com</t>
  </si>
  <si>
    <t>2064 Marie Street</t>
  </si>
  <si>
    <t>VALENTINE</t>
  </si>
  <si>
    <t>94-998</t>
  </si>
  <si>
    <t>916-276-4694</t>
  </si>
  <si>
    <t>JoyceMMillard@aol.com</t>
  </si>
  <si>
    <t>Sacramento</t>
  </si>
  <si>
    <t>4105 Frederick Street</t>
  </si>
  <si>
    <t>MILLARD</t>
  </si>
  <si>
    <t>JOYCE</t>
  </si>
  <si>
    <t>84-853</t>
  </si>
  <si>
    <t>978-965-4662</t>
  </si>
  <si>
    <t>WilliamRKim@aol.com</t>
  </si>
  <si>
    <t>Cambridge</t>
  </si>
  <si>
    <t>4352 Russell Street</t>
  </si>
  <si>
    <t>KIM</t>
  </si>
  <si>
    <t>16-1094</t>
  </si>
  <si>
    <t>419-860-5124</t>
  </si>
  <si>
    <t>GarryJPannell@aol.com</t>
  </si>
  <si>
    <t>Lima</t>
  </si>
  <si>
    <t>1757 Upland Avenue</t>
  </si>
  <si>
    <t>PANNELL</t>
  </si>
  <si>
    <t>GARRY</t>
  </si>
  <si>
    <t>05-9915</t>
  </si>
  <si>
    <t>337-430-3692</t>
  </si>
  <si>
    <t>LouiseEBenner@hotmail.com</t>
  </si>
  <si>
    <t>2872 Sarah Drive</t>
  </si>
  <si>
    <t>BENNER</t>
  </si>
  <si>
    <t>LOUISE</t>
  </si>
  <si>
    <t>16-036</t>
  </si>
  <si>
    <t>813-435-8079</t>
  </si>
  <si>
    <t>KimWHines@aol.com</t>
  </si>
  <si>
    <t>Tampa</t>
  </si>
  <si>
    <t>2312 Marion Drive</t>
  </si>
  <si>
    <t>HINES</t>
  </si>
  <si>
    <t>43-4363</t>
  </si>
  <si>
    <t>954-538-7145</t>
  </si>
  <si>
    <t>DavidJWilson@aol.com</t>
  </si>
  <si>
    <t>Fort Lauderdale</t>
  </si>
  <si>
    <t>3742 Kenwood Place</t>
  </si>
  <si>
    <t>WILSON</t>
  </si>
  <si>
    <t>54-633</t>
  </si>
  <si>
    <t>402-675-2093</t>
  </si>
  <si>
    <t>PaulineRFisher@aol.com</t>
  </si>
  <si>
    <t>Battle Creek</t>
  </si>
  <si>
    <t>2642 Snowbird Lane</t>
  </si>
  <si>
    <t>FISHER</t>
  </si>
  <si>
    <t>PAULINE</t>
  </si>
  <si>
    <t>66-637</t>
  </si>
  <si>
    <t>618-280-2545</t>
  </si>
  <si>
    <t>JamesJPerry@aol.com</t>
  </si>
  <si>
    <t>Metropolis</t>
  </si>
  <si>
    <t>671 Ross Street</t>
  </si>
  <si>
    <t>38-208</t>
  </si>
  <si>
    <t>631-433-2627</t>
  </si>
  <si>
    <t>MarshallJHubbard@aol.com</t>
  </si>
  <si>
    <t>1846 Wayback Lane</t>
  </si>
  <si>
    <t>HUBBARD</t>
  </si>
  <si>
    <t>45-309</t>
  </si>
  <si>
    <t>662-229-2018</t>
  </si>
  <si>
    <t>AdamVWhite@gmail.com</t>
  </si>
  <si>
    <t>Grenada</t>
  </si>
  <si>
    <t>4626 Oxford Court</t>
  </si>
  <si>
    <t>WHITE</t>
  </si>
  <si>
    <t>V</t>
  </si>
  <si>
    <t>ADAM</t>
  </si>
  <si>
    <t>48-663</t>
  </si>
  <si>
    <t>219-851-2179</t>
  </si>
  <si>
    <t>BobbyMWells@gmail.com</t>
  </si>
  <si>
    <t>Laporte</t>
  </si>
  <si>
    <t>1364 Duffy Street</t>
  </si>
  <si>
    <t>WELLS</t>
  </si>
  <si>
    <t>BOBBY</t>
  </si>
  <si>
    <t>84-1306</t>
  </si>
  <si>
    <t>714-431-2249</t>
  </si>
  <si>
    <t>RickyBShields@gmail.com</t>
  </si>
  <si>
    <t>Santa Ana</t>
  </si>
  <si>
    <t>4461 Liberty Avenue</t>
  </si>
  <si>
    <t>SHIELDS</t>
  </si>
  <si>
    <t>RICKY</t>
  </si>
  <si>
    <t>60-1865</t>
  </si>
  <si>
    <t>212-496-4350</t>
  </si>
  <si>
    <t>AndrewHHunter@aol.com</t>
  </si>
  <si>
    <t>4114 Godfrey Road</t>
  </si>
  <si>
    <t>HUNTER</t>
  </si>
  <si>
    <t>12-225</t>
  </si>
  <si>
    <t>203-764-5301</t>
  </si>
  <si>
    <t>WilliamJPark@aol.com</t>
  </si>
  <si>
    <t>New Haven</t>
  </si>
  <si>
    <t>3429 School Street</t>
  </si>
  <si>
    <t>PARK</t>
  </si>
  <si>
    <t>36-892</t>
  </si>
  <si>
    <t>847-481-7950</t>
  </si>
  <si>
    <t>ChesterSSmith@aol.com</t>
  </si>
  <si>
    <t>Wood Dale</t>
  </si>
  <si>
    <t>1696 Thomas Street</t>
  </si>
  <si>
    <t>SMITH</t>
  </si>
  <si>
    <t>CHESTER</t>
  </si>
  <si>
    <t>54-5543</t>
  </si>
  <si>
    <t>301-564-7600</t>
  </si>
  <si>
    <t>FrankPClark@aol.com</t>
  </si>
  <si>
    <t>Bethesda</t>
  </si>
  <si>
    <t>2966 Doe Meadow Drive</t>
  </si>
  <si>
    <t>CLARK</t>
  </si>
  <si>
    <t>P</t>
  </si>
  <si>
    <t>41-958</t>
  </si>
  <si>
    <t>972-463-1136</t>
  </si>
  <si>
    <t>PatrickJLovett@gmail.com</t>
  </si>
  <si>
    <t>Rowlett</t>
  </si>
  <si>
    <t>438 Wilson Avenue</t>
  </si>
  <si>
    <t>LOVETT</t>
  </si>
  <si>
    <t>94-4218</t>
  </si>
  <si>
    <t>847-256-4606</t>
  </si>
  <si>
    <t>DavidMHarding@hotmail.com</t>
  </si>
  <si>
    <t>Wilmette</t>
  </si>
  <si>
    <t>2699 Bingamon Branch Road</t>
  </si>
  <si>
    <t>HARDING</t>
  </si>
  <si>
    <t>34-254</t>
  </si>
  <si>
    <t>516-620-5799</t>
  </si>
  <si>
    <t>LatriciaDCox@aol.com</t>
  </si>
  <si>
    <t>95 Southern Street</t>
  </si>
  <si>
    <t>COX</t>
  </si>
  <si>
    <t>LATRICIA</t>
  </si>
  <si>
    <t>07-867</t>
  </si>
  <si>
    <t>302-930-4106</t>
  </si>
  <si>
    <t>LeeJLefebre@aol.com</t>
  </si>
  <si>
    <t>Philadelphia</t>
  </si>
  <si>
    <t>979 Columbia Road</t>
  </si>
  <si>
    <t>LEFEBRE</t>
  </si>
  <si>
    <t>03-5101</t>
  </si>
  <si>
    <t>847-225-1558</t>
  </si>
  <si>
    <t>DarrylMKim@hotmail.com</t>
  </si>
  <si>
    <t>Burr Ridge</t>
  </si>
  <si>
    <t>220 Bingamon Branch Road</t>
  </si>
  <si>
    <t>DARRYL</t>
  </si>
  <si>
    <t>53-5346</t>
  </si>
  <si>
    <t>305-697-3467</t>
  </si>
  <si>
    <t>MichaelSHughes@gmail.com</t>
  </si>
  <si>
    <t>Doral</t>
  </si>
  <si>
    <t>1425 Golden Street</t>
  </si>
  <si>
    <t>HUGHES</t>
  </si>
  <si>
    <t>03-492</t>
  </si>
  <si>
    <t>406-266-4315</t>
  </si>
  <si>
    <t>AlvinSPruett@hotmail.com</t>
  </si>
  <si>
    <t>Townsend</t>
  </si>
  <si>
    <t>4360 Richison Drive</t>
  </si>
  <si>
    <t>PRUETT</t>
  </si>
  <si>
    <t>ALVIN</t>
  </si>
  <si>
    <t>08-877</t>
  </si>
  <si>
    <t>803-273-3808</t>
  </si>
  <si>
    <t>ChristopherBPolk@gmail.com</t>
  </si>
  <si>
    <t>Lancaster</t>
  </si>
  <si>
    <t>508 Wexford Way</t>
  </si>
  <si>
    <t>POLK</t>
  </si>
  <si>
    <t>54-1221</t>
  </si>
  <si>
    <t>518-752-8401</t>
  </si>
  <si>
    <t>RoseDSaenz@aol.com</t>
  </si>
  <si>
    <t>Albany</t>
  </si>
  <si>
    <t>3620 Joes Road</t>
  </si>
  <si>
    <t>SAENZ</t>
  </si>
  <si>
    <t>83-568</t>
  </si>
  <si>
    <t>757-575-7593</t>
  </si>
  <si>
    <t>TimothyTOsorio@gmail.com</t>
  </si>
  <si>
    <t>Newport News</t>
  </si>
  <si>
    <t>1366 Allison Avenue</t>
  </si>
  <si>
    <t>OSORIO</t>
  </si>
  <si>
    <t>TIMOTHY</t>
  </si>
  <si>
    <t>48-902</t>
  </si>
  <si>
    <t>617-975-4477</t>
  </si>
  <si>
    <t>EduardoTKenney@gmail.com</t>
  </si>
  <si>
    <t>Brookline</t>
  </si>
  <si>
    <t>1364 Rainy Day Drive</t>
  </si>
  <si>
    <t>KENNEY</t>
  </si>
  <si>
    <t>EDUARDO</t>
  </si>
  <si>
    <t>92-6875</t>
  </si>
  <si>
    <t>315-856-9029</t>
  </si>
  <si>
    <t>AnitaJGil@aol.com</t>
  </si>
  <si>
    <t>Syracuse</t>
  </si>
  <si>
    <t>3542 Saint Marys Avenue</t>
  </si>
  <si>
    <t>GIL</t>
  </si>
  <si>
    <t>ANITA</t>
  </si>
  <si>
    <t>20-6165</t>
  </si>
  <si>
    <t>714-932-0522</t>
  </si>
  <si>
    <t>RobertJMartin@gmail.com</t>
  </si>
  <si>
    <t>1671 Angie Drive</t>
  </si>
  <si>
    <t>MARTIN</t>
  </si>
  <si>
    <t>48-4032</t>
  </si>
  <si>
    <t>708-440-1717</t>
  </si>
  <si>
    <t>DavidLMiddleton@gmail.com</t>
  </si>
  <si>
    <t>3692 Hog Camp Road</t>
  </si>
  <si>
    <t>MIDDLETON</t>
  </si>
  <si>
    <t>10-2516</t>
  </si>
  <si>
    <t>574-842-3766</t>
  </si>
  <si>
    <t>KimberlyGWarner@gmail.com</t>
  </si>
  <si>
    <t>Culver</t>
  </si>
  <si>
    <t>468 Sand Fork Road</t>
  </si>
  <si>
    <t>WARNER</t>
  </si>
  <si>
    <t>KIMBERLY</t>
  </si>
  <si>
    <t>08-8161</t>
  </si>
  <si>
    <t>507-643-6453</t>
  </si>
  <si>
    <t>DonnyMClemens@aol.com</t>
  </si>
  <si>
    <t>Dakota</t>
  </si>
  <si>
    <t>147 Trymore Road</t>
  </si>
  <si>
    <t>CLEMENS</t>
  </si>
  <si>
    <t>DONNY</t>
  </si>
  <si>
    <t>28-868</t>
  </si>
  <si>
    <t>419-534-0285</t>
  </si>
  <si>
    <t>ThelmaBParr@aol.com</t>
  </si>
  <si>
    <t>775 Stonecoal Road</t>
  </si>
  <si>
    <t>PARR</t>
  </si>
  <si>
    <t>THELMA</t>
  </si>
  <si>
    <t>30-1534</t>
  </si>
  <si>
    <t>651-310-5786</t>
  </si>
  <si>
    <t>CrystalWHansen@aol.com</t>
  </si>
  <si>
    <t>Saint Paul</t>
  </si>
  <si>
    <t>1058 Bryan Avenue</t>
  </si>
  <si>
    <t>HANSEN</t>
  </si>
  <si>
    <t>CRYSTAL</t>
  </si>
  <si>
    <t>67-873</t>
  </si>
  <si>
    <t>760-252-2755</t>
  </si>
  <si>
    <t>AmeliaDRamirez@gmail.com</t>
  </si>
  <si>
    <t>Barstow</t>
  </si>
  <si>
    <t>1004 Parkway Street</t>
  </si>
  <si>
    <t>RAMIREZ</t>
  </si>
  <si>
    <t>01-5879</t>
  </si>
  <si>
    <t>304-934-4291</t>
  </si>
  <si>
    <t>GraceBGarett@gmail.com</t>
  </si>
  <si>
    <t>Glen Daniel</t>
  </si>
  <si>
    <t>3615 Kelly Drive</t>
  </si>
  <si>
    <t>GARETT</t>
  </si>
  <si>
    <t>GRACE</t>
  </si>
  <si>
    <t>14-574</t>
  </si>
  <si>
    <t>508-254-4835</t>
  </si>
  <si>
    <t>JamesCFord@gmail.com</t>
  </si>
  <si>
    <t>Westborough</t>
  </si>
  <si>
    <t>3445 Stadium Drive</t>
  </si>
  <si>
    <t>FORD</t>
  </si>
  <si>
    <t>20-2143</t>
  </si>
  <si>
    <t>904-824-8057</t>
  </si>
  <si>
    <t>JennieSTellez@aol.com</t>
  </si>
  <si>
    <t>St Augustine</t>
  </si>
  <si>
    <t>4465 Brannon Avenue</t>
  </si>
  <si>
    <t>TELLEZ</t>
  </si>
  <si>
    <t>JENNIE</t>
  </si>
  <si>
    <t>01-270</t>
  </si>
  <si>
    <t>540-368-4413</t>
  </si>
  <si>
    <t>AndreaKGoode@aol.com</t>
  </si>
  <si>
    <t>Fredericksburg</t>
  </si>
  <si>
    <t>4928 Hurry Street</t>
  </si>
  <si>
    <t>GOODE</t>
  </si>
  <si>
    <t>26-4703</t>
  </si>
  <si>
    <t>814-687-8961</t>
  </si>
  <si>
    <t>RobertCBushman@gmail.com</t>
  </si>
  <si>
    <t>Glasgow</t>
  </si>
  <si>
    <t>2346 Spadafore Drive</t>
  </si>
  <si>
    <t>BUSHMAN</t>
  </si>
  <si>
    <t>60-9840</t>
  </si>
  <si>
    <t>215-751-3031</t>
  </si>
  <si>
    <t>KathleenHWalters@aol.com</t>
  </si>
  <si>
    <t>4692 Tipple Road</t>
  </si>
  <si>
    <t>WALTERS</t>
  </si>
  <si>
    <t>KATHLEEN</t>
  </si>
  <si>
    <t>62-384</t>
  </si>
  <si>
    <t>702-681-1168</t>
  </si>
  <si>
    <t>VernGRipple@gmail.com</t>
  </si>
  <si>
    <t>4135 Hickory Ridge Drive</t>
  </si>
  <si>
    <t>RIPPLE</t>
  </si>
  <si>
    <t>VERN</t>
  </si>
  <si>
    <t>01-379</t>
  </si>
  <si>
    <t>337-505-6275</t>
  </si>
  <si>
    <t>StanleyAVinson@aol.com</t>
  </si>
  <si>
    <t>2548 Sarah Drive</t>
  </si>
  <si>
    <t>VINSON</t>
  </si>
  <si>
    <t>STANLEY</t>
  </si>
  <si>
    <t>66-9804</t>
  </si>
  <si>
    <t>412-216-9115</t>
  </si>
  <si>
    <t>CarlottaCChamberlain@hotmail.com</t>
  </si>
  <si>
    <t>Pittsburgh</t>
  </si>
  <si>
    <t>89 Beechwood Drive</t>
  </si>
  <si>
    <t>CHAMBERLAIN</t>
  </si>
  <si>
    <t>CARLOTTA</t>
  </si>
  <si>
    <t>22-3879</t>
  </si>
  <si>
    <t>917-678-5295</t>
  </si>
  <si>
    <t>RussGMorrison@aol.com</t>
  </si>
  <si>
    <t>3892 Hanover Street</t>
  </si>
  <si>
    <t>MORRISON</t>
  </si>
  <si>
    <t>RUSS</t>
  </si>
  <si>
    <t>92-6259</t>
  </si>
  <si>
    <t>312-432-5580</t>
  </si>
  <si>
    <t>LuisKStokes@aol.com</t>
  </si>
  <si>
    <t>4284 West Drive</t>
  </si>
  <si>
    <t>STOKES</t>
  </si>
  <si>
    <t>LUIS</t>
  </si>
  <si>
    <t>94-418</t>
  </si>
  <si>
    <t>219-308-7382</t>
  </si>
  <si>
    <t>BriannaDHiggins@hotmail.com</t>
  </si>
  <si>
    <t>4887 Post Avenue</t>
  </si>
  <si>
    <t>HIGGINS</t>
  </si>
  <si>
    <t>BRIANNA</t>
  </si>
  <si>
    <t>20-191</t>
  </si>
  <si>
    <t>989-894-4769</t>
  </si>
  <si>
    <t>CatherineJSappington@hotmail.com</t>
  </si>
  <si>
    <t>Bay City</t>
  </si>
  <si>
    <t>131 Juniper Drive</t>
  </si>
  <si>
    <t>SAPPINGTON</t>
  </si>
  <si>
    <t>CATHERINE</t>
  </si>
  <si>
    <t>05-746</t>
  </si>
  <si>
    <t>501-615-9324</t>
  </si>
  <si>
    <t>RobertKEiland@gmail.com</t>
  </si>
  <si>
    <t>Little Rock</t>
  </si>
  <si>
    <t>2540 Masonic Hill Road</t>
  </si>
  <si>
    <t>EILAND</t>
  </si>
  <si>
    <t>88-5813</t>
  </si>
  <si>
    <t>252-796-7464</t>
  </si>
  <si>
    <t>MirandaVJohnson@hotmail.com</t>
  </si>
  <si>
    <t>Columbia</t>
  </si>
  <si>
    <t>242 Edwards Street</t>
  </si>
  <si>
    <t>MIRANDA</t>
  </si>
  <si>
    <t>48-4585</t>
  </si>
  <si>
    <t>585-599-9996</t>
  </si>
  <si>
    <t>SandraASpinks@hotmail.com</t>
  </si>
  <si>
    <t>Corfu</t>
  </si>
  <si>
    <t>4444 James Street</t>
  </si>
  <si>
    <t>SPINKS</t>
  </si>
  <si>
    <t>SANDRA</t>
  </si>
  <si>
    <t>21-9778</t>
  </si>
  <si>
    <t>703-579-7053</t>
  </si>
  <si>
    <t>EulaliaRMiller@aol.com</t>
  </si>
  <si>
    <t>653 Cabell Avenue</t>
  </si>
  <si>
    <t>MILLER</t>
  </si>
  <si>
    <t>EULALIA</t>
  </si>
  <si>
    <t>76-872</t>
  </si>
  <si>
    <t>315-703-0136</t>
  </si>
  <si>
    <t>SueJRojas@hotmail.com</t>
  </si>
  <si>
    <t>349 Confederate Drive</t>
  </si>
  <si>
    <t>ROJAS</t>
  </si>
  <si>
    <t>SUE</t>
  </si>
  <si>
    <t>17-5025</t>
  </si>
  <si>
    <t>810-687-4690</t>
  </si>
  <si>
    <t>LynnYCass@gmail.com</t>
  </si>
  <si>
    <t>Clio</t>
  </si>
  <si>
    <t>3597 Perry Street</t>
  </si>
  <si>
    <t>CASS</t>
  </si>
  <si>
    <t>Y</t>
  </si>
  <si>
    <t>LYNN</t>
  </si>
  <si>
    <t>10-8920</t>
  </si>
  <si>
    <t>830-275-3683</t>
  </si>
  <si>
    <t>IreneGGreen@gmail.com</t>
  </si>
  <si>
    <t>Pleasanton</t>
  </si>
  <si>
    <t>3547 Morris Street</t>
  </si>
  <si>
    <t>GREEN</t>
  </si>
  <si>
    <t>IRENE</t>
  </si>
  <si>
    <t>46-291</t>
  </si>
  <si>
    <t>609-235-2740</t>
  </si>
  <si>
    <t>RebekahRSparling@aol.com</t>
  </si>
  <si>
    <t>Camden</t>
  </si>
  <si>
    <t>4338 Dark Hollow Road</t>
  </si>
  <si>
    <t>SPARLING</t>
  </si>
  <si>
    <t>REBEKAH</t>
  </si>
  <si>
    <t>30-399</t>
  </si>
  <si>
    <t>203-531-9965</t>
  </si>
  <si>
    <t>DarenLJacobs@aol.com</t>
  </si>
  <si>
    <t>3276 Cook Hill Road</t>
  </si>
  <si>
    <t>DAREN</t>
  </si>
  <si>
    <t>47-054</t>
  </si>
  <si>
    <t>402-851-3045</t>
  </si>
  <si>
    <t>GlennLSharp@hotmail.com</t>
  </si>
  <si>
    <t>Grand Island</t>
  </si>
  <si>
    <t>825 North Avenue</t>
  </si>
  <si>
    <t>SHARP</t>
  </si>
  <si>
    <t>36-0156</t>
  </si>
  <si>
    <t>636-794-2632</t>
  </si>
  <si>
    <t>RebeccaMLamoreaux@gmail.com</t>
  </si>
  <si>
    <t>Maryland Heights</t>
  </si>
  <si>
    <t>249 Court Street</t>
  </si>
  <si>
    <t>LAMOREAUX</t>
  </si>
  <si>
    <t>REBECCA</t>
  </si>
  <si>
    <t>27-492</t>
  </si>
  <si>
    <t>305-275-4698</t>
  </si>
  <si>
    <t>KatrinaCRamirez@aol.com</t>
  </si>
  <si>
    <t>Miami</t>
  </si>
  <si>
    <t>703 Tyler Avenue</t>
  </si>
  <si>
    <t>KATRINA</t>
  </si>
  <si>
    <t>78-0069</t>
  </si>
  <si>
    <t>484-253-4348</t>
  </si>
  <si>
    <t>MaryHChampagne@gmail.com</t>
  </si>
  <si>
    <t>Norristown</t>
  </si>
  <si>
    <t>1875 Renwick Drive</t>
  </si>
  <si>
    <t>CHAMPAGNE</t>
  </si>
  <si>
    <t>62-9371</t>
  </si>
  <si>
    <t>541-236-2926</t>
  </si>
  <si>
    <t>SusieDRobbins@hotmail.com</t>
  </si>
  <si>
    <t>Eugene</t>
  </si>
  <si>
    <t>299 Brooklyn Street</t>
  </si>
  <si>
    <t>ROBBINS</t>
  </si>
  <si>
    <t>SUSIE</t>
  </si>
  <si>
    <t>20-5708</t>
  </si>
  <si>
    <t>773-521-9276</t>
  </si>
  <si>
    <t>SebastianETaylor@hotmail.com</t>
  </si>
  <si>
    <t>4546 Cherry Camp Road</t>
  </si>
  <si>
    <t>SEBASTIAN</t>
  </si>
  <si>
    <t>40-7729</t>
  </si>
  <si>
    <t>973-727-8214</t>
  </si>
  <si>
    <t>ChristineWKelliher@aol.com</t>
  </si>
  <si>
    <t>Rochelle Park</t>
  </si>
  <si>
    <t>4185 Spring Haven Trail</t>
  </si>
  <si>
    <t>KELLIHER</t>
  </si>
  <si>
    <t>CHRISTINE</t>
  </si>
  <si>
    <t>66-508</t>
  </si>
  <si>
    <t>317-239-9935</t>
  </si>
  <si>
    <t>CharlesLTalbot@aol.com</t>
  </si>
  <si>
    <t>Indianapolis</t>
  </si>
  <si>
    <t>414 Crestview Manor</t>
  </si>
  <si>
    <t>TALBOT</t>
  </si>
  <si>
    <t>08-8630</t>
  </si>
  <si>
    <t>860-473-6593</t>
  </si>
  <si>
    <t>TerriLOgrady@hotmail.com</t>
  </si>
  <si>
    <t>Hartford</t>
  </si>
  <si>
    <t>2966 Meadow View Drive</t>
  </si>
  <si>
    <t>OGRADY</t>
  </si>
  <si>
    <t>TERRI</t>
  </si>
  <si>
    <t>28-7080</t>
  </si>
  <si>
    <t>720-330-2061</t>
  </si>
  <si>
    <t>JenniferMJahnke@gmail.com</t>
  </si>
  <si>
    <t>Greenwood Village</t>
  </si>
  <si>
    <t>1608 Davis Lane</t>
  </si>
  <si>
    <t>JAHNKE</t>
  </si>
  <si>
    <t>JENNIFER</t>
  </si>
  <si>
    <t>22-299</t>
  </si>
  <si>
    <t>312-656-9476</t>
  </si>
  <si>
    <t>MichaelJWood@gmail.com</t>
  </si>
  <si>
    <t>Elmhurst</t>
  </si>
  <si>
    <t>2776 Patterson Fork Road</t>
  </si>
  <si>
    <t>WOOD</t>
  </si>
  <si>
    <t>62-0806</t>
  </si>
  <si>
    <t>580-917-4142</t>
  </si>
  <si>
    <t>HelenDRoush@aol.com</t>
  </si>
  <si>
    <t>Lawton</t>
  </si>
  <si>
    <t>2639 Dovetail Estates</t>
  </si>
  <si>
    <t>ROUSH</t>
  </si>
  <si>
    <t>HELEN</t>
  </si>
  <si>
    <t>60-080</t>
  </si>
  <si>
    <t>626-369-7009</t>
  </si>
  <si>
    <t>RandyFKuhlman@hotmail.com</t>
  </si>
  <si>
    <t>La Puente</t>
  </si>
  <si>
    <t>4493 Middleville Road</t>
  </si>
  <si>
    <t>KUHLMAN</t>
  </si>
  <si>
    <t>RANDY</t>
  </si>
  <si>
    <t>76-619</t>
  </si>
  <si>
    <t>815-242-9508</t>
  </si>
  <si>
    <t>NancyKMorris@aol.com</t>
  </si>
  <si>
    <t>Rockford</t>
  </si>
  <si>
    <t>2631 Emeral Dreams Drive</t>
  </si>
  <si>
    <t>MORRIS</t>
  </si>
  <si>
    <t>NANCY</t>
  </si>
  <si>
    <t>14-4460</t>
  </si>
  <si>
    <t>682-558-0129</t>
  </si>
  <si>
    <t>NaomiRMarshall@hotmail.com</t>
  </si>
  <si>
    <t>3957 Sycamore Circle</t>
  </si>
  <si>
    <t>NAOMI</t>
  </si>
  <si>
    <t>80-3249</t>
  </si>
  <si>
    <t>914-325-9356</t>
  </si>
  <si>
    <t>AmySRangel@aol.com</t>
  </si>
  <si>
    <t>950 Pallet Street</t>
  </si>
  <si>
    <t>RANGEL</t>
  </si>
  <si>
    <t>90-2259</t>
  </si>
  <si>
    <t>956-223-1990</t>
  </si>
  <si>
    <t>LeeCMcMeans@gmail.com</t>
  </si>
  <si>
    <t>Harlingen</t>
  </si>
  <si>
    <t>4833 Jerome Avenue</t>
  </si>
  <si>
    <t>MCMEANS</t>
  </si>
  <si>
    <t>36-190</t>
  </si>
  <si>
    <t>812-464-4262</t>
  </si>
  <si>
    <t>GeorgeMEvans@gmail.com</t>
  </si>
  <si>
    <t>Evansville</t>
  </si>
  <si>
    <t>3205 Lucy Lane</t>
  </si>
  <si>
    <t>EVANS</t>
  </si>
  <si>
    <t>GEORGE</t>
  </si>
  <si>
    <t>14-3867</t>
  </si>
  <si>
    <t>928-283-4581</t>
  </si>
  <si>
    <t>CedricEBarnes@hotmail.com</t>
  </si>
  <si>
    <t>Tuba City</t>
  </si>
  <si>
    <t>3377 Clarksburg Park Road</t>
  </si>
  <si>
    <t>BARNES</t>
  </si>
  <si>
    <t>CEDRIC</t>
  </si>
  <si>
    <t>01-5103</t>
  </si>
  <si>
    <t>321-268-3967</t>
  </si>
  <si>
    <t>CoryKJackson@aol.com</t>
  </si>
  <si>
    <t>Titusville</t>
  </si>
  <si>
    <t>1241 Terry Lane</t>
  </si>
  <si>
    <t>JACKSON</t>
  </si>
  <si>
    <t>CORY</t>
  </si>
  <si>
    <t>65-457</t>
  </si>
  <si>
    <t>757-645-6505</t>
  </si>
  <si>
    <t>IraSKocher@gmail.com</t>
  </si>
  <si>
    <t>Chesapeake</t>
  </si>
  <si>
    <t>1092 Allison Avenue</t>
  </si>
  <si>
    <t>KOCHER</t>
  </si>
  <si>
    <t>IRA</t>
  </si>
  <si>
    <t>28-9896</t>
  </si>
  <si>
    <t>770-681-2104</t>
  </si>
  <si>
    <t>HansJMcDaniel@aol.com</t>
  </si>
  <si>
    <t>Atlanta</t>
  </si>
  <si>
    <t>3456 Pine Garden Lane</t>
  </si>
  <si>
    <t>MCDANIEL</t>
  </si>
  <si>
    <t>HANS</t>
  </si>
  <si>
    <t>30-694</t>
  </si>
  <si>
    <t>718-556-0176</t>
  </si>
  <si>
    <t>CarlCGreen@gmail.com</t>
  </si>
  <si>
    <t>Staten Island</t>
  </si>
  <si>
    <t>2972 Longview Avenue</t>
  </si>
  <si>
    <t>54-393</t>
  </si>
  <si>
    <t>212-646-6179</t>
  </si>
  <si>
    <t>ChristopherRThames@hotmail.com</t>
  </si>
  <si>
    <t>1883 Oakwood Avenue</t>
  </si>
  <si>
    <t>THAMES</t>
  </si>
  <si>
    <t>22-2976</t>
  </si>
  <si>
    <t>928-550-9235</t>
  </si>
  <si>
    <t>HazelJGleason@gmail.com</t>
  </si>
  <si>
    <t>Tempe</t>
  </si>
  <si>
    <t>1064 Skips Lane</t>
  </si>
  <si>
    <t>GLEASON</t>
  </si>
  <si>
    <t>HAZEL</t>
  </si>
  <si>
    <t>98-381</t>
  </si>
  <si>
    <t>281-792-2244</t>
  </si>
  <si>
    <t>AltonJHarris@aol.com</t>
  </si>
  <si>
    <t>2977 Grey Fox Farm Road</t>
  </si>
  <si>
    <t>ALTON</t>
  </si>
  <si>
    <t>25-8374</t>
  </si>
  <si>
    <t>936-629-0267</t>
  </si>
  <si>
    <t>JoanTWilliams@hotmail.com</t>
  </si>
  <si>
    <t>1357 Mulberry Street</t>
  </si>
  <si>
    <t>JOAN</t>
  </si>
  <si>
    <t>94-3049</t>
  </si>
  <si>
    <t>321-204-3633</t>
  </si>
  <si>
    <t>GloriaJHurst@hotmail.com</t>
  </si>
  <si>
    <t>Orlando</t>
  </si>
  <si>
    <t>594 Red Hawk Road</t>
  </si>
  <si>
    <t>HURST</t>
  </si>
  <si>
    <t>GLORIA</t>
  </si>
  <si>
    <t>56-1706</t>
  </si>
  <si>
    <t>586-912-1768</t>
  </si>
  <si>
    <t>MonteSSmith@gmail.com</t>
  </si>
  <si>
    <t>Detroit</t>
  </si>
  <si>
    <t>404 Reppert Coal Road</t>
  </si>
  <si>
    <t>MONTE</t>
  </si>
  <si>
    <t>13-457</t>
  </si>
  <si>
    <t>202-812-2226</t>
  </si>
  <si>
    <t>DennisMWright@aol.com</t>
  </si>
  <si>
    <t>1280 Massachusetts Avenue</t>
  </si>
  <si>
    <t>WRIGHT</t>
  </si>
  <si>
    <t>DENNIS</t>
  </si>
  <si>
    <t>04-120</t>
  </si>
  <si>
    <t>620-242-3192</t>
  </si>
  <si>
    <t>CeciliaMWatts@hotmail.com</t>
  </si>
  <si>
    <t>Mcpherson</t>
  </si>
  <si>
    <t>2349 Roosevelt Road</t>
  </si>
  <si>
    <t>WATTS</t>
  </si>
  <si>
    <t>CECILIA</t>
  </si>
  <si>
    <t>707-451-5021</t>
  </si>
  <si>
    <t>JuanMParisi@hotmail.com</t>
  </si>
  <si>
    <t>Vacaville</t>
  </si>
  <si>
    <t>2356 Fairway Drive</t>
  </si>
  <si>
    <t>PARISI</t>
  </si>
  <si>
    <t>18-4493</t>
  </si>
  <si>
    <t>662-364-1041</t>
  </si>
  <si>
    <t>MatthewBOlivera@aol.com</t>
  </si>
  <si>
    <t>Greenwood</t>
  </si>
  <si>
    <t>950 Brownton Road</t>
  </si>
  <si>
    <t>OLIVERA</t>
  </si>
  <si>
    <t>MATTHEW</t>
  </si>
  <si>
    <t>05-485</t>
  </si>
  <si>
    <t>662-654-6800</t>
  </si>
  <si>
    <t>ClaytonTOlivo@aol.com</t>
  </si>
  <si>
    <t>2503 Rafe Lane</t>
  </si>
  <si>
    <t>OLIVO</t>
  </si>
  <si>
    <t>CLAYTON</t>
  </si>
  <si>
    <t>52-318</t>
  </si>
  <si>
    <t>240-358-7903</t>
  </si>
  <si>
    <t>MonicaDFaulkner@aol.com</t>
  </si>
  <si>
    <t>Reston</t>
  </si>
  <si>
    <t>4170 Wilmar Farm Road</t>
  </si>
  <si>
    <t>FAULKNER</t>
  </si>
  <si>
    <t>MONICA</t>
  </si>
  <si>
    <t>32-259</t>
  </si>
  <si>
    <t>862-223-2412</t>
  </si>
  <si>
    <t>RonaldKRosenblum@aol.com</t>
  </si>
  <si>
    <t>Teterboro</t>
  </si>
  <si>
    <t>1227 Red Bud Lane</t>
  </si>
  <si>
    <t>ROSENBLUM</t>
  </si>
  <si>
    <t>07-057</t>
  </si>
  <si>
    <t>336-458-1243</t>
  </si>
  <si>
    <t>MildredJStainbrook@hotmail.com</t>
  </si>
  <si>
    <t>Greensboro</t>
  </si>
  <si>
    <t>3807 Keyser Ridge Road</t>
  </si>
  <si>
    <t>STAINBROOK</t>
  </si>
  <si>
    <t>MILDRED</t>
  </si>
  <si>
    <t>92-8078</t>
  </si>
  <si>
    <t>262-298-6085</t>
  </si>
  <si>
    <t>JohnieTHall@hotmail.com</t>
  </si>
  <si>
    <t>Milwaukee</t>
  </si>
  <si>
    <t>1057 Oakridge Farm Lane</t>
  </si>
  <si>
    <t>JOHNIE</t>
  </si>
  <si>
    <t>18-5660</t>
  </si>
  <si>
    <t>502-482-5966</t>
  </si>
  <si>
    <t>DianeHCarter@gmail.com</t>
  </si>
  <si>
    <t>Louisville</t>
  </si>
  <si>
    <t>254 Gregory Lane</t>
  </si>
  <si>
    <t>56-3068</t>
  </si>
  <si>
    <t>562-801-5030</t>
  </si>
  <si>
    <t>BettyMMorgan@hotmail.com</t>
  </si>
  <si>
    <t>Pico Rivera</t>
  </si>
  <si>
    <t>92 Kerry Way</t>
  </si>
  <si>
    <t>MORGAN</t>
  </si>
  <si>
    <t>BETTY</t>
  </si>
  <si>
    <t>06-292</t>
  </si>
  <si>
    <t>313-244-2334</t>
  </si>
  <si>
    <t>KendraDHuff@aol.com</t>
  </si>
  <si>
    <t>4238 Nash Street</t>
  </si>
  <si>
    <t>HUFF</t>
  </si>
  <si>
    <t>KENDRA</t>
  </si>
  <si>
    <t>88-016</t>
  </si>
  <si>
    <t>214-758-3149</t>
  </si>
  <si>
    <t>JulietDSavoie@gmail.com</t>
  </si>
  <si>
    <t>Plano</t>
  </si>
  <si>
    <t>2973 Carolyns Circle</t>
  </si>
  <si>
    <t>SAVOIE</t>
  </si>
  <si>
    <t>JULIET</t>
  </si>
  <si>
    <t>12-3293</t>
  </si>
  <si>
    <t>602-658-8508</t>
  </si>
  <si>
    <t>CarolBKonopka@aol.com</t>
  </si>
  <si>
    <t>Phoenix</t>
  </si>
  <si>
    <t>3168 Dogwood Road</t>
  </si>
  <si>
    <t>KONOPKA</t>
  </si>
  <si>
    <t>CAROL</t>
  </si>
  <si>
    <t>22-288</t>
  </si>
  <si>
    <t>618-995-1946</t>
  </si>
  <si>
    <t>SalvadorEJacquez@hotmail.com</t>
  </si>
  <si>
    <t>Goreville</t>
  </si>
  <si>
    <t>3383 Holden Street</t>
  </si>
  <si>
    <t>JACQUEZ</t>
  </si>
  <si>
    <t>SALVADOR</t>
  </si>
  <si>
    <t>26-588</t>
  </si>
  <si>
    <t>510-293-5989</t>
  </si>
  <si>
    <t>MelissaNSantibanez@hotmail.com</t>
  </si>
  <si>
    <t>Hayward</t>
  </si>
  <si>
    <t>3215 Wayside Lane</t>
  </si>
  <si>
    <t>SANTIBANEZ</t>
  </si>
  <si>
    <t>MELISSA</t>
  </si>
  <si>
    <t>62-4862</t>
  </si>
  <si>
    <t>916-915-4042</t>
  </si>
  <si>
    <t>HaroldDShiflett@aol.com</t>
  </si>
  <si>
    <t>3289 Woodland Terrace</t>
  </si>
  <si>
    <t>SHIFLETT</t>
  </si>
  <si>
    <t>HAROLD</t>
  </si>
  <si>
    <t>03-1561</t>
  </si>
  <si>
    <t>303-485-3220</t>
  </si>
  <si>
    <t>JenniferLCollier@gmail.com</t>
  </si>
  <si>
    <t>Longmont</t>
  </si>
  <si>
    <t>1312 Scheuvront Drive</t>
  </si>
  <si>
    <t>COLLIER</t>
  </si>
  <si>
    <t>39-984</t>
  </si>
  <si>
    <t>925-498-1439</t>
  </si>
  <si>
    <t>MaxineJThomas@gmail.com</t>
  </si>
  <si>
    <t>4183 Park Street</t>
  </si>
  <si>
    <t>MAXINE</t>
  </si>
  <si>
    <t>07-2892</t>
  </si>
  <si>
    <t>410-658-2837</t>
  </si>
  <si>
    <t>CharleneJBerlanga@aol.com</t>
  </si>
  <si>
    <t>Rising Sun</t>
  </si>
  <si>
    <t>4602 Marshall Street</t>
  </si>
  <si>
    <t>BERLANGA</t>
  </si>
  <si>
    <t>CHARLENE</t>
  </si>
  <si>
    <t>31-1907</t>
  </si>
  <si>
    <t>818-224-9755</t>
  </si>
  <si>
    <t>IolaEDeckard@gmail.com</t>
  </si>
  <si>
    <t>Calabasas</t>
  </si>
  <si>
    <t>498 New York Avenue</t>
  </si>
  <si>
    <t>DECKARD</t>
  </si>
  <si>
    <t>IOLA</t>
  </si>
  <si>
    <t>18-6105</t>
  </si>
  <si>
    <t>401-456-4014</t>
  </si>
  <si>
    <t>LauraDMedlin@gmail.com</t>
  </si>
  <si>
    <t>Providence</t>
  </si>
  <si>
    <t>1772 Myra Street</t>
  </si>
  <si>
    <t>MEDLIN</t>
  </si>
  <si>
    <t>LAURA</t>
  </si>
  <si>
    <t>84-5085</t>
  </si>
  <si>
    <t>212-906-5369</t>
  </si>
  <si>
    <t>JohnMBradley@hotmail.com</t>
  </si>
  <si>
    <t>1779 Rosewood Lane</t>
  </si>
  <si>
    <t>BRADLEY</t>
  </si>
  <si>
    <t>72-959</t>
  </si>
  <si>
    <t>443-770-5360</t>
  </si>
  <si>
    <t>JoanBTripp@aol.com</t>
  </si>
  <si>
    <t>Armiger</t>
  </si>
  <si>
    <t>1719 Green Gate Lane</t>
  </si>
  <si>
    <t>TRIPP</t>
  </si>
  <si>
    <t>04-1008</t>
  </si>
  <si>
    <t>843-210-7921</t>
  </si>
  <si>
    <t>AntonioMPeters@aol.com</t>
  </si>
  <si>
    <t>Scranton</t>
  </si>
  <si>
    <t>3778 Poe Road</t>
  </si>
  <si>
    <t>PETERS</t>
  </si>
  <si>
    <t>ANTONIO</t>
  </si>
  <si>
    <t>99-9558</t>
  </si>
  <si>
    <t>805-386-5275</t>
  </si>
  <si>
    <t>JasonVAlmanza@aol.com</t>
  </si>
  <si>
    <t>Camarillo</t>
  </si>
  <si>
    <t>4594 Diane Street</t>
  </si>
  <si>
    <t>ALMANZA</t>
  </si>
  <si>
    <t>JASON</t>
  </si>
  <si>
    <t>01-158</t>
  </si>
  <si>
    <t>413-612-2907</t>
  </si>
  <si>
    <t>JanetBMcCary@gmail.com</t>
  </si>
  <si>
    <t>Springfield</t>
  </si>
  <si>
    <t>1882 Hilltop Street</t>
  </si>
  <si>
    <t>MCCARY</t>
  </si>
  <si>
    <t>JANET</t>
  </si>
  <si>
    <t>12-7037</t>
  </si>
  <si>
    <t>507-862-7634</t>
  </si>
  <si>
    <t>KennethBHughes@hotmail.com</t>
  </si>
  <si>
    <t>Estherville</t>
  </si>
  <si>
    <t>1522 Pineview Drive</t>
  </si>
  <si>
    <t>KENNETH</t>
  </si>
  <si>
    <t>01-7772</t>
  </si>
  <si>
    <t>843-841-0937</t>
  </si>
  <si>
    <t>EmiliaKBrown@aol.com</t>
  </si>
  <si>
    <t>Dillon</t>
  </si>
  <si>
    <t>1962 Camden Place</t>
  </si>
  <si>
    <t>BROWN</t>
  </si>
  <si>
    <t>EMILIA</t>
  </si>
  <si>
    <t>01-6869</t>
  </si>
  <si>
    <t>856-678-0016</t>
  </si>
  <si>
    <t>JessicaBChaudhry@aol.com</t>
  </si>
  <si>
    <t>4111 Prospect Street</t>
  </si>
  <si>
    <t>CHAUDHRY</t>
  </si>
  <si>
    <t>JESSICA</t>
  </si>
  <si>
    <t>12-7865</t>
  </si>
  <si>
    <t>516-534-2203</t>
  </si>
  <si>
    <t>MichaelDPinney@aol.com</t>
  </si>
  <si>
    <t>3149 Stanley Avenue</t>
  </si>
  <si>
    <t>PINNEY</t>
  </si>
  <si>
    <t>52-163</t>
  </si>
  <si>
    <t>203-720-8403</t>
  </si>
  <si>
    <t>FumikoAEstep@aol.com</t>
  </si>
  <si>
    <t>Naugatuck</t>
  </si>
  <si>
    <t>1121 Asylum Avenue</t>
  </si>
  <si>
    <t>ESTEP</t>
  </si>
  <si>
    <t>FUMIKO</t>
  </si>
  <si>
    <t>66-7700</t>
  </si>
  <si>
    <t>484-979-2720</t>
  </si>
  <si>
    <t>MichaelMSchiro@hotmail.com</t>
  </si>
  <si>
    <t>2276 Clinton Street</t>
  </si>
  <si>
    <t>SCHIRO</t>
  </si>
  <si>
    <t>70-8565</t>
  </si>
  <si>
    <t>214-905-1653</t>
  </si>
  <si>
    <t>GregoryJRead@hotmail.com</t>
  </si>
  <si>
    <t>208 Liberty Street</t>
  </si>
  <si>
    <t>READ</t>
  </si>
  <si>
    <t>GREGORY</t>
  </si>
  <si>
    <t>18-0003</t>
  </si>
  <si>
    <t>956-707-0282</t>
  </si>
  <si>
    <t>RuthGWard@hotmail.com</t>
  </si>
  <si>
    <t>2706 Adamsville Road</t>
  </si>
  <si>
    <t>WARD</t>
  </si>
  <si>
    <t>RUTH</t>
  </si>
  <si>
    <t>68-7943</t>
  </si>
  <si>
    <t>315-405-8099</t>
  </si>
  <si>
    <t>HelenDOlson@gmail.com</t>
  </si>
  <si>
    <t>East Syracuse</t>
  </si>
  <si>
    <t>2493 Oak Street</t>
  </si>
  <si>
    <t>28-346</t>
  </si>
  <si>
    <t>715-722-0751</t>
  </si>
  <si>
    <t>RichardMPittman@aol.com</t>
  </si>
  <si>
    <t>Stevens Point</t>
  </si>
  <si>
    <t>3874 Tea Berry Lane</t>
  </si>
  <si>
    <t>PITTMAN</t>
  </si>
  <si>
    <t>RICHARD</t>
  </si>
  <si>
    <t>66-719</t>
  </si>
  <si>
    <t>814-599-6725</t>
  </si>
  <si>
    <t>JeromeLPerry@hotmail.com</t>
  </si>
  <si>
    <t>Johnstown</t>
  </si>
  <si>
    <t>440 Harley Brook Lane</t>
  </si>
  <si>
    <t>JEROME</t>
  </si>
  <si>
    <t>88-8968</t>
  </si>
  <si>
    <t>585-396-9512</t>
  </si>
  <si>
    <t>LindaRHernandez@gmail.com</t>
  </si>
  <si>
    <t>Canandaigua</t>
  </si>
  <si>
    <t>2354 Walt Nuzum Farm Road</t>
  </si>
  <si>
    <t>HERNANDEZ</t>
  </si>
  <si>
    <t>10-924</t>
  </si>
  <si>
    <t>706-389-3066</t>
  </si>
  <si>
    <t>RandallDBeaty@hotmail.com</t>
  </si>
  <si>
    <t>Athens</t>
  </si>
  <si>
    <t>860 Davis Street</t>
  </si>
  <si>
    <t>BEATY</t>
  </si>
  <si>
    <t>RANDALL</t>
  </si>
  <si>
    <t>66-1546</t>
  </si>
  <si>
    <t>903-330-0685</t>
  </si>
  <si>
    <t>FredrickVKirst@hotmail.com</t>
  </si>
  <si>
    <t>Longview</t>
  </si>
  <si>
    <t>3617 Pickens Way</t>
  </si>
  <si>
    <t>KIRST</t>
  </si>
  <si>
    <t>FREDRICK</t>
  </si>
  <si>
    <t>14-1070</t>
  </si>
  <si>
    <t>507-380-7249</t>
  </si>
  <si>
    <t>ChesterSRobinson@hotmail.com</t>
  </si>
  <si>
    <t>Mankato</t>
  </si>
  <si>
    <t>202 Pritchard Court</t>
  </si>
  <si>
    <t>52-435</t>
  </si>
  <si>
    <t>212-923-0087</t>
  </si>
  <si>
    <t>RobertDBehrens@gmail.com</t>
  </si>
  <si>
    <t>714 Rosewood Lane</t>
  </si>
  <si>
    <t>BEHRENS</t>
  </si>
  <si>
    <t>19-736</t>
  </si>
  <si>
    <t>507-264-9162</t>
  </si>
  <si>
    <t>PaulCCook@aol.com</t>
  </si>
  <si>
    <t>Iona</t>
  </si>
  <si>
    <t>1225 Rosewood Court</t>
  </si>
  <si>
    <t>COOK</t>
  </si>
  <si>
    <t>38-927</t>
  </si>
  <si>
    <t>315-947-9213</t>
  </si>
  <si>
    <t>MichaelBSackett@gmail.com</t>
  </si>
  <si>
    <t>Fair Haven (Cayuga)</t>
  </si>
  <si>
    <t>1250 James Avenue</t>
  </si>
  <si>
    <t>SACKETT</t>
  </si>
  <si>
    <t>72-3278</t>
  </si>
  <si>
    <t>612-802-7642</t>
  </si>
  <si>
    <t>JohnESutter@hotmail.com</t>
  </si>
  <si>
    <t>Minneapolis</t>
  </si>
  <si>
    <t>3879 Rocket Drive</t>
  </si>
  <si>
    <t>SUTTER</t>
  </si>
  <si>
    <t>01-083</t>
  </si>
  <si>
    <t>336-272-7849</t>
  </si>
  <si>
    <t>DorothyMCurry@hotmail.com</t>
  </si>
  <si>
    <t>3950 Bryan Street</t>
  </si>
  <si>
    <t>CURRY</t>
  </si>
  <si>
    <t>DOROTHY</t>
  </si>
  <si>
    <t>34-6507</t>
  </si>
  <si>
    <t>918-327-4974</t>
  </si>
  <si>
    <t>CeceliaDManiscalco@gmail.com</t>
  </si>
  <si>
    <t>Bartlesville</t>
  </si>
  <si>
    <t>208 Hornor Avenue</t>
  </si>
  <si>
    <t>MANISCALCO</t>
  </si>
  <si>
    <t>CECELIA</t>
  </si>
  <si>
    <t>01-908</t>
  </si>
  <si>
    <t>931-903-7838</t>
  </si>
  <si>
    <t>BobbyPPeterson@gmail.com</t>
  </si>
  <si>
    <t>3420 Glory Road</t>
  </si>
  <si>
    <t>PETERSON</t>
  </si>
  <si>
    <t>46-058</t>
  </si>
  <si>
    <t>203-756-4654</t>
  </si>
  <si>
    <t>ThomasTMiller@aol.com</t>
  </si>
  <si>
    <t>Waterbury</t>
  </si>
  <si>
    <t>4598 Asylum Avenue</t>
  </si>
  <si>
    <t>08-103</t>
  </si>
  <si>
    <t>208-846-4255</t>
  </si>
  <si>
    <t>ShirleyJDavenport@hotmail.com</t>
  </si>
  <si>
    <t>Meridian</t>
  </si>
  <si>
    <t>2863 Modoc Alley</t>
  </si>
  <si>
    <t>DAVENPORT</t>
  </si>
  <si>
    <t>SHIRLEY</t>
  </si>
  <si>
    <t>48-514</t>
  </si>
  <si>
    <t>626-320-5237</t>
  </si>
  <si>
    <t>VictorHVest@gmail.com</t>
  </si>
  <si>
    <t>222 Middleville Road</t>
  </si>
  <si>
    <t>VEST</t>
  </si>
  <si>
    <t>68-696</t>
  </si>
  <si>
    <t>314-340-4113</t>
  </si>
  <si>
    <t>MaryCHernandez@aol.com</t>
  </si>
  <si>
    <t>Saint Louis</t>
  </si>
  <si>
    <t>908 Bruce Street</t>
  </si>
  <si>
    <t>88-859</t>
  </si>
  <si>
    <t>309-522-5188</t>
  </si>
  <si>
    <t>LaurenJKeese@hotmail.com</t>
  </si>
  <si>
    <t>Osco</t>
  </si>
  <si>
    <t>2705 Trainer Avenue</t>
  </si>
  <si>
    <t>KEESE</t>
  </si>
  <si>
    <t>LAUREN</t>
  </si>
  <si>
    <t>82-806</t>
  </si>
  <si>
    <t>615-426-6227</t>
  </si>
  <si>
    <t>ChadMMitchell@hotmail.com</t>
  </si>
  <si>
    <t>3108 Wilkinson Street</t>
  </si>
  <si>
    <t>MITCHELL</t>
  </si>
  <si>
    <t>CHAD</t>
  </si>
  <si>
    <t>01-5864</t>
  </si>
  <si>
    <t>864-725-0784</t>
  </si>
  <si>
    <t>BarbaraRGray@gmail.com</t>
  </si>
  <si>
    <t>1172 Pooh Bear Lane</t>
  </si>
  <si>
    <t>GRAY</t>
  </si>
  <si>
    <t>12-111</t>
  </si>
  <si>
    <t>940-228-9302</t>
  </si>
  <si>
    <t>RandyNHarrison@aol.com</t>
  </si>
  <si>
    <t>Wichita Falls</t>
  </si>
  <si>
    <t>1252 Boggess Street</t>
  </si>
  <si>
    <t>HARRISON</t>
  </si>
  <si>
    <t>66-3551</t>
  </si>
  <si>
    <t>202-889-1944</t>
  </si>
  <si>
    <t>JamesKFoster@hotmail.com</t>
  </si>
  <si>
    <t>2429 School Street</t>
  </si>
  <si>
    <t>FOSTER</t>
  </si>
  <si>
    <t>40-4216</t>
  </si>
  <si>
    <t>251-754-8822</t>
  </si>
  <si>
    <t>KevinSArias@gmail.com</t>
  </si>
  <si>
    <t>Frankville</t>
  </si>
  <si>
    <t>3502 Joyce Street</t>
  </si>
  <si>
    <t>ARIAS</t>
  </si>
  <si>
    <t>64-488</t>
  </si>
  <si>
    <t>402-674-6125</t>
  </si>
  <si>
    <t>FrankJSantos@aol.com</t>
  </si>
  <si>
    <t>Barneston</t>
  </si>
  <si>
    <t>3255 Snowbird Lane</t>
  </si>
  <si>
    <t>SANTOS</t>
  </si>
  <si>
    <t>22-1846</t>
  </si>
  <si>
    <t>401-313-0452</t>
  </si>
  <si>
    <t>MaryDGlaspie@gmail.com</t>
  </si>
  <si>
    <t>3123 Diamond Cove</t>
  </si>
  <si>
    <t>GLASPIE</t>
  </si>
  <si>
    <t>70-0813</t>
  </si>
  <si>
    <t>269-268-1166</t>
  </si>
  <si>
    <t>WalterRGavin@aol.com</t>
  </si>
  <si>
    <t>Grand Rapids</t>
  </si>
  <si>
    <t>4463 Garrett Street</t>
  </si>
  <si>
    <t>GAVIN</t>
  </si>
  <si>
    <t>WALTER</t>
  </si>
  <si>
    <t>70-4380</t>
  </si>
  <si>
    <t>650-696-0121</t>
  </si>
  <si>
    <t>DarleneDWard@aol.com</t>
  </si>
  <si>
    <t>Burlingame</t>
  </si>
  <si>
    <t>4525 Rardin Drive</t>
  </si>
  <si>
    <t>DARLENE</t>
  </si>
  <si>
    <t>01-4116</t>
  </si>
  <si>
    <t>910-412-9036</t>
  </si>
  <si>
    <t>DanielHDwyer@aol.com</t>
  </si>
  <si>
    <t>Wilmington</t>
  </si>
  <si>
    <t>1562 Twin Willow Lane</t>
  </si>
  <si>
    <t>DWYER</t>
  </si>
  <si>
    <t>19-5312</t>
  </si>
  <si>
    <t>414-377-6047</t>
  </si>
  <si>
    <t>DavidJTurner@gmail.com</t>
  </si>
  <si>
    <t>2504 Grant View Drive</t>
  </si>
  <si>
    <t>TURNER</t>
  </si>
  <si>
    <t>18-5253</t>
  </si>
  <si>
    <t>310-401-9353</t>
  </si>
  <si>
    <t>DaveBSpears@aol.com</t>
  </si>
  <si>
    <t>Santa Monica</t>
  </si>
  <si>
    <t>2832 Doctors Drive</t>
  </si>
  <si>
    <t>SPEARS</t>
  </si>
  <si>
    <t>DAVE</t>
  </si>
  <si>
    <t>58-025</t>
  </si>
  <si>
    <t>772-268-6487</t>
  </si>
  <si>
    <t>ShannonJGreen@aol.com</t>
  </si>
  <si>
    <t>Hialeah</t>
  </si>
  <si>
    <t>1178 Elkview Drive</t>
  </si>
  <si>
    <t>SHANNON</t>
  </si>
  <si>
    <t>45-577</t>
  </si>
  <si>
    <t>205-889-7735</t>
  </si>
  <si>
    <t>DavidDPendleton@gmail.com</t>
  </si>
  <si>
    <t>2126 Petunia Way</t>
  </si>
  <si>
    <t>PENDLETON</t>
  </si>
  <si>
    <t>22-981</t>
  </si>
  <si>
    <t>770-245-3087</t>
  </si>
  <si>
    <t>PhilipGPhillips@aol.com</t>
  </si>
  <si>
    <t>Norcross</t>
  </si>
  <si>
    <t>3414 Fowler Avenue</t>
  </si>
  <si>
    <t>PHILLIPS</t>
  </si>
  <si>
    <t>PHILIP</t>
  </si>
  <si>
    <t>48-356</t>
  </si>
  <si>
    <t>860-760-6015</t>
  </si>
  <si>
    <t>DeniseDBrown@hotmail.com</t>
  </si>
  <si>
    <t>Stamford</t>
  </si>
  <si>
    <t>3938 Maxwell Street</t>
  </si>
  <si>
    <t>DENISE</t>
  </si>
  <si>
    <t>03-4976</t>
  </si>
  <si>
    <t>337-474-8383</t>
  </si>
  <si>
    <t>GeorgeWSchell@aol.com</t>
  </si>
  <si>
    <t>3950 Sarah Drive</t>
  </si>
  <si>
    <t>SCHELL</t>
  </si>
  <si>
    <t>73-032</t>
  </si>
  <si>
    <t>865-245-1971</t>
  </si>
  <si>
    <t>TheresaGWynn@gmail.com</t>
  </si>
  <si>
    <t>Knoxville</t>
  </si>
  <si>
    <t>227 Brown Avenue</t>
  </si>
  <si>
    <t>WYNN</t>
  </si>
  <si>
    <t>38-096</t>
  </si>
  <si>
    <t>814-755-0549</t>
  </si>
  <si>
    <t>RichardNBivona@gmail.com</t>
  </si>
  <si>
    <t>Tionesta</t>
  </si>
  <si>
    <t>198 Spadafore Drive</t>
  </si>
  <si>
    <t>BIVONA</t>
  </si>
  <si>
    <t>44-199</t>
  </si>
  <si>
    <t>906-731-6381</t>
  </si>
  <si>
    <t>StephenLCarlson@hotmail.com</t>
  </si>
  <si>
    <t>Marquette</t>
  </si>
  <si>
    <t>4434 Pinewood Avenue</t>
  </si>
  <si>
    <t>CARLSON</t>
  </si>
  <si>
    <t>STEPHEN</t>
  </si>
  <si>
    <t>78-1993</t>
  </si>
  <si>
    <t>412-585-3743</t>
  </si>
  <si>
    <t>MatthewMDupre@gmail.com</t>
  </si>
  <si>
    <t>Bridgeville</t>
  </si>
  <si>
    <t>2943 Stiles Street</t>
  </si>
  <si>
    <t>DUPRE</t>
  </si>
  <si>
    <t>92-5370</t>
  </si>
  <si>
    <t>805-710-2361</t>
  </si>
  <si>
    <t>JeremyAWhitaker@aol.com</t>
  </si>
  <si>
    <t>San Luis Obispo</t>
  </si>
  <si>
    <t>3597 Creekside Lane</t>
  </si>
  <si>
    <t>WHITAKER</t>
  </si>
  <si>
    <t>JEREMY</t>
  </si>
  <si>
    <t>86-477</t>
  </si>
  <si>
    <t>812-581-1981</t>
  </si>
  <si>
    <t>MarkPGarrison@gmail.com</t>
  </si>
  <si>
    <t>Bloomington</t>
  </si>
  <si>
    <t>4372 Neville Street</t>
  </si>
  <si>
    <t>GARRISON</t>
  </si>
  <si>
    <t>86-6711</t>
  </si>
  <si>
    <t>914-573-4676</t>
  </si>
  <si>
    <t>LandonSBryan@aol.com</t>
  </si>
  <si>
    <t>Westbury</t>
  </si>
  <si>
    <t>1069 Mount Tabor</t>
  </si>
  <si>
    <t>LANDON</t>
  </si>
  <si>
    <t>54-828</t>
  </si>
  <si>
    <t>540-344-8487</t>
  </si>
  <si>
    <t>SharonAHamilton@aol.com</t>
  </si>
  <si>
    <t>Roanoke</t>
  </si>
  <si>
    <t>4591 Hurry Street</t>
  </si>
  <si>
    <t>HAMILTON</t>
  </si>
  <si>
    <t>SHARON</t>
  </si>
  <si>
    <t>07-7201</t>
  </si>
  <si>
    <t>229-672-6963</t>
  </si>
  <si>
    <t>MarieDWilliams@gmail.com</t>
  </si>
  <si>
    <t>Thomasville</t>
  </si>
  <si>
    <t>240 Locust Street</t>
  </si>
  <si>
    <t>MARIE</t>
  </si>
  <si>
    <t>32-1065</t>
  </si>
  <si>
    <t>309-392-0556</t>
  </si>
  <si>
    <t>ChristineTPierce@gmail.com</t>
  </si>
  <si>
    <t>Minier</t>
  </si>
  <si>
    <t>509 Coburn Hollow Road</t>
  </si>
  <si>
    <t>PIERCE</t>
  </si>
  <si>
    <t>11-972</t>
  </si>
  <si>
    <t>509-929-2283</t>
  </si>
  <si>
    <t>JamesKWashington@gmail.com</t>
  </si>
  <si>
    <t>Ellensburg</t>
  </si>
  <si>
    <t>1523 Melrose Street</t>
  </si>
  <si>
    <t>WASHINGTON</t>
  </si>
  <si>
    <t>17-5058</t>
  </si>
  <si>
    <t>714-227-7227</t>
  </si>
  <si>
    <t>ChristopherJWhite@gmail.com</t>
  </si>
  <si>
    <t>Anaheim</t>
  </si>
  <si>
    <t>4305 Parkview Drive</t>
  </si>
  <si>
    <t>34-2493</t>
  </si>
  <si>
    <t>702-646-7948</t>
  </si>
  <si>
    <t>PatrickCJohnson@gmail.com</t>
  </si>
  <si>
    <t>3033 Hickory Ridge Drive</t>
  </si>
  <si>
    <t>45-1137</t>
  </si>
  <si>
    <t>206-632-7520</t>
  </si>
  <si>
    <t>DannyMQuesada@hotmail.com</t>
  </si>
  <si>
    <t>2249 Elliot Avenue</t>
  </si>
  <si>
    <t>QUESADA</t>
  </si>
  <si>
    <t>DANNY</t>
  </si>
  <si>
    <t>22-952</t>
  </si>
  <si>
    <t>561-751-6293</t>
  </si>
  <si>
    <t>NicholasJStice@aol.com</t>
  </si>
  <si>
    <t>West Palm Beach</t>
  </si>
  <si>
    <t>2973 Mulberry Lane</t>
  </si>
  <si>
    <t>STICE</t>
  </si>
  <si>
    <t>NICHOLAS</t>
  </si>
  <si>
    <t>03-8287</t>
  </si>
  <si>
    <t>724-663-1197</t>
  </si>
  <si>
    <t>PaulSJohnson@hotmail.com</t>
  </si>
  <si>
    <t>Claysville</t>
  </si>
  <si>
    <t>4339 Michigan Avenue</t>
  </si>
  <si>
    <t>80-263</t>
  </si>
  <si>
    <t>202-383-0909</t>
  </si>
  <si>
    <t>DillonPWilliams@aol.com</t>
  </si>
  <si>
    <t>2622 Rhode Island Avenue</t>
  </si>
  <si>
    <t>DILLON</t>
  </si>
  <si>
    <t>02-939</t>
  </si>
  <si>
    <t>937-334-4086</t>
  </si>
  <si>
    <t>DellaJQuillen@hotmail.com</t>
  </si>
  <si>
    <t>10 Pursglove Court</t>
  </si>
  <si>
    <t>QUILLEN</t>
  </si>
  <si>
    <t>DELLA</t>
  </si>
  <si>
    <t>26-9448</t>
  </si>
  <si>
    <t>707-710-1679</t>
  </si>
  <si>
    <t>FernandoJWest@hotmail.com</t>
  </si>
  <si>
    <t>Oakland</t>
  </si>
  <si>
    <t>3195 Davis Avenue</t>
  </si>
  <si>
    <t>WEST</t>
  </si>
  <si>
    <t>FERNANDO</t>
  </si>
  <si>
    <t>01-111</t>
  </si>
  <si>
    <t>302-323-7123</t>
  </si>
  <si>
    <t>JamesDMcCue@aol.com</t>
  </si>
  <si>
    <t>New Castle</t>
  </si>
  <si>
    <t>844 Argonne Street</t>
  </si>
  <si>
    <t>MCCUE</t>
  </si>
  <si>
    <t>22-8780</t>
  </si>
  <si>
    <t>580-643-5025</t>
  </si>
  <si>
    <t>ShannonGAkers@hotmail.com</t>
  </si>
  <si>
    <t>Guymon</t>
  </si>
  <si>
    <t>4823 Simpson Square</t>
  </si>
  <si>
    <t>AKERS</t>
  </si>
  <si>
    <t>31-537</t>
  </si>
  <si>
    <t>901-312-4432</t>
  </si>
  <si>
    <t>GeneTYelle@gmail.com</t>
  </si>
  <si>
    <t>Memphis</t>
  </si>
  <si>
    <t>3303 Woodridge Lane</t>
  </si>
  <si>
    <t>YELLE</t>
  </si>
  <si>
    <t>GENE</t>
  </si>
  <si>
    <t>96-6160</t>
  </si>
  <si>
    <t>405-232-5203</t>
  </si>
  <si>
    <t>BeulahMGarnett@gmail.com</t>
  </si>
  <si>
    <t>3843 Musgrave Street</t>
  </si>
  <si>
    <t>GARNETT</t>
  </si>
  <si>
    <t>BEULAH</t>
  </si>
  <si>
    <t>28-7118</t>
  </si>
  <si>
    <t>267-497-5517</t>
  </si>
  <si>
    <t>LeonardVConnolly@gmail.com</t>
  </si>
  <si>
    <t>Warminster</t>
  </si>
  <si>
    <t>1601 Quincy Street</t>
  </si>
  <si>
    <t>CONNOLLY</t>
  </si>
  <si>
    <t>LEONARD</t>
  </si>
  <si>
    <t>03-546</t>
  </si>
  <si>
    <t>315-662-5924</t>
  </si>
  <si>
    <t>ShawnMSolomon@gmail.com</t>
  </si>
  <si>
    <t>New Woodstock</t>
  </si>
  <si>
    <t>258 Confederate Drive</t>
  </si>
  <si>
    <t>SOLOMON</t>
  </si>
  <si>
    <t>SHAWN</t>
  </si>
  <si>
    <t>03-061</t>
  </si>
  <si>
    <t>804-349-2459</t>
  </si>
  <si>
    <t>TeresaTPayne@aol.com</t>
  </si>
  <si>
    <t>Glen Allen</t>
  </si>
  <si>
    <t>3200 Melody Lane</t>
  </si>
  <si>
    <t>PAYNE</t>
  </si>
  <si>
    <t>TERESA</t>
  </si>
  <si>
    <t>28-105</t>
  </si>
  <si>
    <t>313-321-8117</t>
  </si>
  <si>
    <t>RheaTDick@hotmail.com</t>
  </si>
  <si>
    <t>Southfield</t>
  </si>
  <si>
    <t>3813 Prudence Street</t>
  </si>
  <si>
    <t>DICK</t>
  </si>
  <si>
    <t>RHEA</t>
  </si>
  <si>
    <t>90-7779</t>
  </si>
  <si>
    <t>614-782-6925</t>
  </si>
  <si>
    <t>ToddLHooker@gmail.com</t>
  </si>
  <si>
    <t>Columbus</t>
  </si>
  <si>
    <t>3164 Collins Avenue</t>
  </si>
  <si>
    <t>HOOKER</t>
  </si>
  <si>
    <t>TODD</t>
  </si>
  <si>
    <t>96-8910</t>
  </si>
  <si>
    <t>202-686-6356</t>
  </si>
  <si>
    <t>PhyllisCBrown@hotmail.com</t>
  </si>
  <si>
    <t>2236 Massachusetts Avenue</t>
  </si>
  <si>
    <t>PHYLLIS</t>
  </si>
  <si>
    <t>94-840</t>
  </si>
  <si>
    <t>703-762-0541</t>
  </si>
  <si>
    <t>DianeJFigueroa@aol.com</t>
  </si>
  <si>
    <t>Mclean</t>
  </si>
  <si>
    <t>4050 Perine Street</t>
  </si>
  <si>
    <t>FIGUEROA</t>
  </si>
  <si>
    <t>09-098</t>
  </si>
  <si>
    <t>479-461-1718</t>
  </si>
  <si>
    <t>EdwardEKinner@aol.com</t>
  </si>
  <si>
    <t>Fort Smith</t>
  </si>
  <si>
    <t>518 Midway Road</t>
  </si>
  <si>
    <t>KINNER</t>
  </si>
  <si>
    <t>EDWARD</t>
  </si>
  <si>
    <t>23-168</t>
  </si>
  <si>
    <t>410-629-0583</t>
  </si>
  <si>
    <t>GenevieveWTaranto@gmail.com</t>
  </si>
  <si>
    <t>Berlin</t>
  </si>
  <si>
    <t>4477 Marshall Street</t>
  </si>
  <si>
    <t>TARANTO</t>
  </si>
  <si>
    <t>GENEVIEVE</t>
  </si>
  <si>
    <t>84-695</t>
  </si>
  <si>
    <t>302-328-5806</t>
  </si>
  <si>
    <t>DorothyGRansom@aol.com</t>
  </si>
  <si>
    <t>2933 Argonne Street</t>
  </si>
  <si>
    <t>RANSOM</t>
  </si>
  <si>
    <t>46-331</t>
  </si>
  <si>
    <t>813-545-6399</t>
  </si>
  <si>
    <t>StephenDBernier@hotmail.com</t>
  </si>
  <si>
    <t>Plant City</t>
  </si>
  <si>
    <t>547 Saints Alley</t>
  </si>
  <si>
    <t>BERNIER</t>
  </si>
  <si>
    <t>67-4735</t>
  </si>
  <si>
    <t>252-636-3151</t>
  </si>
  <si>
    <t>AngieCGlassman@hotmail.com</t>
  </si>
  <si>
    <t>New Bern</t>
  </si>
  <si>
    <t>4886 Edwards Street</t>
  </si>
  <si>
    <t>GLASSMAN</t>
  </si>
  <si>
    <t>ANGIE</t>
  </si>
  <si>
    <t>58-4498</t>
  </si>
  <si>
    <t>310-458-2929</t>
  </si>
  <si>
    <t>IsaiahLBuckner@gmail.com</t>
  </si>
  <si>
    <t>1812 Armbrester Drive</t>
  </si>
  <si>
    <t>BUCKNER</t>
  </si>
  <si>
    <t>ISAIAH</t>
  </si>
  <si>
    <t>04-307</t>
  </si>
  <si>
    <t>763-232-7639</t>
  </si>
  <si>
    <t>AnneDZamora@gmail.com</t>
  </si>
  <si>
    <t>2415 Willison Street</t>
  </si>
  <si>
    <t>ZAMORA</t>
  </si>
  <si>
    <t>ANNE</t>
  </si>
  <si>
    <t>12-056</t>
  </si>
  <si>
    <t>479-466-7147</t>
  </si>
  <si>
    <t>DarrylERamirez@aol.com</t>
  </si>
  <si>
    <t>2860 Midway Road</t>
  </si>
  <si>
    <t>34-2125</t>
  </si>
  <si>
    <t>347-697-5792</t>
  </si>
  <si>
    <t>SharonRGraham@aol.com</t>
  </si>
  <si>
    <t>1017 Redbud Drive</t>
  </si>
  <si>
    <t>GRAHAM</t>
  </si>
  <si>
    <t>21-051</t>
  </si>
  <si>
    <t>805-373-3889</t>
  </si>
  <si>
    <t>RonaldAEasley@aol.com</t>
  </si>
  <si>
    <t>Thousand Oaks</t>
  </si>
  <si>
    <t>2669 Diane Street</t>
  </si>
  <si>
    <t>EASLEY</t>
  </si>
  <si>
    <t>05-1085</t>
  </si>
  <si>
    <t>708-525-4749</t>
  </si>
  <si>
    <t>DavidNStuart@hotmail.com</t>
  </si>
  <si>
    <t>Schaumburg</t>
  </si>
  <si>
    <t>485 Hog Camp Road</t>
  </si>
  <si>
    <t>STUART</t>
  </si>
  <si>
    <t>31-9542</t>
  </si>
  <si>
    <t>509-854-4493</t>
  </si>
  <si>
    <t>BarbaraLLong@hotmail.com</t>
  </si>
  <si>
    <t>Granger</t>
  </si>
  <si>
    <t>2975 Sun Valley Road</t>
  </si>
  <si>
    <t>LONG</t>
  </si>
  <si>
    <t>94-6503</t>
  </si>
  <si>
    <t>406-257-3839</t>
  </si>
  <si>
    <t>JoanJWillingham@hotmail.com</t>
  </si>
  <si>
    <t>Kalispell</t>
  </si>
  <si>
    <t>4558 Richison Drive</t>
  </si>
  <si>
    <t>WILLINGHAM</t>
  </si>
  <si>
    <t>20-6645</t>
  </si>
  <si>
    <t>802-664-2037</t>
  </si>
  <si>
    <t>JohnCKile@hotmail.com</t>
  </si>
  <si>
    <t>East Fairfield</t>
  </si>
  <si>
    <t>3832 Selah Way</t>
  </si>
  <si>
    <t>KILE</t>
  </si>
  <si>
    <t>90-1277</t>
  </si>
  <si>
    <t>310-267-5199</t>
  </si>
  <si>
    <t>MartinTSchaal@hotmail.com</t>
  </si>
  <si>
    <t>2501 Libby Street</t>
  </si>
  <si>
    <t>SCHAAL</t>
  </si>
  <si>
    <t>14-318</t>
  </si>
  <si>
    <t>401-350-1932</t>
  </si>
  <si>
    <t>MaryMFoltz@gmail.com</t>
  </si>
  <si>
    <t>4096 Diamond Cove</t>
  </si>
  <si>
    <t>FOLTZ</t>
  </si>
  <si>
    <t>10-618</t>
  </si>
  <si>
    <t>941-235-5999</t>
  </si>
  <si>
    <t>VivianJRosario@hotmail.com</t>
  </si>
  <si>
    <t>Port Charlotte</t>
  </si>
  <si>
    <t>3892 Lunetta Street</t>
  </si>
  <si>
    <t>ROSARIO</t>
  </si>
  <si>
    <t>VIVIAN</t>
  </si>
  <si>
    <t>27-081</t>
  </si>
  <si>
    <t>818-871-5647</t>
  </si>
  <si>
    <t>PatriciaASimmons@hotmail.com</t>
  </si>
  <si>
    <t>1074 Quiet Valley Lane</t>
  </si>
  <si>
    <t>SIMMONS</t>
  </si>
  <si>
    <t>PATRICIA</t>
  </si>
  <si>
    <t>03-0868</t>
  </si>
  <si>
    <t>443-441-3108</t>
  </si>
  <si>
    <t>GroverLManning@gmail.com</t>
  </si>
  <si>
    <t>2958 Harron Drive</t>
  </si>
  <si>
    <t>MANNING</t>
  </si>
  <si>
    <t>GROVER</t>
  </si>
  <si>
    <t>24-156</t>
  </si>
  <si>
    <t>813-774-9998</t>
  </si>
  <si>
    <t>MarkMNumbers@hotmail.com</t>
  </si>
  <si>
    <t>1046 Saints Alley</t>
  </si>
  <si>
    <t>NUMBERS</t>
  </si>
  <si>
    <t>93-527</t>
  </si>
  <si>
    <t>720-530-1785</t>
  </si>
  <si>
    <t>LucyWMurray@hotmail.com</t>
  </si>
  <si>
    <t>4983 Clay Lick Road</t>
  </si>
  <si>
    <t>24-2193</t>
  </si>
  <si>
    <t>419-696-7169</t>
  </si>
  <si>
    <t>MarlinFCambridge@gmail.com</t>
  </si>
  <si>
    <t>4128 Still Street</t>
  </si>
  <si>
    <t>CAMBRIDGE</t>
  </si>
  <si>
    <t>MARLIN</t>
  </si>
  <si>
    <t>40-2623</t>
  </si>
  <si>
    <t>559-750-6863</t>
  </si>
  <si>
    <t>GeorgeAReynolds@hotmail.com</t>
  </si>
  <si>
    <t>Fresno</t>
  </si>
  <si>
    <t>342 Heritage Road</t>
  </si>
  <si>
    <t>REYNOLDS</t>
  </si>
  <si>
    <t>74-389</t>
  </si>
  <si>
    <t>717-502-2596</t>
  </si>
  <si>
    <t>HeidiRWoody@aol.com</t>
  </si>
  <si>
    <t>Dillsburg</t>
  </si>
  <si>
    <t>2927 Saint James Drive</t>
  </si>
  <si>
    <t>WOODY</t>
  </si>
  <si>
    <t>HEIDI</t>
  </si>
  <si>
    <t>21-7249</t>
  </si>
  <si>
    <t>805-344-2705</t>
  </si>
  <si>
    <t>DanielleHMagnusson@aol.com</t>
  </si>
  <si>
    <t>Los Alamos</t>
  </si>
  <si>
    <t>1592 Euclid Avenue</t>
  </si>
  <si>
    <t>MAGNUSSON</t>
  </si>
  <si>
    <t>DANIELLE</t>
  </si>
  <si>
    <t>03-3726</t>
  </si>
  <si>
    <t>804-724-5205</t>
  </si>
  <si>
    <t>WilliamBPotts@gmail.com</t>
  </si>
  <si>
    <t>Richmond</t>
  </si>
  <si>
    <t>511 Fleming Way</t>
  </si>
  <si>
    <t>POTTS</t>
  </si>
  <si>
    <t>46-660</t>
  </si>
  <si>
    <t>940-529-0323</t>
  </si>
  <si>
    <t>MariaAKinsley@gmail.com</t>
  </si>
  <si>
    <t>Byers</t>
  </si>
  <si>
    <t>4699 Alexander Drive</t>
  </si>
  <si>
    <t>KINSLEY</t>
  </si>
  <si>
    <t>MARIA</t>
  </si>
  <si>
    <t>28-6361</t>
  </si>
  <si>
    <t>215-525-3830</t>
  </si>
  <si>
    <t>JesseJCatlin@aol.com</t>
  </si>
  <si>
    <t>1291 Pheasant Ridge Road</t>
  </si>
  <si>
    <t>CATLIN</t>
  </si>
  <si>
    <t>03-753</t>
  </si>
  <si>
    <t>847-861-0967</t>
  </si>
  <si>
    <t>TerranceVJohnson@hotmail.com</t>
  </si>
  <si>
    <t>1346 Pinewood Drive</t>
  </si>
  <si>
    <t>TERRANCE</t>
  </si>
  <si>
    <t>32-570</t>
  </si>
  <si>
    <t>304-683-1108</t>
  </si>
  <si>
    <t>LesliePWhitaker@hotmail.com</t>
  </si>
  <si>
    <t>Sophia</t>
  </si>
  <si>
    <t>673 Hall Valley Drive</t>
  </si>
  <si>
    <t>LESLIE</t>
  </si>
  <si>
    <t>74-5648</t>
  </si>
  <si>
    <t>267-374-3082</t>
  </si>
  <si>
    <t>DanielleTPalmer@hotmail.com</t>
  </si>
  <si>
    <t>Plymouth Meeting</t>
  </si>
  <si>
    <t>398 Valley Drive</t>
  </si>
  <si>
    <t>PALMER</t>
  </si>
  <si>
    <t>10-822</t>
  </si>
  <si>
    <t>248-670-1284</t>
  </si>
  <si>
    <t>LupeKHeath@hotmail.com</t>
  </si>
  <si>
    <t>Westland</t>
  </si>
  <si>
    <t>4758 Cunningham Court</t>
  </si>
  <si>
    <t>HEATH</t>
  </si>
  <si>
    <t>LUPE</t>
  </si>
  <si>
    <t>10-2225</t>
  </si>
  <si>
    <t>323-972-5350</t>
  </si>
  <si>
    <t>RosemaryJQuinn@gmail.com</t>
  </si>
  <si>
    <t>4743 Felosa Drive</t>
  </si>
  <si>
    <t>QUINN</t>
  </si>
  <si>
    <t>ROSEMARY</t>
  </si>
  <si>
    <t>28-400</t>
  </si>
  <si>
    <t>715-391-1204</t>
  </si>
  <si>
    <t>DavidMWalters@aol.com</t>
  </si>
  <si>
    <t>Stratford</t>
  </si>
  <si>
    <t>3762 Abner Road</t>
  </si>
  <si>
    <t>38-704</t>
  </si>
  <si>
    <t>303-765-8535</t>
  </si>
  <si>
    <t>EvelyneEWilliams@aol.com</t>
  </si>
  <si>
    <t>4459 McKinley Avenue</t>
  </si>
  <si>
    <t>EVELYNE</t>
  </si>
  <si>
    <t>74-265</t>
  </si>
  <si>
    <t>954-738-6457</t>
  </si>
  <si>
    <t>KathyRHutto@aol.com</t>
  </si>
  <si>
    <t>4029 Everette Alley</t>
  </si>
  <si>
    <t>HUTTO</t>
  </si>
  <si>
    <t>26-9281</t>
  </si>
  <si>
    <t>812-458-6289</t>
  </si>
  <si>
    <t>XavierMBrown@hotmail.com</t>
  </si>
  <si>
    <t>Butlerville</t>
  </si>
  <si>
    <t>1993 Lucy Lane</t>
  </si>
  <si>
    <t>XAVIER</t>
  </si>
  <si>
    <t>76-479</t>
  </si>
  <si>
    <t>320-552-4063</t>
  </si>
  <si>
    <t>AnitaJSachs@hotmail.com</t>
  </si>
  <si>
    <t>Hutchinson</t>
  </si>
  <si>
    <t>677 Brighton Circle Road</t>
  </si>
  <si>
    <t>SACHS</t>
  </si>
  <si>
    <t>21-4591</t>
  </si>
  <si>
    <t>563-252-9377</t>
  </si>
  <si>
    <t>DavidHTaber@hotmail.com</t>
  </si>
  <si>
    <t>Guttenberg</t>
  </si>
  <si>
    <t>3787 Pin Oak Drive</t>
  </si>
  <si>
    <t>TABER</t>
  </si>
  <si>
    <t>16-381</t>
  </si>
  <si>
    <t>267-715-9830</t>
  </si>
  <si>
    <t>TracyRBerry@hotmail.com</t>
  </si>
  <si>
    <t>1078 Spring Avenue</t>
  </si>
  <si>
    <t>BERRY</t>
  </si>
  <si>
    <t>TRACY</t>
  </si>
  <si>
    <t>40-9485</t>
  </si>
  <si>
    <t>660-259-4549</t>
  </si>
  <si>
    <t>ConcettaBWoodruff@aol.com</t>
  </si>
  <si>
    <t>Lexington</t>
  </si>
  <si>
    <t>4968 Fairmont Avenue</t>
  </si>
  <si>
    <t>WOODRUFF</t>
  </si>
  <si>
    <t>CONCETTA</t>
  </si>
  <si>
    <t>11-3510</t>
  </si>
  <si>
    <t>323-904-6802</t>
  </si>
  <si>
    <t>TroyJCastellanos@gmail.com</t>
  </si>
  <si>
    <t>Long Beach</t>
  </si>
  <si>
    <t>4622 Hillhaven Drive</t>
  </si>
  <si>
    <t>CASTELLANOS</t>
  </si>
  <si>
    <t>TROY</t>
  </si>
  <si>
    <t>04-2522</t>
  </si>
  <si>
    <t>303-285-1449</t>
  </si>
  <si>
    <t>AgnesMSchmidt@aol.com</t>
  </si>
  <si>
    <t>876 Logan Lane</t>
  </si>
  <si>
    <t>SCHMIDT</t>
  </si>
  <si>
    <t>AGNES</t>
  </si>
  <si>
    <t>05-187</t>
  </si>
  <si>
    <t>914-315-5689</t>
  </si>
  <si>
    <t>GabrielaBJackson@aol.com</t>
  </si>
  <si>
    <t>4588 Pallet Street</t>
  </si>
  <si>
    <t>GABRIELA</t>
  </si>
  <si>
    <t>80-0419</t>
  </si>
  <si>
    <t>484-902-6607</t>
  </si>
  <si>
    <t>ScottWBull@aol.com</t>
  </si>
  <si>
    <t>Collegeville</t>
  </si>
  <si>
    <t>666 Berkley Street</t>
  </si>
  <si>
    <t>BULL</t>
  </si>
  <si>
    <t>15-0729</t>
  </si>
  <si>
    <t>269-815-1770</t>
  </si>
  <si>
    <t>JamesRHartley@gmail.com</t>
  </si>
  <si>
    <t>3582 Echo Lane</t>
  </si>
  <si>
    <t>HARTLEY</t>
  </si>
  <si>
    <t>03-7749</t>
  </si>
  <si>
    <t>662-691-0811</t>
  </si>
  <si>
    <t>BeatriceKSanchez@hotmail.com</t>
  </si>
  <si>
    <t>Tupelo</t>
  </si>
  <si>
    <t>3708 Rafe Lane</t>
  </si>
  <si>
    <t>SANCHEZ</t>
  </si>
  <si>
    <t>BEATRICE</t>
  </si>
  <si>
    <t>03-991</t>
  </si>
  <si>
    <t>808-467-6020</t>
  </si>
  <si>
    <t>LeslieJFogle@hotmail.com</t>
  </si>
  <si>
    <t>2406 Arron Smith Drive</t>
  </si>
  <si>
    <t>FOGLE</t>
  </si>
  <si>
    <t>34-169</t>
  </si>
  <si>
    <t>610-476-5230</t>
  </si>
  <si>
    <t>ThedaNMathis@hotmail.com</t>
  </si>
  <si>
    <t>Eagleville</t>
  </si>
  <si>
    <t>4689 Cityview Drive</t>
  </si>
  <si>
    <t>MATHIS</t>
  </si>
  <si>
    <t>THEDA</t>
  </si>
  <si>
    <t>89-1017</t>
  </si>
  <si>
    <t>305-336-9391</t>
  </si>
  <si>
    <t>JerrySTorres@aol.com</t>
  </si>
  <si>
    <t>Ft Lauderdale</t>
  </si>
  <si>
    <t>2264 Tyler Avenue</t>
  </si>
  <si>
    <t>TORRES</t>
  </si>
  <si>
    <t>JERRY</t>
  </si>
  <si>
    <t>36-5491</t>
  </si>
  <si>
    <t>217-603-5699</t>
  </si>
  <si>
    <t>RobertBNelson@hotmail.com</t>
  </si>
  <si>
    <t>Mattoon</t>
  </si>
  <si>
    <t>3206 University Hill Road</t>
  </si>
  <si>
    <t>46-6406</t>
  </si>
  <si>
    <t>907-688-3323</t>
  </si>
  <si>
    <t>MelissaJFlores@aol.com</t>
  </si>
  <si>
    <t>Chugiak</t>
  </si>
  <si>
    <t>4286 Timbercrest Road</t>
  </si>
  <si>
    <t>FLORES</t>
  </si>
  <si>
    <t>74-7337</t>
  </si>
  <si>
    <t>605-882-7735</t>
  </si>
  <si>
    <t>PabloJBreedlove@hotmail.com</t>
  </si>
  <si>
    <t>Watertown</t>
  </si>
  <si>
    <t>2246 Leroy Lane</t>
  </si>
  <si>
    <t>BREEDLOVE</t>
  </si>
  <si>
    <t>PABLO</t>
  </si>
  <si>
    <t>12-814</t>
  </si>
  <si>
    <t>407-832-6664</t>
  </si>
  <si>
    <t>MariaFNeal@hotmail.com</t>
  </si>
  <si>
    <t>Longwood</t>
  </si>
  <si>
    <t>4040 McDonald Avenue</t>
  </si>
  <si>
    <t>NEAL</t>
  </si>
  <si>
    <t>01-678</t>
  </si>
  <si>
    <t>276-617-4436</t>
  </si>
  <si>
    <t>MeredithJBailey@gmail.com</t>
  </si>
  <si>
    <t>Wytheville</t>
  </si>
  <si>
    <t>4273 Douglas Dairy Road</t>
  </si>
  <si>
    <t>BAILEY</t>
  </si>
  <si>
    <t>MEREDITH</t>
  </si>
  <si>
    <t>50-485</t>
  </si>
  <si>
    <t>616-510-1257</t>
  </si>
  <si>
    <t>RobertSThurman@aol.com</t>
  </si>
  <si>
    <t>2396 Howard Street</t>
  </si>
  <si>
    <t>THURMAN</t>
  </si>
  <si>
    <t>62-797</t>
  </si>
  <si>
    <t>724-263-7131</t>
  </si>
  <si>
    <t>AllisonIPatton@aol.com</t>
  </si>
  <si>
    <t>Crafton</t>
  </si>
  <si>
    <t>1879 Pine Street</t>
  </si>
  <si>
    <t>PATTON</t>
  </si>
  <si>
    <t>ALLISON</t>
  </si>
  <si>
    <t>54-199</t>
  </si>
  <si>
    <t>972-485-7316</t>
  </si>
  <si>
    <t>CarmellaCMora@aol.com</t>
  </si>
  <si>
    <t>Garland</t>
  </si>
  <si>
    <t>2824 Wilson Avenue</t>
  </si>
  <si>
    <t>MORA</t>
  </si>
  <si>
    <t>CARMELLA</t>
  </si>
  <si>
    <t>95-995</t>
  </si>
  <si>
    <t>731-297-1255</t>
  </si>
  <si>
    <t>DianaJHancock@hotmail.com</t>
  </si>
  <si>
    <t>Trimble</t>
  </si>
  <si>
    <t>1173 Mapleview Drive</t>
  </si>
  <si>
    <t>HANCOCK</t>
  </si>
  <si>
    <t>DIANA</t>
  </si>
  <si>
    <t>06-441</t>
  </si>
  <si>
    <t>253-732-8965</t>
  </si>
  <si>
    <t>AudreyMMilton@gmail.com</t>
  </si>
  <si>
    <t>Tacoma</t>
  </si>
  <si>
    <t>3779 Dale Avenue</t>
  </si>
  <si>
    <t>MILTON</t>
  </si>
  <si>
    <t>AUDREY</t>
  </si>
  <si>
    <t>96-502</t>
  </si>
  <si>
    <t>636-323-3267</t>
  </si>
  <si>
    <t>MiltonTBrown@aol.com</t>
  </si>
  <si>
    <t>Belleville</t>
  </si>
  <si>
    <t>4245 Irving Place</t>
  </si>
  <si>
    <t>16-1384</t>
  </si>
  <si>
    <t>803-377-7264</t>
  </si>
  <si>
    <t>SamKHughes@gmail.com</t>
  </si>
  <si>
    <t>Chester</t>
  </si>
  <si>
    <t>1097 Still Pastures Drive</t>
  </si>
  <si>
    <t>03-1580</t>
  </si>
  <si>
    <t>520-226-6462</t>
  </si>
  <si>
    <t>HeidiGSinquefield@gmail.com</t>
  </si>
  <si>
    <t>Tucson</t>
  </si>
  <si>
    <t>4929 Elk Rd Little</t>
  </si>
  <si>
    <t>SINQUEFIELD</t>
  </si>
  <si>
    <t>60-9995</t>
  </si>
  <si>
    <t>716-549-1195</t>
  </si>
  <si>
    <t>JosephCRoberts@aol.com</t>
  </si>
  <si>
    <t>Angola</t>
  </si>
  <si>
    <t>87 Nuzum Court</t>
  </si>
  <si>
    <t>14-875</t>
  </si>
  <si>
    <t>803-496-2792</t>
  </si>
  <si>
    <t>RogerMGreen@hotmail.com</t>
  </si>
  <si>
    <t>Holly Hill</t>
  </si>
  <si>
    <t>3689 Still Pastures Drive</t>
  </si>
  <si>
    <t>ROGER</t>
  </si>
  <si>
    <t>39-718</t>
  </si>
  <si>
    <t>206-244-9336</t>
  </si>
  <si>
    <t>JamesLPettigrew@gmail.com</t>
  </si>
  <si>
    <t>Burien</t>
  </si>
  <si>
    <t>2694 Owagner Lane</t>
  </si>
  <si>
    <t>PETTIGREW</t>
  </si>
  <si>
    <t>62-778</t>
  </si>
  <si>
    <t>651-691-3565</t>
  </si>
  <si>
    <t>KennethVKirby@hotmail.com</t>
  </si>
  <si>
    <t>4459 B Street</t>
  </si>
  <si>
    <t>KIRBY</t>
  </si>
  <si>
    <t>18-4117</t>
  </si>
  <si>
    <t>239-331-9668</t>
  </si>
  <si>
    <t>BarbaraRHansen@aol.com</t>
  </si>
  <si>
    <t>Fort Myers</t>
  </si>
  <si>
    <t>3561 Sunburst Drive</t>
  </si>
  <si>
    <t>12-993</t>
  </si>
  <si>
    <t>608-646-8991</t>
  </si>
  <si>
    <t>ShaynaBGerman@aol.com</t>
  </si>
  <si>
    <t>Madison</t>
  </si>
  <si>
    <t>854 Primrose Lane</t>
  </si>
  <si>
    <t>GERMAN</t>
  </si>
  <si>
    <t>SHAYNA</t>
  </si>
  <si>
    <t>61-0157</t>
  </si>
  <si>
    <t>512-439-0332</t>
  </si>
  <si>
    <t>AmandaCMilano@aol.com</t>
  </si>
  <si>
    <t>Austin</t>
  </si>
  <si>
    <t>3070 Bubby Drive</t>
  </si>
  <si>
    <t>MILANO</t>
  </si>
  <si>
    <t>AMANDA</t>
  </si>
  <si>
    <t>09-165</t>
  </si>
  <si>
    <t>708-398-9663</t>
  </si>
  <si>
    <t>AnthonyDChavez@aol.com</t>
  </si>
  <si>
    <t>Arlington Heights</t>
  </si>
  <si>
    <t>4494 Flinderation Road</t>
  </si>
  <si>
    <t>CHAVEZ</t>
  </si>
  <si>
    <t>60-549</t>
  </si>
  <si>
    <t>310-313-9536</t>
  </si>
  <si>
    <t>MichaelALogsdon@aol.com</t>
  </si>
  <si>
    <t>3225 Libby Street</t>
  </si>
  <si>
    <t>LOGSDON</t>
  </si>
  <si>
    <t>13-511</t>
  </si>
  <si>
    <t>319-236-0382</t>
  </si>
  <si>
    <t>FaithJHagans@hotmail.com</t>
  </si>
  <si>
    <t>Waterloo</t>
  </si>
  <si>
    <t>1491 Tecumsah Lane</t>
  </si>
  <si>
    <t>HAGANS</t>
  </si>
  <si>
    <t>FAITH</t>
  </si>
  <si>
    <t>38-036</t>
  </si>
  <si>
    <t>954-762-9105</t>
  </si>
  <si>
    <t>GregoryVMoore@gmail.com</t>
  </si>
  <si>
    <t>856 Everette Alley</t>
  </si>
  <si>
    <t>MOORE</t>
  </si>
  <si>
    <t>56-541</t>
  </si>
  <si>
    <t>410-820-1785</t>
  </si>
  <si>
    <t>TeresaABattin@aol.com</t>
  </si>
  <si>
    <t>Easton</t>
  </si>
  <si>
    <t>702 Woodhill Avenue</t>
  </si>
  <si>
    <t>BATTIN</t>
  </si>
  <si>
    <t>04-165</t>
  </si>
  <si>
    <t>513-579-4638</t>
  </si>
  <si>
    <t>LeroyRCarroll@aol.com</t>
  </si>
  <si>
    <t>269 Rogers Street</t>
  </si>
  <si>
    <t>CARROLL</t>
  </si>
  <si>
    <t>60-3666</t>
  </si>
  <si>
    <t>360-749-8772</t>
  </si>
  <si>
    <t>ShaniMHamilton@hotmail.com</t>
  </si>
  <si>
    <t>Kelso</t>
  </si>
  <si>
    <t>4856 Pinnickinick Street</t>
  </si>
  <si>
    <t>SHANI</t>
  </si>
  <si>
    <t>05-9569</t>
  </si>
  <si>
    <t>435-757-3720</t>
  </si>
  <si>
    <t>LesterJBaer@aol.com</t>
  </si>
  <si>
    <t>Logan</t>
  </si>
  <si>
    <t>1239 Lang Avenue</t>
  </si>
  <si>
    <t>BAER</t>
  </si>
  <si>
    <t>LESTER</t>
  </si>
  <si>
    <t>93-254</t>
  </si>
  <si>
    <t>213-471-6747</t>
  </si>
  <si>
    <t>LeighannJMcCorkle@hotmail.com</t>
  </si>
  <si>
    <t>3840 Zimmerman Lane</t>
  </si>
  <si>
    <t>MCCORKLE</t>
  </si>
  <si>
    <t>LEIGHANN</t>
  </si>
  <si>
    <t>40-5240</t>
  </si>
  <si>
    <t>325-475-8182</t>
  </si>
  <si>
    <t>MonteKMellott@aol.com</t>
  </si>
  <si>
    <t>London</t>
  </si>
  <si>
    <t>1756 Seth Street</t>
  </si>
  <si>
    <t>MELLOTT</t>
  </si>
  <si>
    <t>54-132</t>
  </si>
  <si>
    <t>207-566-8114</t>
  </si>
  <si>
    <t>ChristopherBLane@aol.com</t>
  </si>
  <si>
    <t>Embden Lake</t>
  </si>
  <si>
    <t>2191 Bloomfield Way</t>
  </si>
  <si>
    <t>64-6416</t>
  </si>
  <si>
    <t>301-627-9555</t>
  </si>
  <si>
    <t>DouglasMWright@hotmail.com</t>
  </si>
  <si>
    <t>Upper Marlboro</t>
  </si>
  <si>
    <t>210 Adams Avenue</t>
  </si>
  <si>
    <t>DOUGLAS</t>
  </si>
  <si>
    <t>26-523</t>
  </si>
  <si>
    <t>580-373-5226</t>
  </si>
  <si>
    <t>JerryMMills@gmail.com</t>
  </si>
  <si>
    <t>Bessie</t>
  </si>
  <si>
    <t>1083 Grove Avenue</t>
  </si>
  <si>
    <t>MILLS</t>
  </si>
  <si>
    <t>20-9381</t>
  </si>
  <si>
    <t>913-424-4228</t>
  </si>
  <si>
    <t>BenjaminRCastaneda@aol.com</t>
  </si>
  <si>
    <t>Mission</t>
  </si>
  <si>
    <t>725 Poe Lane</t>
  </si>
  <si>
    <t>CASTANEDA</t>
  </si>
  <si>
    <t>BENJAMIN</t>
  </si>
  <si>
    <t>22-4734</t>
  </si>
  <si>
    <t>443-425-0071</t>
  </si>
  <si>
    <t>SeanCBaltes@aol.com</t>
  </si>
  <si>
    <t>2545 Calvin Street</t>
  </si>
  <si>
    <t>BALTES</t>
  </si>
  <si>
    <t>SEAN</t>
  </si>
  <si>
    <t>88-8139</t>
  </si>
  <si>
    <t>617-226-8333</t>
  </si>
  <si>
    <t>JeanRGarcia@hotmail.com</t>
  </si>
  <si>
    <t>4646 Lynn Street</t>
  </si>
  <si>
    <t>GARCIA</t>
  </si>
  <si>
    <t>JEAN</t>
  </si>
  <si>
    <t>24-3647</t>
  </si>
  <si>
    <t>630-602-5913</t>
  </si>
  <si>
    <t>LindaHChasse@aol.com</t>
  </si>
  <si>
    <t>4155 Kembery Drive</t>
  </si>
  <si>
    <t>CHASSE</t>
  </si>
  <si>
    <t>94-431</t>
  </si>
  <si>
    <t>509-790-0804</t>
  </si>
  <si>
    <t>LillianJKline@hotmail.com</t>
  </si>
  <si>
    <t>Yakima</t>
  </si>
  <si>
    <t>4188 Sun Valley Road</t>
  </si>
  <si>
    <t>KLINE</t>
  </si>
  <si>
    <t>LILLIAN</t>
  </si>
  <si>
    <t>02-925</t>
  </si>
  <si>
    <t>305-308-0272</t>
  </si>
  <si>
    <t>SueJDoucette@hotmail.com</t>
  </si>
  <si>
    <t>3416 Tyler Avenue</t>
  </si>
  <si>
    <t>DOUCETTE</t>
  </si>
  <si>
    <t>14-5193</t>
  </si>
  <si>
    <t>215-790-4399</t>
  </si>
  <si>
    <t>MichelleCKeown@gmail.com</t>
  </si>
  <si>
    <t>1993 Tipple Road</t>
  </si>
  <si>
    <t>KEOWN</t>
  </si>
  <si>
    <t>MICHELLE</t>
  </si>
  <si>
    <t>58-2864</t>
  </si>
  <si>
    <t>210-332-7713</t>
  </si>
  <si>
    <t>NicoleBPerez@aol.com</t>
  </si>
  <si>
    <t>San Antonio</t>
  </si>
  <si>
    <t>3673 Weekley Street</t>
  </si>
  <si>
    <t>PEREZ</t>
  </si>
  <si>
    <t>NICOLE</t>
  </si>
  <si>
    <t>66-905</t>
  </si>
  <si>
    <t>312-675-4767</t>
  </si>
  <si>
    <t>KennethIHarris@hotmail.com</t>
  </si>
  <si>
    <t>1634 Patterson Fork Road</t>
  </si>
  <si>
    <t>26-2475</t>
  </si>
  <si>
    <t>701-555-3444</t>
  </si>
  <si>
    <t>RonaldEGordon@gmail.com</t>
  </si>
  <si>
    <t>4048 Courtright Street</t>
  </si>
  <si>
    <t>GORDON</t>
  </si>
  <si>
    <t>28-827</t>
  </si>
  <si>
    <t>516-802-1216</t>
  </si>
  <si>
    <t>LesNLawhon@hotmail.com</t>
  </si>
  <si>
    <t>Hicksville</t>
  </si>
  <si>
    <t>3075 Westwood Avenue</t>
  </si>
  <si>
    <t>LAWHON</t>
  </si>
  <si>
    <t>LES</t>
  </si>
  <si>
    <t>30-532</t>
  </si>
  <si>
    <t>724-696-9820</t>
  </si>
  <si>
    <t>CharlesSCastro@gmail.com</t>
  </si>
  <si>
    <t>New Stanton</t>
  </si>
  <si>
    <t>2165 Michigan Avenue</t>
  </si>
  <si>
    <t>CASTRO</t>
  </si>
  <si>
    <t>20-618</t>
  </si>
  <si>
    <t>740-721-7555</t>
  </si>
  <si>
    <t>ElaineBCunningham@gmail.com</t>
  </si>
  <si>
    <t>Worthington</t>
  </si>
  <si>
    <t>4941 Viking Drive</t>
  </si>
  <si>
    <t>CUNNINGHAM</t>
  </si>
  <si>
    <t>ELAINE</t>
  </si>
  <si>
    <t>86-868</t>
  </si>
  <si>
    <t>213-517-4820</t>
  </si>
  <si>
    <t>KevinMGibson@hotmail.com</t>
  </si>
  <si>
    <t>4577 Zimmerman Lane</t>
  </si>
  <si>
    <t>GIBSON</t>
  </si>
  <si>
    <t>09-3513</t>
  </si>
  <si>
    <t>516-545-5590</t>
  </si>
  <si>
    <t>RockyCWeatherspoon@hotmail.com</t>
  </si>
  <si>
    <t>850 Stanley Avenue</t>
  </si>
  <si>
    <t>WEATHERSPOON</t>
  </si>
  <si>
    <t>ROCKY</t>
  </si>
  <si>
    <t>50-977</t>
  </si>
  <si>
    <t>252-939-9519</t>
  </si>
  <si>
    <t>TracieBSellers@hotmail.com</t>
  </si>
  <si>
    <t>Kinston</t>
  </si>
  <si>
    <t>472 Fort Street</t>
  </si>
  <si>
    <t>SELLERS</t>
  </si>
  <si>
    <t>TRACIE</t>
  </si>
  <si>
    <t>12-9079</t>
  </si>
  <si>
    <t>802-817-4962</t>
  </si>
  <si>
    <t>DavidCAllen@hotmail.com</t>
  </si>
  <si>
    <t>Brattleboro</t>
  </si>
  <si>
    <t>3143 Hardman Road</t>
  </si>
  <si>
    <t>ALLEN</t>
  </si>
  <si>
    <t>25-747</t>
  </si>
  <si>
    <t>334-569-9587</t>
  </si>
  <si>
    <t>DerrickNBrown@gmail.com</t>
  </si>
  <si>
    <t>Holtville</t>
  </si>
  <si>
    <t>2359 Turkey Pen Lane</t>
  </si>
  <si>
    <t>DERRICK</t>
  </si>
  <si>
    <t>24-490</t>
  </si>
  <si>
    <t>907-563-9002</t>
  </si>
  <si>
    <t>GloriaSTorres@gmail.com</t>
  </si>
  <si>
    <t>Anchorage</t>
  </si>
  <si>
    <t>1576 Jerry Toth Drive</t>
  </si>
  <si>
    <t>68-5201</t>
  </si>
  <si>
    <t>313-577-3173</t>
  </si>
  <si>
    <t>DavidDCrum@gmail.com</t>
  </si>
  <si>
    <t>1604 Woodbridge Lane</t>
  </si>
  <si>
    <t>CRUM</t>
  </si>
  <si>
    <t>03-368</t>
  </si>
  <si>
    <t>828-377-2478</t>
  </si>
  <si>
    <t>JamesFFriar@aol.com</t>
  </si>
  <si>
    <t>Asheville</t>
  </si>
  <si>
    <t>4778 Hannah Street</t>
  </si>
  <si>
    <t>FRIAR</t>
  </si>
  <si>
    <t>56-681</t>
  </si>
  <si>
    <t>650-776-7291</t>
  </si>
  <si>
    <t>EricTYoung@hotmail.com</t>
  </si>
  <si>
    <t>Brisbane</t>
  </si>
  <si>
    <t>4267 Duck Creek Road</t>
  </si>
  <si>
    <t>ERIC</t>
  </si>
  <si>
    <t>09-1094</t>
  </si>
  <si>
    <t>603-876-8330</t>
  </si>
  <si>
    <t>AnnCTilton@hotmail.com</t>
  </si>
  <si>
    <t>Marlboro</t>
  </si>
  <si>
    <t>2721 Peck Street</t>
  </si>
  <si>
    <t>TILTON</t>
  </si>
  <si>
    <t>ANN</t>
  </si>
  <si>
    <t>70-6483</t>
  </si>
  <si>
    <t>312-826-8635</t>
  </si>
  <si>
    <t>JohnBMay@hotmail.com</t>
  </si>
  <si>
    <t>361 Tator Patch Road</t>
  </si>
  <si>
    <t>MAY</t>
  </si>
  <si>
    <t>34-7539</t>
  </si>
  <si>
    <t>832-265-2122</t>
  </si>
  <si>
    <t>RussellJLofton@aol.com</t>
  </si>
  <si>
    <t>321 Wines Lane</t>
  </si>
  <si>
    <t>LOFTON</t>
  </si>
  <si>
    <t>52-269</t>
  </si>
  <si>
    <t>217-470-3255</t>
  </si>
  <si>
    <t>KatrinaRStull@hotmail.com</t>
  </si>
  <si>
    <t>4489 Isaacs Creek Road</t>
  </si>
  <si>
    <t>STULL</t>
  </si>
  <si>
    <t>30-8295</t>
  </si>
  <si>
    <t>510-849-5795</t>
  </si>
  <si>
    <t>JannetteJAnthony@gmail.com</t>
  </si>
  <si>
    <t>Berkeley</t>
  </si>
  <si>
    <t>900 Green Avenue</t>
  </si>
  <si>
    <t>JANNETTE</t>
  </si>
  <si>
    <t>84-060</t>
  </si>
  <si>
    <t>859-319-0659</t>
  </si>
  <si>
    <t>JasonLPavon@hotmail.com</t>
  </si>
  <si>
    <t>Winchester</t>
  </si>
  <si>
    <t>4012 Zappia Drive</t>
  </si>
  <si>
    <t>PAVON</t>
  </si>
  <si>
    <t>62-281</t>
  </si>
  <si>
    <t>415-239-2560</t>
  </si>
  <si>
    <t>WandaDSchultz@hotmail.com</t>
  </si>
  <si>
    <t>2161 Delaware Avenue</t>
  </si>
  <si>
    <t>SCHULTZ</t>
  </si>
  <si>
    <t>WANDA</t>
  </si>
  <si>
    <t>36-9420</t>
  </si>
  <si>
    <t>909-960-4178</t>
  </si>
  <si>
    <t>DoraSBurris@gmail.com</t>
  </si>
  <si>
    <t>4692 Clarence Court</t>
  </si>
  <si>
    <t>BURRIS</t>
  </si>
  <si>
    <t>DORA</t>
  </si>
  <si>
    <t>52-3869</t>
  </si>
  <si>
    <t>301-403-7868</t>
  </si>
  <si>
    <t>GeorgeLGreggs@aol.com</t>
  </si>
  <si>
    <t>Hyattsville</t>
  </si>
  <si>
    <t>2906 Cost Avenue</t>
  </si>
  <si>
    <t>GREGGS</t>
  </si>
  <si>
    <t>09-289</t>
  </si>
  <si>
    <t>918-684-5481</t>
  </si>
  <si>
    <t>LisaDThompson@hotmail.com</t>
  </si>
  <si>
    <t>Muskogee</t>
  </si>
  <si>
    <t>210 Heather Sees Way</t>
  </si>
  <si>
    <t>THOMPSON</t>
  </si>
  <si>
    <t>LISA</t>
  </si>
  <si>
    <t>54-094</t>
  </si>
  <si>
    <t>845-795-1923</t>
  </si>
  <si>
    <t>FranMRitchie@hotmail.com</t>
  </si>
  <si>
    <t>Milton</t>
  </si>
  <si>
    <t>4518 Old Dear Lane</t>
  </si>
  <si>
    <t>RITCHIE</t>
  </si>
  <si>
    <t>FRAN</t>
  </si>
  <si>
    <t>26-414</t>
  </si>
  <si>
    <t>781-405-0924</t>
  </si>
  <si>
    <t>ThelmaRMcCarthy@hotmail.com</t>
  </si>
  <si>
    <t>Woburn</t>
  </si>
  <si>
    <t>1722 Romano Street</t>
  </si>
  <si>
    <t>MCCARTHY</t>
  </si>
  <si>
    <t>93-9086</t>
  </si>
  <si>
    <t>919-860-7881</t>
  </si>
  <si>
    <t>JanetBGodfrey@hotmail.com</t>
  </si>
  <si>
    <t>Raleigh</t>
  </si>
  <si>
    <t>4249 Johnson Street</t>
  </si>
  <si>
    <t>GODFREY</t>
  </si>
  <si>
    <t>01-9829</t>
  </si>
  <si>
    <t>410-403-8606</t>
  </si>
  <si>
    <t>EduardoMHarris@gmail.com</t>
  </si>
  <si>
    <t>880 Columbia Boulevard</t>
  </si>
  <si>
    <t>88-6212</t>
  </si>
  <si>
    <t>216-357-0590</t>
  </si>
  <si>
    <t>MichaelJButters@aol.com</t>
  </si>
  <si>
    <t>1700 Glenwood Avenue</t>
  </si>
  <si>
    <t>BUTTERS</t>
  </si>
  <si>
    <t>64-743</t>
  </si>
  <si>
    <t>518-648-2133</t>
  </si>
  <si>
    <t>SylviaPProvencher@hotmail.com</t>
  </si>
  <si>
    <t>Indian Lake</t>
  </si>
  <si>
    <t>2563 Oak Drive</t>
  </si>
  <si>
    <t>PROVENCHER</t>
  </si>
  <si>
    <t>SYLVIA</t>
  </si>
  <si>
    <t>01-3721</t>
  </si>
  <si>
    <t>256-375-9210</t>
  </si>
  <si>
    <t>MaryLOliver@gmail.com</t>
  </si>
  <si>
    <t>345 Turnpike Drive</t>
  </si>
  <si>
    <t>26-6263</t>
  </si>
  <si>
    <t>989-643-6862</t>
  </si>
  <si>
    <t>TerryAAbernathy@aol.com</t>
  </si>
  <si>
    <t>Merrill</t>
  </si>
  <si>
    <t>2731 Mount Street</t>
  </si>
  <si>
    <t>ABERNATHY</t>
  </si>
  <si>
    <t>TERRY</t>
  </si>
  <si>
    <t>10-0649</t>
  </si>
  <si>
    <t>573-304-9439</t>
  </si>
  <si>
    <t>RobertCEldredge@hotmail.com</t>
  </si>
  <si>
    <t>2384 Penn Street</t>
  </si>
  <si>
    <t>ELDREDGE</t>
  </si>
  <si>
    <t>98-9044</t>
  </si>
  <si>
    <t>217-594-5606</t>
  </si>
  <si>
    <t>AntonioKEder@gmail.com</t>
  </si>
  <si>
    <t>Witt</t>
  </si>
  <si>
    <t>4113 University Hill Road</t>
  </si>
  <si>
    <t>EDER</t>
  </si>
  <si>
    <t>16-6026</t>
  </si>
  <si>
    <t>305-886-6290</t>
  </si>
  <si>
    <t>MarySCastle@aol.com</t>
  </si>
  <si>
    <t>Miami Springs</t>
  </si>
  <si>
    <t>4337 Arbutus Drive</t>
  </si>
  <si>
    <t>CASTLE</t>
  </si>
  <si>
    <t>66-5678</t>
  </si>
  <si>
    <t>910-617-0285</t>
  </si>
  <si>
    <t>ChristineWStaff@gmail.com</t>
  </si>
  <si>
    <t>2560 Happy Hollow Road</t>
  </si>
  <si>
    <t>STAFF</t>
  </si>
  <si>
    <t>55-591</t>
  </si>
  <si>
    <t>606-267-0391</t>
  </si>
  <si>
    <t>DanielMWeatherly@hotmail.com</t>
  </si>
  <si>
    <t>Ewing</t>
  </si>
  <si>
    <t>4034 May Street</t>
  </si>
  <si>
    <t>WEATHERLY</t>
  </si>
  <si>
    <t>70-8126</t>
  </si>
  <si>
    <t>732-628-4048</t>
  </si>
  <si>
    <t>JamesMMoore@aol.com</t>
  </si>
  <si>
    <t>3751 Webster Street</t>
  </si>
  <si>
    <t>65-7087</t>
  </si>
  <si>
    <t>530-621-7352</t>
  </si>
  <si>
    <t>JenniferLTrevino@aol.com</t>
  </si>
  <si>
    <t>Placerville</t>
  </si>
  <si>
    <t>1950 Eagles Nest Drive</t>
  </si>
  <si>
    <t>TREVINO</t>
  </si>
  <si>
    <t>02-367</t>
  </si>
  <si>
    <t>614-245-0377</t>
  </si>
  <si>
    <t>KatherineCKennedy@hotmail.com</t>
  </si>
  <si>
    <t>89 Bates Brothers Road</t>
  </si>
  <si>
    <t>KENNEDY</t>
  </si>
  <si>
    <t>KATHERINE</t>
  </si>
  <si>
    <t>22-120</t>
  </si>
  <si>
    <t>412-978-6619</t>
  </si>
  <si>
    <t>MeiRLopez@hotmail.com</t>
  </si>
  <si>
    <t>2992 Frank Avenue</t>
  </si>
  <si>
    <t>LOPEZ</t>
  </si>
  <si>
    <t>MEI</t>
  </si>
  <si>
    <t>80-865</t>
  </si>
  <si>
    <t>865-377-0614</t>
  </si>
  <si>
    <t>EdwardJKelley@aol.com</t>
  </si>
  <si>
    <t>4711 Wiseman Street</t>
  </si>
  <si>
    <t>KELLEY</t>
  </si>
  <si>
    <t>06-981</t>
  </si>
  <si>
    <t>650-548-4339</t>
  </si>
  <si>
    <t>AugustineKTaylor@aol.com</t>
  </si>
  <si>
    <t>1956 Thunder Road</t>
  </si>
  <si>
    <t>AUGUSTINE</t>
  </si>
  <si>
    <t>88-0077</t>
  </si>
  <si>
    <t>641-422-1921</t>
  </si>
  <si>
    <t>SallyDHayes@hotmail.com</t>
  </si>
  <si>
    <t>Mason City</t>
  </si>
  <si>
    <t>3782 Southern Avenue</t>
  </si>
  <si>
    <t>HAYES</t>
  </si>
  <si>
    <t>SALLY</t>
  </si>
  <si>
    <t>87-596</t>
  </si>
  <si>
    <t>432-495-7060</t>
  </si>
  <si>
    <t>MildredDGreene@aol.com</t>
  </si>
  <si>
    <t>Terminal</t>
  </si>
  <si>
    <t>2538 Laurel Lane</t>
  </si>
  <si>
    <t>GREENE</t>
  </si>
  <si>
    <t>39-976</t>
  </si>
  <si>
    <t>713-609-8148</t>
  </si>
  <si>
    <t>LucindaRGribble@aol.com</t>
  </si>
  <si>
    <t>2075 Gore Street</t>
  </si>
  <si>
    <t>GRIBBLE</t>
  </si>
  <si>
    <t>LUCINDA</t>
  </si>
  <si>
    <t>58-7331</t>
  </si>
  <si>
    <t>814-674-1968</t>
  </si>
  <si>
    <t>LakeshaTJohnson@hotmail.com</t>
  </si>
  <si>
    <t>Patton</t>
  </si>
  <si>
    <t>4832 Harley Brook Lane</t>
  </si>
  <si>
    <t>LAKESHA</t>
  </si>
  <si>
    <t>92-709</t>
  </si>
  <si>
    <t>601-648-9349</t>
  </si>
  <si>
    <t>JohnRMcLaughlin@hotmail.com</t>
  </si>
  <si>
    <t>Buckatunna</t>
  </si>
  <si>
    <t>2751 Walnut Street</t>
  </si>
  <si>
    <t>MCLAUGHLIN</t>
  </si>
  <si>
    <t>08-475</t>
  </si>
  <si>
    <t>609-326-3881</t>
  </si>
  <si>
    <t>PedroMPadgett@hotmail.com</t>
  </si>
  <si>
    <t>1636 Lake Road</t>
  </si>
  <si>
    <t>PADGETT</t>
  </si>
  <si>
    <t>PEDRO</t>
  </si>
  <si>
    <t>15-222</t>
  </si>
  <si>
    <t>812-881-5928</t>
  </si>
  <si>
    <t>RobertKKing@hotmail.com</t>
  </si>
  <si>
    <t>Vincennes</t>
  </si>
  <si>
    <t>3737 Stratford Park</t>
  </si>
  <si>
    <t>58-6390</t>
  </si>
  <si>
    <t>806-664-5258</t>
  </si>
  <si>
    <t>PatriciaCHarrison@hotmail.com</t>
  </si>
  <si>
    <t>Amarillo</t>
  </si>
  <si>
    <t>4023 Smithfield Avenue</t>
  </si>
  <si>
    <t>70-6996</t>
  </si>
  <si>
    <t>305-965-4543</t>
  </si>
  <si>
    <t>RaymondMTaylor@gmail.com</t>
  </si>
  <si>
    <t>377 Warner Street</t>
  </si>
  <si>
    <t>RAYMOND</t>
  </si>
  <si>
    <t>36-6051</t>
  </si>
  <si>
    <t>716-228-4814</t>
  </si>
  <si>
    <t>ArgentinaLClark@hotmail.com</t>
  </si>
  <si>
    <t>Cheektowaga</t>
  </si>
  <si>
    <t>4249 Orphan Road</t>
  </si>
  <si>
    <t>ARGENTINA</t>
  </si>
  <si>
    <t>50-6207</t>
  </si>
  <si>
    <t>605-795-1731</t>
  </si>
  <si>
    <t>HomerRLatham@aol.com</t>
  </si>
  <si>
    <t>Goodwin</t>
  </si>
  <si>
    <t>2930 Hartway Street</t>
  </si>
  <si>
    <t>LATHAM</t>
  </si>
  <si>
    <t>HOMER</t>
  </si>
  <si>
    <t>88-962</t>
  </si>
  <si>
    <t>918-356-3119</t>
  </si>
  <si>
    <t>TerryJGilbert@hotmail.com</t>
  </si>
  <si>
    <t>Hallett</t>
  </si>
  <si>
    <t>1787 Hornor Avenue</t>
  </si>
  <si>
    <t>05-354</t>
  </si>
  <si>
    <t>315-479-9958</t>
  </si>
  <si>
    <t>DavidCSisco@gmail.com</t>
  </si>
  <si>
    <t>3552 Buckhannan Avenue</t>
  </si>
  <si>
    <t>SISCO</t>
  </si>
  <si>
    <t>81-635</t>
  </si>
  <si>
    <t>435-788-1677</t>
  </si>
  <si>
    <t>CarmeloAPreuss@aol.com</t>
  </si>
  <si>
    <t>Ticaboo</t>
  </si>
  <si>
    <t>2545 Lang Avenue</t>
  </si>
  <si>
    <t>PREUSS</t>
  </si>
  <si>
    <t>CARMELO</t>
  </si>
  <si>
    <t>54-020</t>
  </si>
  <si>
    <t>630-354-1426</t>
  </si>
  <si>
    <t>BrendaKHodges@aol.com</t>
  </si>
  <si>
    <t>1795 Fraggle Drive</t>
  </si>
  <si>
    <t>HODGES</t>
  </si>
  <si>
    <t>15-9162</t>
  </si>
  <si>
    <t>239-633-4155</t>
  </si>
  <si>
    <t>ChristinaMRichter@hotmail.com</t>
  </si>
  <si>
    <t>3169 Wilkinson Court</t>
  </si>
  <si>
    <t>RICHTER</t>
  </si>
  <si>
    <t>CHRISTINA</t>
  </si>
  <si>
    <t>07-998</t>
  </si>
  <si>
    <t>386-562-8256</t>
  </si>
  <si>
    <t>LeonilaSBombard@hotmail.com</t>
  </si>
  <si>
    <t>Port Orange</t>
  </si>
  <si>
    <t>1997 Willis Avenue</t>
  </si>
  <si>
    <t>BOMBARD</t>
  </si>
  <si>
    <t>LEONILA</t>
  </si>
  <si>
    <t>05-7511</t>
  </si>
  <si>
    <t>303-376-7959</t>
  </si>
  <si>
    <t>GracieRGonzalez@aol.com</t>
  </si>
  <si>
    <t>292 Sweetwood Drive</t>
  </si>
  <si>
    <t>GONZALEZ</t>
  </si>
  <si>
    <t>GRACIE</t>
  </si>
  <si>
    <t>01-6978</t>
  </si>
  <si>
    <t>931-735-0448</t>
  </si>
  <si>
    <t>VictorBWilliams@gmail.com</t>
  </si>
  <si>
    <t>816 Glory Road</t>
  </si>
  <si>
    <t>15-9769</t>
  </si>
  <si>
    <t>731-884-2771</t>
  </si>
  <si>
    <t>JulieFPrall@aol.com</t>
  </si>
  <si>
    <t>Union City</t>
  </si>
  <si>
    <t>2147 Lords Way</t>
  </si>
  <si>
    <t>PRALL</t>
  </si>
  <si>
    <t>05-7652</t>
  </si>
  <si>
    <t>409-232-1330</t>
  </si>
  <si>
    <t>VenaJHamilton@hotmail.com</t>
  </si>
  <si>
    <t>Beaumont</t>
  </si>
  <si>
    <t>922 Brookview Drive</t>
  </si>
  <si>
    <t>VENA</t>
  </si>
  <si>
    <t>43-606</t>
  </si>
  <si>
    <t>240-363-9620</t>
  </si>
  <si>
    <t>KellieABrown@hotmail.com</t>
  </si>
  <si>
    <t>2988 Pine Tree Lane</t>
  </si>
  <si>
    <t>KELLIE</t>
  </si>
  <si>
    <t>38-496</t>
  </si>
  <si>
    <t>214-336-5063</t>
  </si>
  <si>
    <t>DonnaBBarnette@gmail.com</t>
  </si>
  <si>
    <t>2498 Ersel Street</t>
  </si>
  <si>
    <t>BARNETTE</t>
  </si>
  <si>
    <t>DONNA</t>
  </si>
  <si>
    <t>24-945</t>
  </si>
  <si>
    <t>781-905-8246</t>
  </si>
  <si>
    <t>KeraMDavidson@hotmail.com</t>
  </si>
  <si>
    <t>4601 Hillcrest Avenue</t>
  </si>
  <si>
    <t>DAVIDSON</t>
  </si>
  <si>
    <t>KERA</t>
  </si>
  <si>
    <t>49-980</t>
  </si>
  <si>
    <t>213-968-0522</t>
  </si>
  <si>
    <t>GoldieDCastaneda@gmail.com</t>
  </si>
  <si>
    <t>3520 Aviation Way</t>
  </si>
  <si>
    <t>GOLDIE</t>
  </si>
  <si>
    <t>52-0115</t>
  </si>
  <si>
    <t>863-401-8012</t>
  </si>
  <si>
    <t>PatriciaCDent@aol.com</t>
  </si>
  <si>
    <t>Winter Haven</t>
  </si>
  <si>
    <t>3500 Tetrick Road</t>
  </si>
  <si>
    <t>DENT</t>
  </si>
  <si>
    <t>55-6767</t>
  </si>
  <si>
    <t>626-549-9751</t>
  </si>
  <si>
    <t>MelissaJRodriguez@hotmail.com</t>
  </si>
  <si>
    <t>4416 Woodstock Drive</t>
  </si>
  <si>
    <t>RODRIGUEZ</t>
  </si>
  <si>
    <t>48-1851</t>
  </si>
  <si>
    <t>434-591-6520</t>
  </si>
  <si>
    <t>JosephFApodaca@hotmail.com</t>
  </si>
  <si>
    <t>Palmyra</t>
  </si>
  <si>
    <t>1792 Queens Lane</t>
  </si>
  <si>
    <t>APODACA</t>
  </si>
  <si>
    <t>22-356</t>
  </si>
  <si>
    <t>480-325-0082</t>
  </si>
  <si>
    <t>KeithGKizer@hotmail.com</t>
  </si>
  <si>
    <t>Mesa</t>
  </si>
  <si>
    <t>977 East Avenue</t>
  </si>
  <si>
    <t>KEITH</t>
  </si>
  <si>
    <t>97-156</t>
  </si>
  <si>
    <t>213-303-6605</t>
  </si>
  <si>
    <t>JenniferJNguyen@gmail.com</t>
  </si>
  <si>
    <t>4709 Brannon Street</t>
  </si>
  <si>
    <t>NGUYEN</t>
  </si>
  <si>
    <t>71-1481</t>
  </si>
  <si>
    <t>252-902-3809</t>
  </si>
  <si>
    <t>CraigLLowe@aol.com</t>
  </si>
  <si>
    <t>726 Fort Street</t>
  </si>
  <si>
    <t>LOWE</t>
  </si>
  <si>
    <t>04-139</t>
  </si>
  <si>
    <t>636-243-3984</t>
  </si>
  <si>
    <t>GeorgeLBarnes@aol.com</t>
  </si>
  <si>
    <t>3428 Irving Place</t>
  </si>
  <si>
    <t>64-7814</t>
  </si>
  <si>
    <t>650-652-2518</t>
  </si>
  <si>
    <t>AnthonyDRichmond@aol.com</t>
  </si>
  <si>
    <t>Millbrae</t>
  </si>
  <si>
    <t>4845 Rardin Drive</t>
  </si>
  <si>
    <t>RICHMOND</t>
  </si>
  <si>
    <t>61-3987</t>
  </si>
  <si>
    <t>208-305-3790</t>
  </si>
  <si>
    <t>MicheleARichard@aol.com</t>
  </si>
  <si>
    <t>Spokane</t>
  </si>
  <si>
    <t>4227 Poplar Chase Lane</t>
  </si>
  <si>
    <t>MICHELE</t>
  </si>
  <si>
    <t>68-325</t>
  </si>
  <si>
    <t>218-741-8941</t>
  </si>
  <si>
    <t>GeneEVaughn@aol.com</t>
  </si>
  <si>
    <t>3811 Eagle Lane</t>
  </si>
  <si>
    <t>VAUGHN</t>
  </si>
  <si>
    <t>88-559</t>
  </si>
  <si>
    <t>941-326-9242</t>
  </si>
  <si>
    <t>JaneJTapia@hotmail.com</t>
  </si>
  <si>
    <t>3257 Lunetta Street</t>
  </si>
  <si>
    <t>TAPIA</t>
  </si>
  <si>
    <t>JANE</t>
  </si>
  <si>
    <t>80-061</t>
  </si>
  <si>
    <t>908-458-6834</t>
  </si>
  <si>
    <t>LillieRBohanon@hotmail.com</t>
  </si>
  <si>
    <t>1899 Stonepot Road</t>
  </si>
  <si>
    <t>BOHANON</t>
  </si>
  <si>
    <t>LILLIE</t>
  </si>
  <si>
    <t>36-501</t>
  </si>
  <si>
    <t>740-879-2454</t>
  </si>
  <si>
    <t>PaulaTOsborn@hotmail.com</t>
  </si>
  <si>
    <t>3544 Old House Drive</t>
  </si>
  <si>
    <t>OSBORN</t>
  </si>
  <si>
    <t>78-4788</t>
  </si>
  <si>
    <t>978-709-5147</t>
  </si>
  <si>
    <t>VondaCOrbison@hotmail.com</t>
  </si>
  <si>
    <t>791 Levy Court</t>
  </si>
  <si>
    <t>ORBISON</t>
  </si>
  <si>
    <t>VONDA</t>
  </si>
  <si>
    <t>50-436</t>
  </si>
  <si>
    <t>469-916-2924</t>
  </si>
  <si>
    <t>JonathanCTubbs@gmail.com</t>
  </si>
  <si>
    <t>4339 Oakridge Lane</t>
  </si>
  <si>
    <t>TUBBS</t>
  </si>
  <si>
    <t>JONATHAN</t>
  </si>
  <si>
    <t>05-835</t>
  </si>
  <si>
    <t>704-330-8800</t>
  </si>
  <si>
    <t>CyrstalRReid@aol.com</t>
  </si>
  <si>
    <t>205 Red Dog Road</t>
  </si>
  <si>
    <t>REID</t>
  </si>
  <si>
    <t>CYRSTAL</t>
  </si>
  <si>
    <t>10-3161</t>
  </si>
  <si>
    <t>828-426-4327</t>
  </si>
  <si>
    <t>PatriciaVAlderete@gmail.com</t>
  </si>
  <si>
    <t>3503 Hannah Street</t>
  </si>
  <si>
    <t>ALDERETE</t>
  </si>
  <si>
    <t>10-2471</t>
  </si>
  <si>
    <t>508-565-7448</t>
  </si>
  <si>
    <t>CynthiaWReyes@hotmail.com</t>
  </si>
  <si>
    <t>4409 Kovar Road</t>
  </si>
  <si>
    <t>REYES</t>
  </si>
  <si>
    <t>95-2433</t>
  </si>
  <si>
    <t>252-296-0325</t>
  </si>
  <si>
    <t>RobertZSaladin@aol.com</t>
  </si>
  <si>
    <t>Wilson</t>
  </si>
  <si>
    <t>2840 Yorkshire Circle</t>
  </si>
  <si>
    <t>SALADIN</t>
  </si>
  <si>
    <t>Z</t>
  </si>
  <si>
    <t>09-855</t>
  </si>
  <si>
    <t>770-522-8310</t>
  </si>
  <si>
    <t>EfrainDBarrick@aol.com</t>
  </si>
  <si>
    <t>3277 Elk Creek Road</t>
  </si>
  <si>
    <t>BARRICK</t>
  </si>
  <si>
    <t>EFRAIN</t>
  </si>
  <si>
    <t>76-754</t>
  </si>
  <si>
    <t>914-890-1038</t>
  </si>
  <si>
    <t>LisaMTaylor@gmail.com</t>
  </si>
  <si>
    <t>White Plains</t>
  </si>
  <si>
    <t>3132 Deans Lane</t>
  </si>
  <si>
    <t>33-6756</t>
  </si>
  <si>
    <t>760-488-9781</t>
  </si>
  <si>
    <t>QueenRWatson@gmail.com</t>
  </si>
  <si>
    <t>1697 Fincham Road</t>
  </si>
  <si>
    <t>WATSON</t>
  </si>
  <si>
    <t>QUEEN</t>
  </si>
  <si>
    <t>27-7333</t>
  </si>
  <si>
    <t>304-870-4512</t>
  </si>
  <si>
    <t>DanielMGirard@aol.com</t>
  </si>
  <si>
    <t>Shepherdstown</t>
  </si>
  <si>
    <t>1678 Kelly Drive</t>
  </si>
  <si>
    <t>GIRARD</t>
  </si>
  <si>
    <t>44-701</t>
  </si>
  <si>
    <t>435-283-1109</t>
  </si>
  <si>
    <t>LauraAHailey@aol.com</t>
  </si>
  <si>
    <t>Ephraim</t>
  </si>
  <si>
    <t>3684 North Street</t>
  </si>
  <si>
    <t>HAILEY</t>
  </si>
  <si>
    <t>30-9019</t>
  </si>
  <si>
    <t>402-752-6280</t>
  </si>
  <si>
    <t>PatrickRMcCurdy@hotmail.com</t>
  </si>
  <si>
    <t>Kenesaw</t>
  </si>
  <si>
    <t>2166 North Avenue</t>
  </si>
  <si>
    <t>MCCURDY</t>
  </si>
  <si>
    <t>29-5854</t>
  </si>
  <si>
    <t>904-248-2500</t>
  </si>
  <si>
    <t>AddieJStevenson@gmail.com</t>
  </si>
  <si>
    <t>Jacksonville</t>
  </si>
  <si>
    <t>336 Alpha Avenue</t>
  </si>
  <si>
    <t>STEVENSON</t>
  </si>
  <si>
    <t>ADDIE</t>
  </si>
  <si>
    <t>56-0787</t>
  </si>
  <si>
    <t>832-232-4190</t>
  </si>
  <si>
    <t>JamesCWeiss@aol.com</t>
  </si>
  <si>
    <t>1278 Cemetery Street</t>
  </si>
  <si>
    <t>WEISS</t>
  </si>
  <si>
    <t>50-939</t>
  </si>
  <si>
    <t>773-250-4788</t>
  </si>
  <si>
    <t>GraceCRenninger@gmail.com</t>
  </si>
  <si>
    <t>2363 Oakmound Road</t>
  </si>
  <si>
    <t>RENNINGER</t>
  </si>
  <si>
    <t>82-160</t>
  </si>
  <si>
    <t>731-228-0270</t>
  </si>
  <si>
    <t>DebbieJSchuler@hotmail.com</t>
  </si>
  <si>
    <t>Bolivar</t>
  </si>
  <si>
    <t>673 Mapleview Drive</t>
  </si>
  <si>
    <t>SCHULER</t>
  </si>
  <si>
    <t>DEBBIE</t>
  </si>
  <si>
    <t>10-8909</t>
  </si>
  <si>
    <t>732-981-4756</t>
  </si>
  <si>
    <t>JulieBPurington@hotmail.com</t>
  </si>
  <si>
    <t>Piscataway</t>
  </si>
  <si>
    <t>4953 Mahlon Street</t>
  </si>
  <si>
    <t>PURINGTON</t>
  </si>
  <si>
    <t>80-239</t>
  </si>
  <si>
    <t>989-669-4705</t>
  </si>
  <si>
    <t>MarkSFlores@aol.com</t>
  </si>
  <si>
    <t>Saginaw</t>
  </si>
  <si>
    <t>42 Mount Street</t>
  </si>
  <si>
    <t>26-218</t>
  </si>
  <si>
    <t>608-272-8021</t>
  </si>
  <si>
    <t>SuePGay@aol.com</t>
  </si>
  <si>
    <t>Cataract</t>
  </si>
  <si>
    <t>2680 Comfort Court</t>
  </si>
  <si>
    <t>GAY</t>
  </si>
  <si>
    <t>54-1895</t>
  </si>
  <si>
    <t>609-412-4268</t>
  </si>
  <si>
    <t>BarbaraESmith@hotmail.com</t>
  </si>
  <si>
    <t>Egg Harbor</t>
  </si>
  <si>
    <t>352 Lake Road</t>
  </si>
  <si>
    <t>38-513</t>
  </si>
  <si>
    <t>401-222-2097</t>
  </si>
  <si>
    <t>MargaretRBryner@aol.com</t>
  </si>
  <si>
    <t>738 Melm Street</t>
  </si>
  <si>
    <t>BRYNER</t>
  </si>
  <si>
    <t>MARGARET</t>
  </si>
  <si>
    <t>74-7259</t>
  </si>
  <si>
    <t>254-488-3212</t>
  </si>
  <si>
    <t>DebraFPonce@gmail.com</t>
  </si>
  <si>
    <t>4418 Sussex Court</t>
  </si>
  <si>
    <t>PONCE</t>
  </si>
  <si>
    <t>DEBRA</t>
  </si>
  <si>
    <t>03-6340</t>
  </si>
  <si>
    <t>979-814-1664</t>
  </si>
  <si>
    <t>ShannonHFord@aol.com</t>
  </si>
  <si>
    <t>Bryan</t>
  </si>
  <si>
    <t>4430 Colonial Drive</t>
  </si>
  <si>
    <t>09-4367</t>
  </si>
  <si>
    <t>518-431-7602</t>
  </si>
  <si>
    <t>IvanSLayton@gmail.com</t>
  </si>
  <si>
    <t>211 Hardesty Street</t>
  </si>
  <si>
    <t>LAYTON</t>
  </si>
  <si>
    <t>IVAN</t>
  </si>
  <si>
    <t>88-7922</t>
  </si>
  <si>
    <t>347-626-0700</t>
  </si>
  <si>
    <t>BeverlyDNixon@aol.com</t>
  </si>
  <si>
    <t>Long Island City</t>
  </si>
  <si>
    <t>3480 Dancing Dove Lane</t>
  </si>
  <si>
    <t>NIXON</t>
  </si>
  <si>
    <t>BEVERLY</t>
  </si>
  <si>
    <t>94-9897</t>
  </si>
  <si>
    <t>334-725-7343</t>
  </si>
  <si>
    <t>VeronicaMComerford@gmail.com</t>
  </si>
  <si>
    <t>Tuskegee</t>
  </si>
  <si>
    <t>3932 Franklin Street</t>
  </si>
  <si>
    <t>COMERFORD</t>
  </si>
  <si>
    <t>VERONICA</t>
  </si>
  <si>
    <t>86-7264</t>
  </si>
  <si>
    <t>512-633-7667</t>
  </si>
  <si>
    <t>DianeKHenry@gmail.com</t>
  </si>
  <si>
    <t>3902 Valley Lane</t>
  </si>
  <si>
    <t xml:space="preserve">HENRY </t>
  </si>
  <si>
    <t>19-8581</t>
  </si>
  <si>
    <t>503-402-2075</t>
  </si>
  <si>
    <t>JosephJMartinez@aol.com</t>
  </si>
  <si>
    <t>3866 Mattson Street</t>
  </si>
  <si>
    <t>03-1343</t>
  </si>
  <si>
    <t>225-274-4802</t>
  </si>
  <si>
    <t>JohnDDepaul@gmail.com</t>
  </si>
  <si>
    <t>Baton Rouge</t>
  </si>
  <si>
    <t>1165 Victoria Street</t>
  </si>
  <si>
    <t xml:space="preserve">DEPAUL </t>
  </si>
  <si>
    <t>01-1254</t>
  </si>
  <si>
    <t>540-644-7658</t>
  </si>
  <si>
    <t>WayneMNielson@aol.com</t>
  </si>
  <si>
    <t>1829 White Pine Lane</t>
  </si>
  <si>
    <t>NIELSON</t>
  </si>
  <si>
    <t xml:space="preserve">WAYNE </t>
  </si>
  <si>
    <t>44-5370</t>
  </si>
  <si>
    <t>908-264-1670</t>
  </si>
  <si>
    <t>SusanSRodriguez@hotmail.com</t>
  </si>
  <si>
    <t>Maplewood</t>
  </si>
  <si>
    <t>4620 Williams Mine Road</t>
  </si>
  <si>
    <t>60-851</t>
  </si>
  <si>
    <t>530-289-3807</t>
  </si>
  <si>
    <t>ChadSLewis@aol.com</t>
  </si>
  <si>
    <t>Downieville</t>
  </si>
  <si>
    <t>267 Francis Mine</t>
  </si>
  <si>
    <t xml:space="preserve">LEWIS </t>
  </si>
  <si>
    <t>84-158</t>
  </si>
  <si>
    <t>618-376-3064</t>
  </si>
  <si>
    <t>JenniferJMcGrath@gmail.com</t>
  </si>
  <si>
    <t>Fieldon</t>
  </si>
  <si>
    <t>985 Eagle Street</t>
  </si>
  <si>
    <t>MCGRATH</t>
  </si>
  <si>
    <t xml:space="preserve">JENNIFER </t>
  </si>
  <si>
    <t>Short Id</t>
  </si>
  <si>
    <t>NationalID</t>
  </si>
  <si>
    <t>Line Number</t>
  </si>
  <si>
    <t>Prefix</t>
  </si>
  <si>
    <t>Area Code</t>
  </si>
  <si>
    <t>New Tel.</t>
  </si>
  <si>
    <t>Telephone</t>
  </si>
  <si>
    <t>E-mail</t>
  </si>
  <si>
    <t>Full Address</t>
  </si>
  <si>
    <t>New Zip</t>
  </si>
  <si>
    <t>ZipCode</t>
  </si>
  <si>
    <t>Street Address</t>
  </si>
  <si>
    <t>Full Name</t>
  </si>
  <si>
    <t>Proper Last Name</t>
  </si>
  <si>
    <t>Last Name</t>
  </si>
  <si>
    <t>M.I.</t>
  </si>
  <si>
    <t>Proper First Name</t>
  </si>
  <si>
    <t>First Name</t>
  </si>
  <si>
    <t>Provider</t>
  </si>
  <si>
    <t>AGE</t>
  </si>
  <si>
    <t>DAYS SINCE BIRTH</t>
  </si>
  <si>
    <t>BIRTHDAY</t>
  </si>
  <si>
    <t>How Old Are You?</t>
  </si>
  <si>
    <t>Overdue:</t>
  </si>
  <si>
    <t>Date:</t>
  </si>
  <si>
    <t>Companies</t>
  </si>
  <si>
    <t>Days</t>
  </si>
  <si>
    <t>Bill Due</t>
  </si>
  <si>
    <t>Today's Date:</t>
  </si>
  <si>
    <t>Building 3</t>
  </si>
  <si>
    <t>kathya</t>
  </si>
  <si>
    <t>HR</t>
  </si>
  <si>
    <t>Katherine</t>
  </si>
  <si>
    <t>Atherly</t>
  </si>
  <si>
    <t>Building 1</t>
  </si>
  <si>
    <t>mariam</t>
  </si>
  <si>
    <t>AT</t>
  </si>
  <si>
    <t>Maria</t>
  </si>
  <si>
    <t>Miller</t>
  </si>
  <si>
    <t>jessc</t>
  </si>
  <si>
    <t>MF</t>
  </si>
  <si>
    <t>Jessica</t>
  </si>
  <si>
    <t>Chang</t>
  </si>
  <si>
    <t>judyc</t>
  </si>
  <si>
    <t>Judy</t>
  </si>
  <si>
    <t>Corwick</t>
  </si>
  <si>
    <t>Building 2</t>
  </si>
  <si>
    <t>larryf</t>
  </si>
  <si>
    <t>AC</t>
  </si>
  <si>
    <t>Larry</t>
  </si>
  <si>
    <t>Smith</t>
  </si>
  <si>
    <t>robertc</t>
  </si>
  <si>
    <t>Rob</t>
  </si>
  <si>
    <t>jeanf</t>
  </si>
  <si>
    <t>Fontaine</t>
  </si>
  <si>
    <t>ursulam</t>
  </si>
  <si>
    <t>Ursula</t>
  </si>
  <si>
    <t>melissaz</t>
  </si>
  <si>
    <t>Melissa</t>
  </si>
  <si>
    <t>Zostoc</t>
  </si>
  <si>
    <t>daouda</t>
  </si>
  <si>
    <t>Daoud</t>
  </si>
  <si>
    <t>Al-Sabah</t>
  </si>
  <si>
    <t>eileenb</t>
  </si>
  <si>
    <t>Eileen</t>
  </si>
  <si>
    <t>Barton</t>
  </si>
  <si>
    <t>meliab</t>
  </si>
  <si>
    <t>Melia</t>
  </si>
  <si>
    <t>Brwyne</t>
  </si>
  <si>
    <t>s</t>
  </si>
  <si>
    <t>marks</t>
  </si>
  <si>
    <t>MK</t>
  </si>
  <si>
    <t>Sammler</t>
  </si>
  <si>
    <t>isoldea</t>
  </si>
  <si>
    <t>Isolde</t>
  </si>
  <si>
    <t>Alstain</t>
  </si>
  <si>
    <t>janetm</t>
  </si>
  <si>
    <t>Janet</t>
  </si>
  <si>
    <t>fboughton</t>
  </si>
  <si>
    <t>AD</t>
  </si>
  <si>
    <t>Frank</t>
  </si>
  <si>
    <t>Boughton</t>
  </si>
  <si>
    <t>sherried</t>
  </si>
  <si>
    <t>Sherrie</t>
  </si>
  <si>
    <t>Dixon-Waite</t>
  </si>
  <si>
    <t>theok</t>
  </si>
  <si>
    <t>Theo</t>
  </si>
  <si>
    <t>Kourios</t>
  </si>
  <si>
    <t>tomk</t>
  </si>
  <si>
    <t>Tommie</t>
  </si>
  <si>
    <t>Kellerman</t>
  </si>
  <si>
    <t>tomb</t>
  </si>
  <si>
    <t>pamk</t>
  </si>
  <si>
    <t>Pam</t>
  </si>
  <si>
    <t>tammyw</t>
  </si>
  <si>
    <t>Tammy</t>
  </si>
  <si>
    <t>Wu</t>
  </si>
  <si>
    <t>tadeuzs</t>
  </si>
  <si>
    <t>Tadeuz</t>
  </si>
  <si>
    <t>Szcznyck</t>
  </si>
  <si>
    <t>tuomev</t>
  </si>
  <si>
    <t>Tuome</t>
  </si>
  <si>
    <t>Vuanuo</t>
  </si>
  <si>
    <t>ellens</t>
  </si>
  <si>
    <t>Ellen</t>
  </si>
  <si>
    <t>randys</t>
  </si>
  <si>
    <t>Randy</t>
  </si>
  <si>
    <t>sandraes</t>
  </si>
  <si>
    <t>Sandrae</t>
  </si>
  <si>
    <t>Simpson</t>
  </si>
  <si>
    <t>brentc</t>
  </si>
  <si>
    <t>Brent</t>
  </si>
  <si>
    <t>Cronwith</t>
  </si>
  <si>
    <t>lindac</t>
  </si>
  <si>
    <t>Linda</t>
  </si>
  <si>
    <t>Cooper</t>
  </si>
  <si>
    <t>frankb</t>
  </si>
  <si>
    <t>Bellwood</t>
  </si>
  <si>
    <t>katiea</t>
  </si>
  <si>
    <t>Katie</t>
  </si>
  <si>
    <t>Atherton</t>
  </si>
  <si>
    <t>markh</t>
  </si>
  <si>
    <t>Henders</t>
  </si>
  <si>
    <t>kendrickh</t>
  </si>
  <si>
    <t>Kendrick</t>
  </si>
  <si>
    <t>Hapsbuch</t>
  </si>
  <si>
    <t>sherylk</t>
  </si>
  <si>
    <t>Sheryl</t>
  </si>
  <si>
    <t>Kane</t>
  </si>
  <si>
    <t>gails</t>
  </si>
  <si>
    <t>Gail</t>
  </si>
  <si>
    <t>Scote</t>
  </si>
  <si>
    <t>joeg</t>
  </si>
  <si>
    <t>Joe</t>
  </si>
  <si>
    <t>Gonzales</t>
  </si>
  <si>
    <t>howards</t>
  </si>
  <si>
    <t>Howard</t>
  </si>
  <si>
    <t>Pay Rate</t>
  </si>
  <si>
    <t>Hire Date</t>
  </si>
  <si>
    <t>Location</t>
  </si>
  <si>
    <t>Phone Ext</t>
  </si>
  <si>
    <t>Dept</t>
  </si>
  <si>
    <t>Emp ID</t>
  </si>
  <si>
    <t>Employee Information - Master List</t>
  </si>
  <si>
    <t>Employee Lookup</t>
  </si>
  <si>
    <t>Holiday</t>
  </si>
  <si>
    <t>Standard or Holiday Bonus? --&gt;</t>
  </si>
  <si>
    <t>Grover</t>
  </si>
  <si>
    <t>Elmo</t>
  </si>
  <si>
    <t>Elmer</t>
  </si>
  <si>
    <t>Daffy</t>
  </si>
  <si>
    <t>Bugs</t>
  </si>
  <si>
    <t>Donald</t>
  </si>
  <si>
    <t>Bonus</t>
  </si>
  <si>
    <t>Mickey</t>
  </si>
  <si>
    <t>Bonus Lookup Table</t>
  </si>
  <si>
    <t>Name</t>
  </si>
  <si>
    <t>Bonus Calculation Table</t>
  </si>
  <si>
    <t>Warehouse 3</t>
  </si>
  <si>
    <t>Warehouse 2</t>
  </si>
  <si>
    <t>Warehouse 1</t>
  </si>
  <si>
    <t>AX50</t>
  </si>
  <si>
    <t>AX25</t>
  </si>
  <si>
    <t>AX10</t>
  </si>
  <si>
    <t>XP300</t>
  </si>
  <si>
    <t>XP200</t>
  </si>
  <si>
    <t>XP100</t>
  </si>
  <si>
    <t>Product Code:</t>
  </si>
  <si>
    <t>Master Inventory Sheet</t>
  </si>
  <si>
    <t>Enter Product Code:</t>
  </si>
  <si>
    <t>Inventory Status Check</t>
  </si>
  <si>
    <t>Product Orders</t>
  </si>
  <si>
    <t>Clerical Support</t>
  </si>
  <si>
    <t>West</t>
  </si>
  <si>
    <t>Salaries</t>
  </si>
  <si>
    <t>Miscellaneous</t>
  </si>
  <si>
    <t>Advertising</t>
  </si>
  <si>
    <t>Consultants</t>
  </si>
  <si>
    <t>Rent</t>
  </si>
  <si>
    <t>Copying</t>
  </si>
  <si>
    <t>Telemarketing</t>
  </si>
  <si>
    <t>Software</t>
  </si>
  <si>
    <t>Contractors</t>
  </si>
  <si>
    <t>Maintenance</t>
  </si>
  <si>
    <t>Supplies</t>
  </si>
  <si>
    <t>Technical Support</t>
  </si>
  <si>
    <t>Overhead</t>
  </si>
  <si>
    <t>South</t>
  </si>
  <si>
    <t>North</t>
  </si>
  <si>
    <t>AVG. Expense</t>
  </si>
  <si>
    <t>Category</t>
  </si>
  <si>
    <t>East</t>
  </si>
  <si>
    <t>Total Expense</t>
  </si>
  <si>
    <t>Total Expenses</t>
  </si>
  <si>
    <t>Division</t>
  </si>
  <si>
    <t>March</t>
  </si>
  <si>
    <t>February</t>
  </si>
  <si>
    <t>January</t>
  </si>
  <si>
    <t>Pear Company - Q1 Expenses</t>
  </si>
  <si>
    <t>Totals:</t>
  </si>
  <si>
    <t>Misc.</t>
  </si>
  <si>
    <t>Training</t>
  </si>
  <si>
    <t>QTR 4</t>
  </si>
  <si>
    <t>QTR 3</t>
  </si>
  <si>
    <t>QTR 2</t>
  </si>
  <si>
    <t>QTR 1</t>
  </si>
  <si>
    <t>Item</t>
  </si>
  <si>
    <t>Connecticut Division</t>
  </si>
  <si>
    <t>New Hampshire Division</t>
  </si>
  <si>
    <t>Maine Division</t>
  </si>
  <si>
    <t xml:space="preserve"> </t>
  </si>
  <si>
    <t>Kids</t>
  </si>
  <si>
    <t>Profit Margin</t>
  </si>
  <si>
    <t>Top Product Category</t>
  </si>
  <si>
    <t>Profit</t>
  </si>
  <si>
    <t>Cost</t>
  </si>
  <si>
    <t>Revenue Change</t>
  </si>
  <si>
    <t>Bell Wireless</t>
  </si>
  <si>
    <t>RBC Credit Card</t>
  </si>
  <si>
    <t>Bank of America</t>
  </si>
  <si>
    <t>Broadview Rentals</t>
  </si>
  <si>
    <t>Sask Power Bills</t>
  </si>
  <si>
    <t>Proper Gender</t>
  </si>
  <si>
    <t>% through year:</t>
  </si>
  <si>
    <t>First day of Year:</t>
  </si>
  <si>
    <t>First day of Month:</t>
  </si>
  <si>
    <t>Last day of Month:</t>
  </si>
  <si>
    <t>Years Remaining:</t>
  </si>
  <si>
    <t>Current Second:</t>
  </si>
  <si>
    <t>Months Remaining:</t>
  </si>
  <si>
    <t>Current Minute:</t>
  </si>
  <si>
    <t>Current Hour:</t>
  </si>
  <si>
    <t>Day of Week:</t>
  </si>
  <si>
    <t>Current Day:</t>
  </si>
  <si>
    <t># Workdays until Due:</t>
  </si>
  <si>
    <t>Current Month:</t>
  </si>
  <si>
    <t>Days until due:</t>
  </si>
  <si>
    <t>Current Year:</t>
  </si>
  <si>
    <t>Project Due Date:</t>
  </si>
  <si>
    <t>Current Time:</t>
  </si>
  <si>
    <t>Current Date:</t>
  </si>
  <si>
    <t>In case of no product found output should be "No Amount"</t>
  </si>
  <si>
    <t>NO INCOME DATA</t>
  </si>
  <si>
    <t>go to speacial use karna pada</t>
  </si>
  <si>
    <t>aur hit ctrl+enter</t>
  </si>
  <si>
    <t>ki sab me changes hojaye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</si>
</sst>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&quot;$&quot;#,##0"/>
    <numFmt numFmtId="165" formatCode="m/d;@"/>
    <numFmt numFmtId="166" formatCode=";;;"/>
    <numFmt numFmtId="167" formatCode="dddd"/>
    <numFmt numFmtId="168" formatCode="[$-F800]dddd\,\ mmmm\ dd\,\ yyyy"/>
    <numFmt numFmtId="169" formatCode="dd\-mmm\-yy"/>
    <numFmt numFmtId="170" formatCode="&quot;$&quot;#,##0.00"/>
    <numFmt numFmtId="171" formatCode="0.0%"/>
  </numFmts>
  <fonts count="3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sz val="10"/>
      <name val="Arial"/>
      <family val="2"/>
    </font>
    <font>
      <b/>
      <i/>
      <sz val="11"/>
      <color theme="1"/>
      <name val="Calibri"/>
      <family val="2"/>
      <scheme val="minor"/>
    </font>
    <font>
      <i/>
      <sz val="11"/>
      <color rgb="FF000000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indexed="9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name val="Calibri Light"/>
      <family val="1"/>
      <scheme val="major"/>
    </font>
    <font>
      <b/>
      <sz val="1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  <scheme val="minor"/>
    </font>
    <font>
      <b/>
      <sz val="15"/>
      <color theme="0"/>
      <name val="Calibri"/>
      <family val="2"/>
      <scheme val="minor"/>
    </font>
    <font>
      <b/>
      <sz val="11"/>
      <color rgb="FF3F3F76"/>
      <name val="Calibri"/>
      <family val="2"/>
      <scheme val="minor"/>
    </font>
    <font>
      <b/>
      <sz val="12"/>
      <name val="Calibri"/>
      <family val="2"/>
      <scheme val="minor"/>
    </font>
    <font>
      <b/>
      <sz val="15"/>
      <color theme="0"/>
      <name val="Calibri Light"/>
      <family val="1"/>
      <scheme val="major"/>
    </font>
    <font>
      <b/>
      <sz val="18"/>
      <color theme="3"/>
      <name val="Calibri Light"/>
      <family val="1"/>
      <scheme val="major"/>
    </font>
    <font>
      <sz val="1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8"/>
      <color theme="0"/>
      <name val="Calibri Light"/>
      <family val="1"/>
      <scheme val="major"/>
    </font>
    <font>
      <i/>
      <sz val="10"/>
      <name val="Arial"/>
      <family val="2"/>
    </font>
    <font>
      <u/>
      <sz val="10"/>
      <name val="Arial"/>
      <family val="2"/>
    </font>
    <font>
      <u/>
      <sz val="11"/>
      <color theme="1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indexed="63"/>
        <bgColor indexed="64"/>
      </patternFill>
    </fill>
    <fill>
      <patternFill patternType="solid">
        <fgColor theme="3"/>
        <bgColor indexed="64"/>
      </patternFill>
    </fill>
  </fills>
  <borders count="2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double">
        <color rgb="FF3F3F3F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/>
      <top/>
      <bottom style="medium">
        <color theme="0"/>
      </bottom>
      <diagonal/>
    </border>
  </borders>
  <cellStyleXfs count="2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9" fillId="0" borderId="6" applyNumberFormat="0" applyFill="0" applyAlignment="0" applyProtection="0"/>
    <xf numFmtId="0" fontId="10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12" fillId="7" borderId="8" applyNumberFormat="0" applyAlignment="0" applyProtection="0"/>
    <xf numFmtId="0" fontId="13" fillId="8" borderId="9" applyNumberFormat="0" applyAlignment="0" applyProtection="0"/>
    <xf numFmtId="0" fontId="14" fillId="9" borderId="10" applyNumberFormat="0" applyAlignment="0" applyProtection="0"/>
    <xf numFmtId="0" fontId="15" fillId="10" borderId="0" applyNumberFormat="0" applyBorder="0" applyAlignment="0" applyProtection="0"/>
    <xf numFmtId="0" fontId="15" fillId="12" borderId="0" applyNumberFormat="0" applyBorder="0" applyAlignment="0" applyProtection="0"/>
    <xf numFmtId="0" fontId="2" fillId="13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5" fillId="0" borderId="0"/>
    <xf numFmtId="0" fontId="15" fillId="17" borderId="0" applyNumberFormat="0" applyBorder="0" applyAlignment="0" applyProtection="0"/>
    <xf numFmtId="44" fontId="5" fillId="0" borderId="0" applyFont="0" applyFill="0" applyBorder="0" applyAlignment="0" applyProtection="0"/>
    <xf numFmtId="0" fontId="21" fillId="0" borderId="0"/>
    <xf numFmtId="0" fontId="15" fillId="11" borderId="0" applyNumberFormat="0" applyBorder="0" applyAlignment="0" applyProtection="0"/>
    <xf numFmtId="0" fontId="36" fillId="0" borderId="0" applyNumberFormat="0" applyFill="0" applyBorder="0" applyAlignment="0" applyProtection="0"/>
  </cellStyleXfs>
  <cellXfs count="129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2" borderId="0" xfId="0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 vertical="center"/>
    </xf>
    <xf numFmtId="3" fontId="0" fillId="0" borderId="0" xfId="0" applyNumberFormat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right"/>
    </xf>
    <xf numFmtId="0" fontId="1" fillId="3" borderId="1" xfId="0" applyFont="1" applyFill="1" applyBorder="1" applyAlignment="1">
      <alignment horizontal="center"/>
    </xf>
    <xf numFmtId="0" fontId="0" fillId="0" borderId="0" xfId="0" applyAlignment="1">
      <alignment horizontal="right"/>
    </xf>
    <xf numFmtId="0" fontId="4" fillId="0" borderId="0" xfId="0" applyFont="1" applyAlignment="1">
      <alignment horizontal="center"/>
    </xf>
    <xf numFmtId="3" fontId="3" fillId="2" borderId="0" xfId="0" applyNumberFormat="1" applyFont="1" applyFill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 wrapText="1"/>
    </xf>
    <xf numFmtId="1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164" fontId="3" fillId="2" borderId="0" xfId="1" applyNumberFormat="1" applyFont="1" applyFill="1" applyAlignment="1">
      <alignment horizontal="center" vertical="center"/>
    </xf>
    <xf numFmtId="164" fontId="0" fillId="0" borderId="0" xfId="1" applyNumberFormat="1" applyFont="1" applyAlignment="1">
      <alignment horizontal="center"/>
    </xf>
    <xf numFmtId="0" fontId="1" fillId="2" borderId="2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0" xfId="0" applyFont="1"/>
    <xf numFmtId="0" fontId="1" fillId="2" borderId="3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14" fontId="0" fillId="0" borderId="0" xfId="0" applyNumberFormat="1"/>
    <xf numFmtId="165" fontId="1" fillId="2" borderId="0" xfId="0" applyNumberFormat="1" applyFont="1" applyFill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/>
    <xf numFmtId="1" fontId="1" fillId="0" borderId="0" xfId="0" applyNumberFormat="1" applyFont="1" applyAlignment="1">
      <alignment horizontal="center"/>
    </xf>
    <xf numFmtId="1" fontId="1" fillId="4" borderId="1" xfId="0" applyNumberFormat="1" applyFont="1" applyFill="1" applyBorder="1" applyAlignment="1">
      <alignment horizontal="center"/>
    </xf>
    <xf numFmtId="165" fontId="1" fillId="4" borderId="1" xfId="0" applyNumberFormat="1" applyFont="1" applyFill="1" applyBorder="1" applyAlignment="1">
      <alignment horizontal="center"/>
    </xf>
    <xf numFmtId="164" fontId="0" fillId="4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1" fontId="0" fillId="4" borderId="0" xfId="0" applyNumberFormat="1" applyFill="1" applyAlignment="1">
      <alignment horizontal="center"/>
    </xf>
    <xf numFmtId="164" fontId="1" fillId="4" borderId="1" xfId="0" applyNumberFormat="1" applyFont="1" applyFill="1" applyBorder="1" applyAlignment="1">
      <alignment horizontal="center"/>
    </xf>
    <xf numFmtId="3" fontId="1" fillId="4" borderId="1" xfId="0" applyNumberFormat="1" applyFont="1" applyFill="1" applyBorder="1" applyAlignment="1">
      <alignment horizontal="center"/>
    </xf>
    <xf numFmtId="3" fontId="1" fillId="2" borderId="2" xfId="0" applyNumberFormat="1" applyFont="1" applyFill="1" applyBorder="1" applyAlignment="1">
      <alignment horizontal="center"/>
    </xf>
    <xf numFmtId="3" fontId="0" fillId="0" borderId="0" xfId="0" applyNumberFormat="1"/>
    <xf numFmtId="0" fontId="0" fillId="0" borderId="0" xfId="0" quotePrefix="1"/>
    <xf numFmtId="10" fontId="1" fillId="2" borderId="0" xfId="2" applyNumberFormat="1" applyFont="1" applyFill="1" applyBorder="1" applyAlignment="1">
      <alignment horizontal="center"/>
    </xf>
    <xf numFmtId="10" fontId="0" fillId="4" borderId="0" xfId="2" applyNumberFormat="1" applyFont="1" applyFill="1" applyAlignment="1">
      <alignment horizontal="center"/>
    </xf>
    <xf numFmtId="10" fontId="0" fillId="0" borderId="0" xfId="2" applyNumberFormat="1" applyFont="1" applyAlignment="1">
      <alignment horizontal="center"/>
    </xf>
    <xf numFmtId="166" fontId="0" fillId="0" borderId="0" xfId="0" applyNumberFormat="1"/>
    <xf numFmtId="0" fontId="1" fillId="2" borderId="0" xfId="0" applyFont="1" applyFill="1"/>
    <xf numFmtId="0" fontId="0" fillId="5" borderId="0" xfId="0" applyFill="1"/>
    <xf numFmtId="0" fontId="7" fillId="0" borderId="0" xfId="0" applyFont="1"/>
    <xf numFmtId="0" fontId="4" fillId="6" borderId="0" xfId="0" applyFont="1" applyFill="1" applyAlignment="1">
      <alignment horizontal="right"/>
    </xf>
    <xf numFmtId="164" fontId="4" fillId="6" borderId="0" xfId="0" applyNumberFormat="1" applyFont="1" applyFill="1" applyAlignment="1">
      <alignment horizontal="right"/>
    </xf>
    <xf numFmtId="0" fontId="16" fillId="0" borderId="0" xfId="17" applyFont="1"/>
    <xf numFmtId="3" fontId="2" fillId="16" borderId="11" xfId="14" applyNumberFormat="1" applyBorder="1" applyAlignment="1">
      <alignment horizontal="center"/>
    </xf>
    <xf numFmtId="168" fontId="2" fillId="16" borderId="11" xfId="14" applyNumberFormat="1" applyBorder="1" applyAlignment="1">
      <alignment horizontal="center"/>
    </xf>
    <xf numFmtId="0" fontId="17" fillId="21" borderId="11" xfId="17" applyFont="1" applyFill="1" applyBorder="1" applyAlignment="1">
      <alignment horizontal="center"/>
    </xf>
    <xf numFmtId="1" fontId="2" fillId="13" borderId="12" xfId="12" applyNumberFormat="1" applyBorder="1" applyAlignment="1">
      <alignment horizontal="center"/>
    </xf>
    <xf numFmtId="169" fontId="2" fillId="20" borderId="12" xfId="16" applyNumberFormat="1" applyBorder="1" applyAlignment="1">
      <alignment horizontal="center" vertical="center"/>
    </xf>
    <xf numFmtId="0" fontId="11" fillId="0" borderId="11" xfId="6" applyBorder="1" applyAlignment="1" applyProtection="1">
      <alignment horizontal="left"/>
    </xf>
    <xf numFmtId="0" fontId="14" fillId="12" borderId="13" xfId="11" applyFont="1" applyBorder="1" applyAlignment="1" applyProtection="1">
      <alignment horizontal="center"/>
    </xf>
    <xf numFmtId="0" fontId="19" fillId="0" borderId="0" xfId="17" applyFont="1" applyAlignment="1">
      <alignment horizontal="left"/>
    </xf>
    <xf numFmtId="0" fontId="14" fillId="12" borderId="14" xfId="11" applyFont="1" applyBorder="1" applyAlignment="1" applyProtection="1">
      <alignment horizontal="center"/>
    </xf>
    <xf numFmtId="15" fontId="2" fillId="16" borderId="11" xfId="14" applyNumberFormat="1" applyBorder="1" applyAlignment="1">
      <alignment horizontal="center"/>
    </xf>
    <xf numFmtId="0" fontId="20" fillId="0" borderId="0" xfId="17" applyFont="1" applyAlignment="1">
      <alignment horizontal="right"/>
    </xf>
    <xf numFmtId="44" fontId="16" fillId="0" borderId="11" xfId="19" applyFont="1" applyBorder="1"/>
    <xf numFmtId="169" fontId="22" fillId="0" borderId="11" xfId="20" applyNumberFormat="1" applyFont="1" applyBorder="1" applyAlignment="1">
      <alignment horizontal="center" vertical="center" wrapText="1"/>
    </xf>
    <xf numFmtId="0" fontId="22" fillId="0" borderId="11" xfId="20" applyFont="1" applyBorder="1" applyAlignment="1">
      <alignment horizontal="center" vertical="center" wrapText="1"/>
    </xf>
    <xf numFmtId="0" fontId="1" fillId="11" borderId="11" xfId="21" applyFont="1" applyBorder="1" applyAlignment="1">
      <alignment horizontal="center" vertical="center"/>
    </xf>
    <xf numFmtId="0" fontId="13" fillId="8" borderId="9" xfId="8" applyAlignment="1">
      <alignment horizontal="center"/>
    </xf>
    <xf numFmtId="0" fontId="24" fillId="7" borderId="8" xfId="7" applyFont="1" applyAlignment="1">
      <alignment horizontal="center" vertical="center" wrapText="1"/>
    </xf>
    <xf numFmtId="170" fontId="13" fillId="8" borderId="9" xfId="1" applyNumberFormat="1" applyFont="1" applyFill="1" applyBorder="1" applyAlignment="1">
      <alignment horizontal="center"/>
    </xf>
    <xf numFmtId="0" fontId="16" fillId="0" borderId="0" xfId="17" applyFont="1" applyAlignment="1">
      <alignment horizontal="right"/>
    </xf>
    <xf numFmtId="0" fontId="14" fillId="9" borderId="10" xfId="9"/>
    <xf numFmtId="0" fontId="16" fillId="0" borderId="11" xfId="17" applyFont="1" applyBorder="1" applyAlignment="1">
      <alignment horizontal="right"/>
    </xf>
    <xf numFmtId="0" fontId="16" fillId="0" borderId="16" xfId="17" applyFont="1" applyBorder="1"/>
    <xf numFmtId="0" fontId="16" fillId="0" borderId="16" xfId="17" applyFont="1" applyBorder="1" applyAlignment="1">
      <alignment horizontal="right"/>
    </xf>
    <xf numFmtId="0" fontId="16" fillId="0" borderId="13" xfId="17" applyFont="1" applyBorder="1"/>
    <xf numFmtId="0" fontId="16" fillId="0" borderId="11" xfId="17" applyFont="1" applyBorder="1" applyAlignment="1">
      <alignment horizontal="center"/>
    </xf>
    <xf numFmtId="0" fontId="16" fillId="0" borderId="12" xfId="17" applyFont="1" applyBorder="1" applyAlignment="1">
      <alignment horizontal="center"/>
    </xf>
    <xf numFmtId="0" fontId="26" fillId="10" borderId="1" xfId="10" applyFont="1" applyBorder="1" applyAlignment="1">
      <alignment horizontal="center"/>
    </xf>
    <xf numFmtId="0" fontId="28" fillId="0" borderId="0" xfId="17" applyFont="1"/>
    <xf numFmtId="0" fontId="1" fillId="19" borderId="11" xfId="15" applyFont="1" applyBorder="1" applyAlignment="1">
      <alignment horizontal="right"/>
    </xf>
    <xf numFmtId="0" fontId="20" fillId="0" borderId="11" xfId="17" applyFont="1" applyBorder="1" applyAlignment="1">
      <alignment horizontal="center"/>
    </xf>
    <xf numFmtId="0" fontId="24" fillId="7" borderId="8" xfId="7" applyFont="1" applyAlignment="1">
      <alignment horizontal="center"/>
    </xf>
    <xf numFmtId="44" fontId="2" fillId="13" borderId="11" xfId="12" applyNumberFormat="1" applyBorder="1" applyAlignment="1"/>
    <xf numFmtId="44" fontId="2" fillId="0" borderId="11" xfId="19" applyFont="1" applyFill="1" applyBorder="1" applyAlignment="1"/>
    <xf numFmtId="43" fontId="2" fillId="20" borderId="11" xfId="16" applyNumberFormat="1" applyBorder="1" applyAlignment="1">
      <alignment horizontal="left"/>
    </xf>
    <xf numFmtId="170" fontId="13" fillId="8" borderId="9" xfId="8" applyNumberFormat="1" applyAlignment="1">
      <alignment horizontal="center"/>
    </xf>
    <xf numFmtId="0" fontId="12" fillId="7" borderId="8" xfId="7" applyAlignment="1">
      <alignment horizontal="center"/>
    </xf>
    <xf numFmtId="41" fontId="31" fillId="10" borderId="11" xfId="10" applyNumberFormat="1" applyFont="1" applyBorder="1" applyAlignment="1">
      <alignment horizontal="center"/>
    </xf>
    <xf numFmtId="44" fontId="2" fillId="20" borderId="11" xfId="16" applyNumberFormat="1" applyBorder="1" applyAlignment="1">
      <alignment horizontal="left"/>
    </xf>
    <xf numFmtId="44" fontId="20" fillId="0" borderId="0" xfId="19" applyFont="1" applyBorder="1" applyAlignment="1">
      <alignment horizontal="center"/>
    </xf>
    <xf numFmtId="44" fontId="13" fillId="8" borderId="9" xfId="8" applyNumberFormat="1" applyAlignment="1">
      <alignment horizontal="center"/>
    </xf>
    <xf numFmtId="0" fontId="20" fillId="0" borderId="0" xfId="17" applyFont="1" applyAlignment="1">
      <alignment horizontal="center"/>
    </xf>
    <xf numFmtId="0" fontId="32" fillId="15" borderId="11" xfId="13" applyFont="1" applyBorder="1" applyAlignment="1">
      <alignment horizontal="center"/>
    </xf>
    <xf numFmtId="41" fontId="32" fillId="15" borderId="11" xfId="13" applyNumberFormat="1" applyFont="1" applyBorder="1" applyAlignment="1">
      <alignment horizontal="center"/>
    </xf>
    <xf numFmtId="0" fontId="5" fillId="0" borderId="0" xfId="17"/>
    <xf numFmtId="164" fontId="5" fillId="0" borderId="0" xfId="19" applyNumberFormat="1"/>
    <xf numFmtId="0" fontId="34" fillId="0" borderId="0" xfId="17" applyFont="1"/>
    <xf numFmtId="0" fontId="35" fillId="0" borderId="0" xfId="17" applyFont="1" applyAlignment="1">
      <alignment horizontal="right"/>
    </xf>
    <xf numFmtId="0" fontId="35" fillId="0" borderId="0" xfId="17" applyFont="1"/>
    <xf numFmtId="171" fontId="0" fillId="0" borderId="0" xfId="0" applyNumberFormat="1"/>
    <xf numFmtId="164" fontId="0" fillId="0" borderId="0" xfId="0" applyNumberFormat="1"/>
    <xf numFmtId="9" fontId="0" fillId="2" borderId="21" xfId="2" applyFont="1" applyFill="1" applyBorder="1" applyAlignment="1">
      <alignment horizontal="center"/>
    </xf>
    <xf numFmtId="14" fontId="0" fillId="2" borderId="21" xfId="0" applyNumberFormat="1" applyFill="1" applyBorder="1" applyAlignment="1">
      <alignment horizontal="center"/>
    </xf>
    <xf numFmtId="0" fontId="0" fillId="0" borderId="22" xfId="0" applyBorder="1"/>
    <xf numFmtId="14" fontId="0" fillId="2" borderId="22" xfId="0" applyNumberFormat="1" applyFill="1" applyBorder="1" applyAlignment="1">
      <alignment horizontal="center"/>
    </xf>
    <xf numFmtId="0" fontId="4" fillId="0" borderId="0" xfId="0" applyFont="1"/>
    <xf numFmtId="0" fontId="0" fillId="2" borderId="0" xfId="0" applyFill="1" applyAlignment="1">
      <alignment horizontal="center"/>
    </xf>
    <xf numFmtId="0" fontId="0" fillId="2" borderId="21" xfId="0" applyFill="1" applyBorder="1" applyAlignment="1">
      <alignment horizontal="center"/>
    </xf>
    <xf numFmtId="167" fontId="0" fillId="2" borderId="0" xfId="0" applyNumberFormat="1" applyFill="1" applyAlignment="1">
      <alignment horizontal="center"/>
    </xf>
    <xf numFmtId="0" fontId="0" fillId="2" borderId="22" xfId="0" applyFill="1" applyBorder="1" applyAlignment="1">
      <alignment horizontal="center"/>
    </xf>
    <xf numFmtId="0" fontId="6" fillId="0" borderId="0" xfId="0" applyFont="1" applyAlignment="1">
      <alignment horizontal="right"/>
    </xf>
    <xf numFmtId="14" fontId="14" fillId="22" borderId="22" xfId="0" applyNumberFormat="1" applyFont="1" applyFill="1" applyBorder="1" applyAlignment="1">
      <alignment horizontal="center"/>
    </xf>
    <xf numFmtId="22" fontId="14" fillId="22" borderId="0" xfId="0" applyNumberFormat="1" applyFont="1" applyFill="1" applyAlignment="1">
      <alignment horizontal="center"/>
    </xf>
    <xf numFmtId="0" fontId="26" fillId="12" borderId="19" xfId="11" applyFont="1" applyBorder="1" applyAlignment="1">
      <alignment horizontal="center"/>
    </xf>
    <xf numFmtId="0" fontId="26" fillId="12" borderId="18" xfId="11" applyFont="1" applyBorder="1" applyAlignment="1">
      <alignment horizontal="center"/>
    </xf>
    <xf numFmtId="0" fontId="26" fillId="12" borderId="17" xfId="11" applyFont="1" applyBorder="1" applyAlignment="1">
      <alignment horizontal="center"/>
    </xf>
    <xf numFmtId="0" fontId="25" fillId="0" borderId="0" xfId="17" applyFont="1" applyAlignment="1">
      <alignment horizontal="center"/>
    </xf>
    <xf numFmtId="0" fontId="25" fillId="0" borderId="15" xfId="17" applyFont="1" applyBorder="1" applyAlignment="1">
      <alignment horizontal="center"/>
    </xf>
    <xf numFmtId="0" fontId="27" fillId="0" borderId="0" xfId="3" applyFont="1" applyAlignment="1">
      <alignment horizontal="center"/>
    </xf>
    <xf numFmtId="0" fontId="33" fillId="14" borderId="19" xfId="3" applyFont="1" applyFill="1" applyBorder="1" applyAlignment="1">
      <alignment horizontal="center" vertical="center"/>
    </xf>
    <xf numFmtId="0" fontId="33" fillId="14" borderId="18" xfId="3" applyFont="1" applyFill="1" applyBorder="1" applyAlignment="1">
      <alignment horizontal="center" vertical="center"/>
    </xf>
    <xf numFmtId="0" fontId="33" fillId="14" borderId="17" xfId="3" applyFont="1" applyFill="1" applyBorder="1" applyAlignment="1">
      <alignment horizontal="center" vertical="center"/>
    </xf>
    <xf numFmtId="0" fontId="23" fillId="10" borderId="6" xfId="4" applyFont="1" applyFill="1" applyAlignment="1">
      <alignment horizontal="center" vertical="center"/>
    </xf>
    <xf numFmtId="0" fontId="23" fillId="10" borderId="0" xfId="4" applyFont="1" applyFill="1" applyBorder="1" applyAlignment="1">
      <alignment horizontal="center" vertical="center"/>
    </xf>
    <xf numFmtId="0" fontId="29" fillId="18" borderId="7" xfId="5" applyFont="1" applyFill="1" applyAlignment="1">
      <alignment horizontal="center" vertical="center"/>
    </xf>
    <xf numFmtId="0" fontId="30" fillId="12" borderId="20" xfId="3" applyFont="1" applyFill="1" applyBorder="1" applyAlignment="1">
      <alignment horizontal="center"/>
    </xf>
    <xf numFmtId="0" fontId="30" fillId="12" borderId="0" xfId="3" applyFont="1" applyFill="1" applyBorder="1" applyAlignment="1">
      <alignment horizontal="center"/>
    </xf>
    <xf numFmtId="0" fontId="18" fillId="22" borderId="11" xfId="18" applyFont="1" applyFill="1" applyBorder="1" applyAlignment="1">
      <alignment horizontal="center"/>
    </xf>
    <xf numFmtId="0" fontId="3" fillId="0" borderId="0" xfId="17" applyFont="1" applyAlignment="1">
      <alignment horizontal="center"/>
    </xf>
    <xf numFmtId="0" fontId="36" fillId="0" borderId="0" xfId="22"/>
  </cellXfs>
  <cellStyles count="23">
    <cellStyle name="20% - Accent2" xfId="12" builtinId="34"/>
    <cellStyle name="20% - Accent4" xfId="14" builtinId="42"/>
    <cellStyle name="20% - Accent5" xfId="15" builtinId="46"/>
    <cellStyle name="20% - Accent6" xfId="16" builtinId="50"/>
    <cellStyle name="40% - Accent3" xfId="13" builtinId="39"/>
    <cellStyle name="60% - Accent1 2" xfId="21" xr:uid="{F208F66F-7318-4B0B-85EA-B96121277C76}"/>
    <cellStyle name="60% - Accent4 2" xfId="18" xr:uid="{ABE56DB0-B666-4DB4-83F2-5D0F0CB94AFE}"/>
    <cellStyle name="Accent1" xfId="10" builtinId="29"/>
    <cellStyle name="Accent2" xfId="11" builtinId="33"/>
    <cellStyle name="Check Cell" xfId="9" builtinId="23"/>
    <cellStyle name="Currency" xfId="1" builtinId="4"/>
    <cellStyle name="Currency 2" xfId="19" xr:uid="{E46763BD-B12C-4B57-A6E9-C5D762469041}"/>
    <cellStyle name="Heading 1" xfId="4" builtinId="16"/>
    <cellStyle name="Heading 2" xfId="5" builtinId="17"/>
    <cellStyle name="Heading 4" xfId="6" builtinId="19"/>
    <cellStyle name="Hyperlink" xfId="22" builtinId="8"/>
    <cellStyle name="Input" xfId="7" builtinId="20"/>
    <cellStyle name="Normal" xfId="0" builtinId="0"/>
    <cellStyle name="Normal 2" xfId="17" xr:uid="{847BB56F-4246-4EBB-8F45-0BE111126B16}"/>
    <cellStyle name="Normal_Sheet1_1" xfId="20" xr:uid="{BF66356F-A1FF-420B-8A7A-416A0F72BE34}"/>
    <cellStyle name="Output" xfId="8" builtinId="21"/>
    <cellStyle name="Percent" xfId="2" builtinId="5"/>
    <cellStyle name="Title" xfId="3" builtinId="15"/>
  </cellStyles>
  <dxfs count="1"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99FFCC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eetMetadata" Target="metadata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emf"/><Relationship Id="rId1" Type="http://schemas.openxmlformats.org/officeDocument/2006/relationships/image" Target="../media/image4.emf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emf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emf"/><Relationship Id="rId1" Type="http://schemas.openxmlformats.org/officeDocument/2006/relationships/image" Target="../media/image9.emf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12.emf"/><Relationship Id="rId1" Type="http://schemas.openxmlformats.org/officeDocument/2006/relationships/image" Target="../media/image11.emf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14.emf"/><Relationship Id="rId1" Type="http://schemas.openxmlformats.org/officeDocument/2006/relationships/image" Target="../media/image13.emf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emf"/><Relationship Id="rId2" Type="http://schemas.openxmlformats.org/officeDocument/2006/relationships/image" Target="../media/image16.emf"/><Relationship Id="rId1" Type="http://schemas.openxmlformats.org/officeDocument/2006/relationships/image" Target="../media/image15.emf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8.emf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9.emf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0.emf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emf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2.emf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emf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438150</xdr:colOff>
      <xdr:row>3</xdr:row>
      <xdr:rowOff>88900</xdr:rowOff>
    </xdr:from>
    <xdr:to>
      <xdr:col>15</xdr:col>
      <xdr:colOff>438150</xdr:colOff>
      <xdr:row>10</xdr:row>
      <xdr:rowOff>87923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7012842" y="645746"/>
          <a:ext cx="4239846" cy="1298331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400" u="none" baseline="0">
              <a:solidFill>
                <a:sysClr val="windowText" lastClr="000000"/>
              </a:solidFill>
            </a:rPr>
            <a:t>Add new columns of sales per sale and leads per sale in percentage?</a:t>
          </a:r>
        </a:p>
      </xdr:txBody>
    </xdr:sp>
    <xdr:clientData/>
  </xdr:twoCellAnchor>
  <xdr:twoCellAnchor editAs="oneCell">
    <xdr:from>
      <xdr:col>7</xdr:col>
      <xdr:colOff>204367</xdr:colOff>
      <xdr:row>12</xdr:row>
      <xdr:rowOff>72989</xdr:rowOff>
    </xdr:from>
    <xdr:to>
      <xdr:col>16</xdr:col>
      <xdr:colOff>86564</xdr:colOff>
      <xdr:row>38</xdr:row>
      <xdr:rowOff>79339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3CEEA39-A901-8F91-EAF0-B0C4E66641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174827" y="2262644"/>
          <a:ext cx="5400128" cy="475060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495301</xdr:colOff>
      <xdr:row>0</xdr:row>
      <xdr:rowOff>160020</xdr:rowOff>
    </xdr:from>
    <xdr:to>
      <xdr:col>14</xdr:col>
      <xdr:colOff>251461</xdr:colOff>
      <xdr:row>21</xdr:row>
      <xdr:rowOff>38100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7330441" y="160020"/>
          <a:ext cx="4023360" cy="371856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Populate column</a:t>
          </a:r>
          <a:r>
            <a:rPr lang="en-US" sz="1100" u="none" baseline="0">
              <a:solidFill>
                <a:sysClr val="windowText" lastClr="000000"/>
              </a:solidFill>
            </a:rPr>
            <a:t> D to return "PASS" if the score in column C is greater than or equal to 60, otherwise return "FAIL"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2) Populate column E to return a letter grade based on the score in column C, using the logic below: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A</a:t>
          </a:r>
          <a:r>
            <a:rPr lang="en-US" sz="1100" u="none" baseline="0">
              <a:solidFill>
                <a:sysClr val="windowText" lastClr="000000"/>
              </a:solidFill>
            </a:rPr>
            <a:t> = &gt;=90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B</a:t>
          </a:r>
          <a:r>
            <a:rPr lang="en-US" sz="1100" u="none" baseline="0">
              <a:solidFill>
                <a:sysClr val="windowText" lastClr="000000"/>
              </a:solidFill>
            </a:rPr>
            <a:t> = 80-89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C</a:t>
          </a:r>
          <a:r>
            <a:rPr lang="en-US" sz="1100" u="none" baseline="0">
              <a:solidFill>
                <a:sysClr val="windowText" lastClr="000000"/>
              </a:solidFill>
            </a:rPr>
            <a:t> = 70-79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D</a:t>
          </a:r>
          <a:r>
            <a:rPr lang="en-US" sz="1100" u="none" baseline="0">
              <a:solidFill>
                <a:sysClr val="windowText" lastClr="000000"/>
              </a:solidFill>
            </a:rPr>
            <a:t> = 60-69</a:t>
          </a:r>
        </a:p>
        <a:p>
          <a:pPr algn="l"/>
          <a:r>
            <a:rPr lang="en-US" sz="1100" b="1" u="none" baseline="0">
              <a:solidFill>
                <a:sysClr val="windowText" lastClr="000000"/>
              </a:solidFill>
            </a:rPr>
            <a:t>F</a:t>
          </a:r>
          <a:r>
            <a:rPr lang="en-US" sz="1100" u="none" baseline="0">
              <a:solidFill>
                <a:sysClr val="windowText" lastClr="000000"/>
              </a:solidFill>
            </a:rPr>
            <a:t> = &lt;60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3) Populate column F to return "OUTLIER" if the score in column C is either &lt;60 or &gt;90, otherwise return "AVG"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4) Populate column G to return "Male Achiever" if Gender = M and the score in column C is &gt;95, "Female Achiever" if Gender = F and the score in column C is &gt;95, otherwise "None"</a:t>
          </a:r>
          <a:endParaRPr lang="en-US" sz="1100" u="none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0</xdr:col>
      <xdr:colOff>0</xdr:colOff>
      <xdr:row>20</xdr:row>
      <xdr:rowOff>0</xdr:rowOff>
    </xdr:from>
    <xdr:to>
      <xdr:col>7</xdr:col>
      <xdr:colOff>6350</xdr:colOff>
      <xdr:row>36</xdr:row>
      <xdr:rowOff>6350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01E8C78-82F2-1664-0DDF-77E5609340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683000"/>
          <a:ext cx="6965950" cy="2952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1033780</xdr:colOff>
      <xdr:row>9</xdr:row>
      <xdr:rowOff>68581</xdr:rowOff>
    </xdr:from>
    <xdr:to>
      <xdr:col>14</xdr:col>
      <xdr:colOff>547370</xdr:colOff>
      <xdr:row>20</xdr:row>
      <xdr:rowOff>99060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F49F500C-CC7A-4FC4-B23D-D405AF32C753}"/>
            </a:ext>
          </a:extLst>
        </xdr:cNvPr>
        <xdr:cNvSpPr/>
      </xdr:nvSpPr>
      <xdr:spPr>
        <a:xfrm>
          <a:off x="4767580" y="1725931"/>
          <a:ext cx="8594090" cy="2056129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</a:t>
          </a:r>
          <a:r>
            <a:rPr lang="en-US" sz="1100" u="none" baseline="0">
              <a:solidFill>
                <a:sysClr val="windowText" lastClr="000000"/>
              </a:solidFill>
            </a:rPr>
            <a:t>Calculate the maximum 2016 Sales (column E) in the New York office.</a:t>
          </a:r>
        </a:p>
        <a:p>
          <a:pPr algn="l"/>
          <a:endParaRPr lang="en-US" sz="1100" b="1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u="none" baseline="0">
              <a:solidFill>
                <a:sysClr val="windowText" lastClr="000000"/>
              </a:solidFill>
            </a:rPr>
            <a:t>2) Calculate the maximum 2016 Sales in the New York office, </a:t>
          </a:r>
          <a:r>
            <a:rPr lang="en-US" sz="1100" b="0" i="1" u="none" baseline="0">
              <a:solidFill>
                <a:sysClr val="windowText" lastClr="000000"/>
              </a:solidFill>
            </a:rPr>
            <a:t>for the Electronics department only.</a:t>
          </a:r>
        </a:p>
        <a:p>
          <a:pPr algn="l"/>
          <a:endParaRPr lang="en-US" sz="1100" b="0" i="1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3) Return the total number of rows where 2016 Sales are greater than 2015 Sales.</a:t>
          </a:r>
        </a:p>
        <a:p>
          <a:pPr algn="l"/>
          <a:endParaRPr lang="en-US" sz="1100" b="0" i="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b="0" i="0" u="none" baseline="0">
              <a:solidFill>
                <a:sysClr val="windowText" lastClr="000000"/>
              </a:solidFill>
            </a:rPr>
            <a:t>4) Calculate the SUM of 2015 and 2016 sales for the Boston office.</a:t>
          </a:r>
        </a:p>
      </xdr:txBody>
    </xdr:sp>
    <xdr:clientData/>
  </xdr:twoCellAnchor>
  <xdr:twoCellAnchor editAs="oneCell">
    <xdr:from>
      <xdr:col>8</xdr:col>
      <xdr:colOff>285750</xdr:colOff>
      <xdr:row>0</xdr:row>
      <xdr:rowOff>133350</xdr:rowOff>
    </xdr:from>
    <xdr:to>
      <xdr:col>14</xdr:col>
      <xdr:colOff>374650</xdr:colOff>
      <xdr:row>7</xdr:row>
      <xdr:rowOff>139700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9637C68-92DD-D529-E0C2-090BF1BCA6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42450" y="133350"/>
          <a:ext cx="3746500" cy="1295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67730</xdr:colOff>
      <xdr:row>3</xdr:row>
      <xdr:rowOff>124882</xdr:rowOff>
    </xdr:from>
    <xdr:to>
      <xdr:col>9</xdr:col>
      <xdr:colOff>986363</xdr:colOff>
      <xdr:row>5</xdr:row>
      <xdr:rowOff>99059</xdr:rowOff>
    </xdr:to>
    <xdr:sp macro="" textlink="">
      <xdr:nvSpPr>
        <xdr:cNvPr id="2" name="Text 1">
          <a:extLst>
            <a:ext uri="{FF2B5EF4-FFF2-40B4-BE49-F238E27FC236}">
              <a16:creationId xmlns:a16="http://schemas.microsoft.com/office/drawing/2014/main" id="{225C45A1-AEC9-454F-81D7-5254750E63F8}"/>
            </a:ext>
          </a:extLst>
        </xdr:cNvPr>
        <xdr:cNvSpPr txBox="1">
          <a:spLocks noChangeArrowheads="1"/>
        </xdr:cNvSpPr>
      </xdr:nvSpPr>
      <xdr:spPr bwMode="auto">
        <a:xfrm>
          <a:off x="5198530" y="601132"/>
          <a:ext cx="1217083" cy="291677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Look up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 Expenses</a:t>
          </a:r>
        </a:p>
      </xdr:txBody>
    </xdr:sp>
    <xdr:clientData/>
  </xdr:twoCellAnchor>
  <xdr:twoCellAnchor>
    <xdr:from>
      <xdr:col>8</xdr:col>
      <xdr:colOff>67731</xdr:colOff>
      <xdr:row>9</xdr:row>
      <xdr:rowOff>116417</xdr:rowOff>
    </xdr:from>
    <xdr:to>
      <xdr:col>9</xdr:col>
      <xdr:colOff>986364</xdr:colOff>
      <xdr:row>11</xdr:row>
      <xdr:rowOff>122343</xdr:rowOff>
    </xdr:to>
    <xdr:sp macro="" textlink="">
      <xdr:nvSpPr>
        <xdr:cNvPr id="3" name="Text 1">
          <a:extLst>
            <a:ext uri="{FF2B5EF4-FFF2-40B4-BE49-F238E27FC236}">
              <a16:creationId xmlns:a16="http://schemas.microsoft.com/office/drawing/2014/main" id="{09E0E433-6C2B-456F-A9BA-7E1E042116FF}"/>
            </a:ext>
          </a:extLst>
        </xdr:cNvPr>
        <xdr:cNvSpPr txBox="1">
          <a:spLocks noChangeArrowheads="1"/>
        </xdr:cNvSpPr>
      </xdr:nvSpPr>
      <xdr:spPr bwMode="auto">
        <a:xfrm>
          <a:off x="5198531" y="1545167"/>
          <a:ext cx="1217083" cy="323426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Look up 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TOTAL Expenses</a:t>
          </a:r>
        </a:p>
      </xdr:txBody>
    </xdr:sp>
    <xdr:clientData/>
  </xdr:twoCellAnchor>
  <xdr:twoCellAnchor>
    <xdr:from>
      <xdr:col>8</xdr:col>
      <xdr:colOff>88900</xdr:colOff>
      <xdr:row>15</xdr:row>
      <xdr:rowOff>116416</xdr:rowOff>
    </xdr:from>
    <xdr:to>
      <xdr:col>9</xdr:col>
      <xdr:colOff>1007533</xdr:colOff>
      <xdr:row>17</xdr:row>
      <xdr:rowOff>101176</xdr:rowOff>
    </xdr:to>
    <xdr:sp macro="" textlink="">
      <xdr:nvSpPr>
        <xdr:cNvPr id="4" name="Text 1">
          <a:extLst>
            <a:ext uri="{FF2B5EF4-FFF2-40B4-BE49-F238E27FC236}">
              <a16:creationId xmlns:a16="http://schemas.microsoft.com/office/drawing/2014/main" id="{1A99D8FD-20BC-44A4-A55D-E597BBA2F3A0}"/>
            </a:ext>
          </a:extLst>
        </xdr:cNvPr>
        <xdr:cNvSpPr txBox="1">
          <a:spLocks noChangeArrowheads="1"/>
        </xdr:cNvSpPr>
      </xdr:nvSpPr>
      <xdr:spPr bwMode="auto">
        <a:xfrm>
          <a:off x="5219700" y="2497666"/>
          <a:ext cx="1191683" cy="302260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Look up 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AVG.</a:t>
          </a:r>
          <a:r>
            <a:rPr lang="en-US" sz="1000" b="1" i="0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  <a:r>
            <a:rPr lang="en-US" sz="1000" b="1" i="0" strike="noStrike">
              <a:solidFill>
                <a:srgbClr val="000000"/>
              </a:solidFill>
              <a:latin typeface="Arial"/>
              <a:cs typeface="Arial"/>
            </a:rPr>
            <a:t>Expenses</a:t>
          </a:r>
        </a:p>
      </xdr:txBody>
    </xdr:sp>
    <xdr:clientData/>
  </xdr:twoCellAnchor>
  <xdr:twoCellAnchor editAs="oneCell">
    <xdr:from>
      <xdr:col>11</xdr:col>
      <xdr:colOff>218248</xdr:colOff>
      <xdr:row>0</xdr:row>
      <xdr:rowOff>18822</xdr:rowOff>
    </xdr:from>
    <xdr:to>
      <xdr:col>20</xdr:col>
      <xdr:colOff>206010</xdr:colOff>
      <xdr:row>58</xdr:row>
      <xdr:rowOff>81003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32CD5D8-FF3B-7231-6E75-D760B7C6BB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773130" y="18822"/>
          <a:ext cx="6136056" cy="109692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149412</xdr:colOff>
      <xdr:row>21</xdr:row>
      <xdr:rowOff>141940</xdr:rowOff>
    </xdr:from>
    <xdr:to>
      <xdr:col>11</xdr:col>
      <xdr:colOff>155762</xdr:colOff>
      <xdr:row>40</xdr:row>
      <xdr:rowOff>95997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24E1868-3622-E924-AC17-1D484BCC44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50000" y="4138705"/>
          <a:ext cx="3360644" cy="350258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11</xdr:row>
      <xdr:rowOff>47625</xdr:rowOff>
    </xdr:from>
    <xdr:to>
      <xdr:col>11</xdr:col>
      <xdr:colOff>30480</xdr:colOff>
      <xdr:row>19</xdr:row>
      <xdr:rowOff>19050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6823075" y="2124075"/>
          <a:ext cx="6174105" cy="144462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 calculates the </a:t>
          </a:r>
          <a:r>
            <a:rPr lang="en-US" sz="1100" i="1" u="none">
              <a:solidFill>
                <a:sysClr val="windowText" lastClr="000000"/>
              </a:solidFill>
            </a:rPr>
            <a:t>Total Sales</a:t>
          </a:r>
          <a:r>
            <a:rPr lang="en-US" sz="1100" u="none">
              <a:solidFill>
                <a:sysClr val="windowText" lastClr="000000"/>
              </a:solidFill>
            </a:rPr>
            <a:t> based on the product category ?</a:t>
          </a:r>
          <a:endParaRPr lang="en-US" sz="1100" i="1" u="none">
            <a:solidFill>
              <a:sysClr val="windowText" lastClr="000000"/>
            </a:solidFill>
          </a:endParaRPr>
        </a:p>
        <a:p>
          <a:pPr algn="l"/>
          <a:endParaRPr lang="en-US" sz="1100" i="1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2) Populate </a:t>
          </a:r>
          <a:r>
            <a:rPr lang="en-US" sz="1100" i="1" u="none">
              <a:solidFill>
                <a:sysClr val="windowText" lastClr="000000"/>
              </a:solidFill>
            </a:rPr>
            <a:t>Total Sales</a:t>
          </a:r>
          <a:r>
            <a:rPr lang="en-US" sz="1100" u="none">
              <a:solidFill>
                <a:sysClr val="windowText" lastClr="000000"/>
              </a:solidFill>
            </a:rPr>
            <a:t> and </a:t>
          </a:r>
          <a:r>
            <a:rPr lang="en-US" sz="1100" i="1" u="none">
              <a:solidFill>
                <a:sysClr val="windowText" lastClr="000000"/>
              </a:solidFill>
            </a:rPr>
            <a:t>Total Revenue</a:t>
          </a:r>
          <a:r>
            <a:rPr lang="en-US" sz="1100" u="none">
              <a:solidFill>
                <a:sysClr val="windowText" lastClr="000000"/>
              </a:solidFill>
            </a:rPr>
            <a:t> in the table above</a:t>
          </a:r>
          <a:r>
            <a:rPr lang="en-US" sz="1100" u="none" baseline="0">
              <a:solidFill>
                <a:sysClr val="windowText" lastClr="000000"/>
              </a:solidFill>
            </a:rPr>
            <a:t> </a:t>
          </a:r>
          <a:r>
            <a:rPr lang="en-US" sz="1100" u="none" baseline="0">
              <a:solidFill>
                <a:schemeClr val="tx1"/>
              </a:solidFill>
            </a:rPr>
            <a:t>and 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calculate </a:t>
          </a:r>
          <a:r>
            <a:rPr lang="en-US" sz="1100" i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Number of Product IDs</a:t>
          </a:r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 </a:t>
          </a:r>
          <a:r>
            <a:rPr lang="en-US" sz="1100" u="none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?</a:t>
          </a:r>
          <a:endParaRPr lang="en-US" sz="1100" u="none" baseline="0">
            <a:solidFill>
              <a:schemeClr val="tx1"/>
            </a:solidFill>
          </a:endParaRPr>
        </a:p>
      </xdr:txBody>
    </xdr:sp>
    <xdr:clientData/>
  </xdr:twoCellAnchor>
  <xdr:twoCellAnchor editAs="oneCell">
    <xdr:from>
      <xdr:col>10</xdr:col>
      <xdr:colOff>622300</xdr:colOff>
      <xdr:row>0</xdr:row>
      <xdr:rowOff>133350</xdr:rowOff>
    </xdr:from>
    <xdr:to>
      <xdr:col>21</xdr:col>
      <xdr:colOff>355600</xdr:colOff>
      <xdr:row>9</xdr:row>
      <xdr:rowOff>139700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622F4CA-312E-7C48-3AB1-0BA3BCBD64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66800" y="133350"/>
          <a:ext cx="5937250" cy="1708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241300</xdr:colOff>
      <xdr:row>11</xdr:row>
      <xdr:rowOff>63500</xdr:rowOff>
    </xdr:from>
    <xdr:to>
      <xdr:col>22</xdr:col>
      <xdr:colOff>19050</xdr:colOff>
      <xdr:row>20</xdr:row>
      <xdr:rowOff>114300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07A220-6A93-6C80-BF84-CEE388F602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046200" y="2139950"/>
          <a:ext cx="5937250" cy="1708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247651</xdr:colOff>
      <xdr:row>1</xdr:row>
      <xdr:rowOff>152400</xdr:rowOff>
    </xdr:from>
    <xdr:to>
      <xdr:col>14</xdr:col>
      <xdr:colOff>85725</xdr:colOff>
      <xdr:row>14</xdr:row>
      <xdr:rowOff>9525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7258051" y="457200"/>
          <a:ext cx="4549774" cy="216852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</a:t>
          </a:r>
          <a:r>
            <a:rPr lang="en-US" sz="1100" u="none" baseline="0">
              <a:solidFill>
                <a:sysClr val="windowText" lastClr="000000"/>
              </a:solidFill>
            </a:rPr>
            <a:t>Populate the </a:t>
          </a:r>
          <a:r>
            <a:rPr lang="en-US" sz="1100" i="1" u="none" baseline="0">
              <a:solidFill>
                <a:sysClr val="windowText" lastClr="000000"/>
              </a:solidFill>
            </a:rPr>
            <a:t>State Abbreviation</a:t>
          </a:r>
          <a:r>
            <a:rPr lang="en-US" sz="1100" u="none" baseline="0">
              <a:solidFill>
                <a:sysClr val="windowText" lastClr="000000"/>
              </a:solidFill>
            </a:rPr>
            <a:t> field using data from the "</a:t>
          </a:r>
          <a:r>
            <a:rPr lang="en-US" sz="1100" i="1" u="none" baseline="0">
              <a:solidFill>
                <a:sysClr val="windowText" lastClr="000000"/>
              </a:solidFill>
            </a:rPr>
            <a:t>State Abbreviations</a:t>
          </a:r>
          <a:r>
            <a:rPr lang="en-US" sz="1100" u="none" baseline="0">
              <a:solidFill>
                <a:sysClr val="windowText" lastClr="000000"/>
              </a:solidFill>
            </a:rPr>
            <a:t>" tab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2) Populate </a:t>
          </a:r>
          <a:r>
            <a:rPr lang="en-US" sz="1100" i="1" u="none" baseline="0">
              <a:solidFill>
                <a:sysClr val="windowText" lastClr="000000"/>
              </a:solidFill>
            </a:rPr>
            <a:t>Per Capita Income</a:t>
          </a:r>
          <a:r>
            <a:rPr lang="en-US" sz="1100" u="none" baseline="0">
              <a:solidFill>
                <a:sysClr val="windowText" lastClr="000000"/>
              </a:solidFill>
            </a:rPr>
            <a:t> using data from the "</a:t>
          </a:r>
          <a:r>
            <a:rPr lang="en-US" sz="1100" i="1" u="none" baseline="0">
              <a:solidFill>
                <a:sysClr val="windowText" lastClr="000000"/>
              </a:solidFill>
            </a:rPr>
            <a:t>State Income (2001-2004)</a:t>
          </a:r>
          <a:r>
            <a:rPr lang="en-US" sz="1100" u="none" baseline="0">
              <a:solidFill>
                <a:sysClr val="windowText" lastClr="000000"/>
              </a:solidFill>
            </a:rPr>
            <a:t>" sheet.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3) Change the errors in the </a:t>
          </a:r>
          <a:r>
            <a:rPr lang="en-US" sz="1100" i="1" u="none" baseline="0">
              <a:solidFill>
                <a:sysClr val="windowText" lastClr="000000"/>
              </a:solidFill>
            </a:rPr>
            <a:t>Per Capita Income</a:t>
          </a:r>
          <a:r>
            <a:rPr lang="en-US" sz="1100" u="none" baseline="0">
              <a:solidFill>
                <a:sysClr val="windowText" lastClr="000000"/>
              </a:solidFill>
            </a:rPr>
            <a:t> column to display "</a:t>
          </a:r>
          <a:r>
            <a:rPr lang="en-US" sz="1100" b="1" u="none" baseline="0">
              <a:solidFill>
                <a:sysClr val="windowText" lastClr="000000"/>
              </a:solidFill>
            </a:rPr>
            <a:t>NO INCOME DATA</a:t>
          </a:r>
          <a:r>
            <a:rPr lang="en-US" sz="1100" u="none" baseline="0">
              <a:solidFill>
                <a:sysClr val="windowText" lastClr="000000"/>
              </a:solidFill>
            </a:rPr>
            <a:t>" rather than </a:t>
          </a:r>
          <a:r>
            <a:rPr lang="en-US" sz="1100" b="1" u="none" baseline="0">
              <a:solidFill>
                <a:sysClr val="windowText" lastClr="000000"/>
              </a:solidFill>
            </a:rPr>
            <a:t>#N/A.</a:t>
          </a:r>
        </a:p>
      </xdr:txBody>
    </xdr:sp>
    <xdr:clientData/>
  </xdr:twoCellAnchor>
  <xdr:twoCellAnchor editAs="oneCell">
    <xdr:from>
      <xdr:col>7</xdr:col>
      <xdr:colOff>488950</xdr:colOff>
      <xdr:row>17</xdr:row>
      <xdr:rowOff>95250</xdr:rowOff>
    </xdr:from>
    <xdr:to>
      <xdr:col>16</xdr:col>
      <xdr:colOff>495300</xdr:colOff>
      <xdr:row>223</xdr:row>
      <xdr:rowOff>63500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B2210F8-947E-CE12-5583-1BEA3A3654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200" y="3371850"/>
          <a:ext cx="5549900" cy="37903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495300</xdr:colOff>
      <xdr:row>1</xdr:row>
      <xdr:rowOff>76200</xdr:rowOff>
    </xdr:from>
    <xdr:to>
      <xdr:col>17</xdr:col>
      <xdr:colOff>69850</xdr:colOff>
      <xdr:row>5</xdr:row>
      <xdr:rowOff>88900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C76087-D957-3B23-2155-EF17E46923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64500" y="266700"/>
          <a:ext cx="4064000" cy="768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10</xdr:col>
      <xdr:colOff>546100</xdr:colOff>
      <xdr:row>6</xdr:row>
      <xdr:rowOff>88900</xdr:rowOff>
    </xdr:from>
    <xdr:to>
      <xdr:col>17</xdr:col>
      <xdr:colOff>120650</xdr:colOff>
      <xdr:row>10</xdr:row>
      <xdr:rowOff>76200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7867802-5EF2-A48D-0A33-9668B772DF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15300" y="1219200"/>
          <a:ext cx="4064000" cy="768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533400</xdr:colOff>
      <xdr:row>11</xdr:row>
      <xdr:rowOff>184150</xdr:rowOff>
    </xdr:from>
    <xdr:to>
      <xdr:col>10</xdr:col>
      <xdr:colOff>222250</xdr:colOff>
      <xdr:row>22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C396A41-57E8-6EB7-71E5-397D2A5A90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64200" y="2451100"/>
          <a:ext cx="3568700" cy="1993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158750</xdr:colOff>
      <xdr:row>1</xdr:row>
      <xdr:rowOff>63500</xdr:rowOff>
    </xdr:from>
    <xdr:to>
      <xdr:col>13</xdr:col>
      <xdr:colOff>520700</xdr:colOff>
      <xdr:row>11</xdr:row>
      <xdr:rowOff>88900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72EB0A4-A5AC-B1D1-B425-CDFBE47DA2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886700" y="361950"/>
          <a:ext cx="3568700" cy="1993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266700</xdr:colOff>
      <xdr:row>1</xdr:row>
      <xdr:rowOff>63500</xdr:rowOff>
    </xdr:from>
    <xdr:to>
      <xdr:col>12</xdr:col>
      <xdr:colOff>425450</xdr:colOff>
      <xdr:row>5</xdr:row>
      <xdr:rowOff>158750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1BDBA2-C100-C8CD-5871-BDED2D23D8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3600" y="228600"/>
          <a:ext cx="2082800" cy="1035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9</xdr:col>
      <xdr:colOff>196850</xdr:colOff>
      <xdr:row>7</xdr:row>
      <xdr:rowOff>44450</xdr:rowOff>
    </xdr:from>
    <xdr:to>
      <xdr:col>12</xdr:col>
      <xdr:colOff>355600</xdr:colOff>
      <xdr:row>12</xdr:row>
      <xdr:rowOff>114300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D4C61EB-D2A4-B908-12CE-4736A15B56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43750" y="1517650"/>
          <a:ext cx="2082800" cy="1035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50800</xdr:colOff>
      <xdr:row>3</xdr:row>
      <xdr:rowOff>158750</xdr:rowOff>
    </xdr:from>
    <xdr:to>
      <xdr:col>14</xdr:col>
      <xdr:colOff>158750</xdr:colOff>
      <xdr:row>8</xdr:row>
      <xdr:rowOff>146050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/>
      </xdr:nvSpPr>
      <xdr:spPr>
        <a:xfrm>
          <a:off x="6369050" y="711200"/>
          <a:ext cx="3803650" cy="92075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Calculate total  for each metric according to the year?</a:t>
          </a:r>
        </a:p>
      </xdr:txBody>
    </xdr:sp>
    <xdr:clientData/>
  </xdr:twoCellAnchor>
  <xdr:twoCellAnchor editAs="oneCell">
    <xdr:from>
      <xdr:col>5</xdr:col>
      <xdr:colOff>25400</xdr:colOff>
      <xdr:row>8</xdr:row>
      <xdr:rowOff>0</xdr:rowOff>
    </xdr:from>
    <xdr:to>
      <xdr:col>7</xdr:col>
      <xdr:colOff>31750</xdr:colOff>
      <xdr:row>12</xdr:row>
      <xdr:rowOff>19050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2B53741-2E52-2D24-7867-C59B5A3866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0850" y="1485900"/>
          <a:ext cx="1473200" cy="755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31750</xdr:colOff>
      <xdr:row>13</xdr:row>
      <xdr:rowOff>63500</xdr:rowOff>
    </xdr:from>
    <xdr:to>
      <xdr:col>7</xdr:col>
      <xdr:colOff>38100</xdr:colOff>
      <xdr:row>17</xdr:row>
      <xdr:rowOff>82550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2555909-A893-2FEE-2010-874273F2E1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2470150"/>
          <a:ext cx="1473200" cy="755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8</xdr:col>
      <xdr:colOff>0</xdr:colOff>
      <xdr:row>11</xdr:row>
      <xdr:rowOff>0</xdr:rowOff>
    </xdr:from>
    <xdr:to>
      <xdr:col>10</xdr:col>
      <xdr:colOff>241300</xdr:colOff>
      <xdr:row>15</xdr:row>
      <xdr:rowOff>19050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C921B1A-AB21-9913-EE1D-232A4B9729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18250" y="2038350"/>
          <a:ext cx="1473200" cy="7556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15240</xdr:colOff>
      <xdr:row>1</xdr:row>
      <xdr:rowOff>0</xdr:rowOff>
    </xdr:from>
    <xdr:to>
      <xdr:col>9</xdr:col>
      <xdr:colOff>571500</xdr:colOff>
      <xdr:row>5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/>
      </xdr:nvSpPr>
      <xdr:spPr>
        <a:xfrm>
          <a:off x="5336540" y="190500"/>
          <a:ext cx="2994660" cy="762000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1.</a:t>
          </a:r>
          <a:r>
            <a:rPr lang="en-US" sz="1100" u="none" baseline="0">
              <a:solidFill>
                <a:sysClr val="windowText" lastClr="000000"/>
              </a:solidFill>
            </a:rPr>
            <a:t> Find the following information :</a:t>
          </a:r>
          <a:endParaRPr lang="en-US" sz="1100" b="1" u="none" baseline="0">
            <a:solidFill>
              <a:sysClr val="windowText" lastClr="000000"/>
            </a:solidFill>
          </a:endParaRPr>
        </a:p>
        <a:p>
          <a:pPr algn="l"/>
          <a:endParaRPr lang="en-US" sz="1100" b="0" u="none" baseline="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5</xdr:col>
      <xdr:colOff>0</xdr:colOff>
      <xdr:row>6</xdr:row>
      <xdr:rowOff>0</xdr:rowOff>
    </xdr:from>
    <xdr:to>
      <xdr:col>10</xdr:col>
      <xdr:colOff>57150</xdr:colOff>
      <xdr:row>16</xdr:row>
      <xdr:rowOff>38100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EE7FABE-4061-E350-20AD-C8FA62A6549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21300" y="1143000"/>
          <a:ext cx="3105150" cy="1905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17</xdr:row>
      <xdr:rowOff>158750</xdr:rowOff>
    </xdr:from>
    <xdr:to>
      <xdr:col>5</xdr:col>
      <xdr:colOff>773905</xdr:colOff>
      <xdr:row>23</xdr:row>
      <xdr:rowOff>128985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/>
      </xdr:nvSpPr>
      <xdr:spPr>
        <a:xfrm>
          <a:off x="2362933" y="3272692"/>
          <a:ext cx="6611020" cy="1069274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600" b="1" u="none" baseline="0">
              <a:solidFill>
                <a:schemeClr val="tx1"/>
              </a:solidFill>
            </a:rPr>
            <a:t>Extract in different columns product Id,Product Category,Product Size,New key and City from Product key?</a:t>
          </a:r>
        </a:p>
      </xdr:txBody>
    </xdr:sp>
    <xdr:clientData/>
  </xdr:twoCellAnchor>
  <xdr:twoCellAnchor editAs="oneCell">
    <xdr:from>
      <xdr:col>0</xdr:col>
      <xdr:colOff>79375</xdr:colOff>
      <xdr:row>24</xdr:row>
      <xdr:rowOff>73269</xdr:rowOff>
    </xdr:from>
    <xdr:to>
      <xdr:col>7</xdr:col>
      <xdr:colOff>85725</xdr:colOff>
      <xdr:row>39</xdr:row>
      <xdr:rowOff>79619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CAAC959-E1B5-A54C-55C2-50CFA940C6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9375" y="4469423"/>
          <a:ext cx="9378706" cy="27539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265044</xdr:colOff>
      <xdr:row>0</xdr:row>
      <xdr:rowOff>99391</xdr:rowOff>
    </xdr:from>
    <xdr:to>
      <xdr:col>68</xdr:col>
      <xdr:colOff>290443</xdr:colOff>
      <xdr:row>6</xdr:row>
      <xdr:rowOff>105741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2A250A-1BBF-910A-AF4B-2FCCDD1E53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713609" y="99391"/>
          <a:ext cx="27358008" cy="10996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200024</xdr:colOff>
      <xdr:row>1</xdr:row>
      <xdr:rowOff>70485</xdr:rowOff>
    </xdr:from>
    <xdr:to>
      <xdr:col>16</xdr:col>
      <xdr:colOff>182879</xdr:colOff>
      <xdr:row>20</xdr:row>
      <xdr:rowOff>45720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AAAC5C6-6575-4133-8102-A2A384643435}"/>
            </a:ext>
          </a:extLst>
        </xdr:cNvPr>
        <xdr:cNvSpPr/>
      </xdr:nvSpPr>
      <xdr:spPr>
        <a:xfrm>
          <a:off x="4467224" y="254635"/>
          <a:ext cx="5469255" cy="3474085"/>
        </a:xfrm>
        <a:prstGeom prst="rect">
          <a:avLst/>
        </a:prstGeom>
        <a:solidFill>
          <a:schemeClr val="tx2">
            <a:lumMod val="20000"/>
            <a:lumOff val="80000"/>
          </a:schemeClr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="1" u="sng">
              <a:solidFill>
                <a:sysClr val="windowText" lastClr="000000"/>
              </a:solidFill>
            </a:rPr>
            <a:t>INSTRUCTIONS:</a:t>
          </a:r>
        </a:p>
        <a:p>
          <a:pPr algn="ctr"/>
          <a:endParaRPr lang="en-US" sz="1100" u="sng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1) Format the </a:t>
          </a:r>
          <a:r>
            <a:rPr lang="en-US" sz="1100" i="1" u="none">
              <a:solidFill>
                <a:sysClr val="windowText" lastClr="000000"/>
              </a:solidFill>
            </a:rPr>
            <a:t>Revenue</a:t>
          </a:r>
          <a:r>
            <a:rPr lang="en-US" sz="1100" u="none">
              <a:solidFill>
                <a:sysClr val="windowText" lastClr="000000"/>
              </a:solidFill>
            </a:rPr>
            <a:t> column as currency, with no decimal places, and use the </a:t>
          </a:r>
          <a:r>
            <a:rPr lang="en-US" sz="1100" b="1" u="none">
              <a:solidFill>
                <a:sysClr val="windowText" lastClr="000000"/>
              </a:solidFill>
            </a:rPr>
            <a:t>format painter</a:t>
          </a:r>
          <a:r>
            <a:rPr lang="en-US" sz="1100" u="none">
              <a:solidFill>
                <a:sysClr val="windowText" lastClr="000000"/>
              </a:solidFill>
            </a:rPr>
            <a:t> to apply the same formatting to columns </a:t>
          </a:r>
          <a:r>
            <a:rPr lang="en-US" sz="1100" b="0" i="1" u="none">
              <a:solidFill>
                <a:sysClr val="windowText" lastClr="000000"/>
              </a:solidFill>
            </a:rPr>
            <a:t>C</a:t>
          </a:r>
          <a:r>
            <a:rPr lang="en-US" sz="1100" u="none">
              <a:solidFill>
                <a:sysClr val="windowText" lastClr="000000"/>
              </a:solidFill>
            </a:rPr>
            <a:t>, </a:t>
          </a:r>
          <a:r>
            <a:rPr lang="en-US" sz="1100" b="0" i="1" u="none">
              <a:solidFill>
                <a:sysClr val="windowText" lastClr="000000"/>
              </a:solidFill>
            </a:rPr>
            <a:t>D</a:t>
          </a:r>
          <a:r>
            <a:rPr lang="en-US" sz="1100" u="none">
              <a:solidFill>
                <a:sysClr val="windowText" lastClr="000000"/>
              </a:solidFill>
            </a:rPr>
            <a:t>, and </a:t>
          </a:r>
          <a:r>
            <a:rPr lang="en-US" sz="1100" b="0" i="1" u="none">
              <a:solidFill>
                <a:sysClr val="windowText" lastClr="000000"/>
              </a:solidFill>
            </a:rPr>
            <a:t>E</a:t>
          </a: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2) Format</a:t>
          </a:r>
          <a:r>
            <a:rPr lang="en-US" sz="1100" u="none" baseline="0">
              <a:solidFill>
                <a:sysClr val="windowText" lastClr="000000"/>
              </a:solidFill>
            </a:rPr>
            <a:t> the </a:t>
          </a:r>
          <a:r>
            <a:rPr lang="en-US" sz="1100" i="1" u="none" baseline="0">
              <a:solidFill>
                <a:sysClr val="windowText" lastClr="000000"/>
              </a:solidFill>
            </a:rPr>
            <a:t>Profit Margin</a:t>
          </a:r>
          <a:r>
            <a:rPr lang="en-US" sz="1100" u="none" baseline="0">
              <a:solidFill>
                <a:sysClr val="windowText" lastClr="000000"/>
              </a:solidFill>
            </a:rPr>
            <a:t> column as a percent, with 1 decimal place</a:t>
          </a:r>
          <a:endParaRPr lang="en-US" sz="1100" u="none">
            <a:solidFill>
              <a:sysClr val="windowText" lastClr="000000"/>
            </a:solidFill>
          </a:endParaRP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3) Use </a:t>
          </a:r>
          <a:r>
            <a:rPr lang="en-US" sz="1100" b="1" u="none">
              <a:solidFill>
                <a:sysClr val="windowText" lastClr="000000"/>
              </a:solidFill>
            </a:rPr>
            <a:t>conditional</a:t>
          </a:r>
          <a:r>
            <a:rPr lang="en-US" sz="1100" b="1" u="none" baseline="0">
              <a:solidFill>
                <a:sysClr val="windowText" lastClr="000000"/>
              </a:solidFill>
            </a:rPr>
            <a:t> formatting</a:t>
          </a:r>
          <a:r>
            <a:rPr lang="en-US" sz="1100" u="none" baseline="0">
              <a:solidFill>
                <a:sysClr val="windowText" lastClr="000000"/>
              </a:solidFill>
            </a:rPr>
            <a:t> to add a c</a:t>
          </a:r>
          <a:r>
            <a:rPr lang="en-US" sz="1100" u="none">
              <a:solidFill>
                <a:sysClr val="windowText" lastClr="000000"/>
              </a:solidFill>
            </a:rPr>
            <a:t>olor scale to</a:t>
          </a:r>
          <a:r>
            <a:rPr lang="en-US" sz="1100" u="none" baseline="0">
              <a:solidFill>
                <a:sysClr val="windowText" lastClr="000000"/>
              </a:solidFill>
            </a:rPr>
            <a:t> the </a:t>
          </a:r>
          <a:r>
            <a:rPr lang="en-US" sz="1100" i="1" u="none" baseline="0">
              <a:solidFill>
                <a:sysClr val="windowText" lastClr="000000"/>
              </a:solidFill>
            </a:rPr>
            <a:t>P</a:t>
          </a:r>
          <a:r>
            <a:rPr lang="en-US" sz="1100" i="1" u="none">
              <a:solidFill>
                <a:sysClr val="windowText" lastClr="000000"/>
              </a:solidFill>
            </a:rPr>
            <a:t>rofit Margin</a:t>
          </a:r>
          <a:r>
            <a:rPr lang="en-US" sz="1100" u="none">
              <a:solidFill>
                <a:sysClr val="windowText" lastClr="000000"/>
              </a:solidFill>
            </a:rPr>
            <a:t> column (low values = red, high values = green)</a:t>
          </a:r>
        </a:p>
        <a:p>
          <a:pPr algn="l"/>
          <a:endParaRPr lang="en-US" sz="1100" u="none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4) Use </a:t>
          </a:r>
          <a:r>
            <a:rPr lang="en-US" sz="1100" b="1" u="none">
              <a:solidFill>
                <a:sysClr val="windowText" lastClr="000000"/>
              </a:solidFill>
            </a:rPr>
            <a:t>conditional formatting</a:t>
          </a:r>
          <a:r>
            <a:rPr lang="en-US" sz="1100" u="none" baseline="0">
              <a:solidFill>
                <a:sysClr val="windowText" lastClr="000000"/>
              </a:solidFill>
            </a:rPr>
            <a:t> to a</a:t>
          </a:r>
          <a:r>
            <a:rPr lang="en-US" sz="1100" u="none">
              <a:solidFill>
                <a:sysClr val="windowText" lastClr="000000"/>
              </a:solidFill>
            </a:rPr>
            <a:t>dd directional</a:t>
          </a:r>
          <a:r>
            <a:rPr lang="en-US" sz="1100" u="none" baseline="0">
              <a:solidFill>
                <a:sysClr val="windowText" lastClr="000000"/>
              </a:solidFill>
            </a:rPr>
            <a:t> arrow icons to the </a:t>
          </a:r>
          <a:r>
            <a:rPr lang="en-US" sz="1100" i="1" u="none" baseline="0">
              <a:solidFill>
                <a:sysClr val="windowText" lastClr="000000"/>
              </a:solidFill>
            </a:rPr>
            <a:t>Revenue Change</a:t>
          </a:r>
          <a:r>
            <a:rPr lang="en-US" sz="1100" u="none" baseline="0">
              <a:solidFill>
                <a:sysClr val="windowText" lastClr="000000"/>
              </a:solidFill>
            </a:rPr>
            <a:t> column, and edit to show an up arrow for values </a:t>
          </a:r>
          <a:r>
            <a:rPr lang="en-US" sz="1100" b="1" u="none" baseline="0">
              <a:solidFill>
                <a:sysClr val="windowText" lastClr="000000"/>
              </a:solidFill>
            </a:rPr>
            <a:t>&gt;200</a:t>
          </a:r>
          <a:r>
            <a:rPr lang="en-US" sz="1100" u="none" baseline="0">
              <a:solidFill>
                <a:sysClr val="windowText" lastClr="000000"/>
              </a:solidFill>
            </a:rPr>
            <a:t> and a down arrow for values </a:t>
          </a:r>
          <a:r>
            <a:rPr lang="en-US" sz="1100" b="1" u="none" baseline="0">
              <a:solidFill>
                <a:sysClr val="windowText" lastClr="000000"/>
              </a:solidFill>
            </a:rPr>
            <a:t>&lt;-200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 baseline="0">
              <a:solidFill>
                <a:sysClr val="windowText" lastClr="000000"/>
              </a:solidFill>
            </a:rPr>
            <a:t>5) Create a </a:t>
          </a:r>
          <a:r>
            <a:rPr lang="en-US" sz="1100" b="1" u="none" baseline="0">
              <a:solidFill>
                <a:sysClr val="windowText" lastClr="000000"/>
              </a:solidFill>
            </a:rPr>
            <a:t>formula-based formatting rule </a:t>
          </a:r>
          <a:r>
            <a:rPr lang="en-US" sz="1100" u="none" baseline="0">
              <a:solidFill>
                <a:sysClr val="windowText" lastClr="000000"/>
              </a:solidFill>
            </a:rPr>
            <a:t>to</a:t>
          </a:r>
          <a:r>
            <a:rPr lang="en-US" sz="1100" i="0" u="none" baseline="0">
              <a:solidFill>
                <a:sysClr val="windowText" lastClr="000000"/>
              </a:solidFill>
            </a:rPr>
            <a:t> format the</a:t>
          </a:r>
          <a:r>
            <a:rPr lang="en-US" sz="1100" u="none" baseline="0">
              <a:solidFill>
                <a:sysClr val="windowText" lastClr="000000"/>
              </a:solidFill>
            </a:rPr>
            <a:t> dates in column A as </a:t>
          </a:r>
          <a:r>
            <a:rPr lang="en-US" sz="1100" b="0" u="none" baseline="0">
              <a:solidFill>
                <a:sysClr val="windowText" lastClr="000000"/>
              </a:solidFill>
            </a:rPr>
            <a:t>bold</a:t>
          </a:r>
          <a:r>
            <a:rPr lang="en-US" sz="1100" u="none" baseline="0">
              <a:solidFill>
                <a:sysClr val="windowText" lastClr="000000"/>
              </a:solidFill>
            </a:rPr>
            <a:t> with dark red text and light red fill when the profit margin in column </a:t>
          </a:r>
          <a:r>
            <a:rPr lang="en-US" sz="1100" i="1" u="none" baseline="0">
              <a:solidFill>
                <a:sysClr val="windowText" lastClr="000000"/>
              </a:solidFill>
            </a:rPr>
            <a:t>G</a:t>
          </a:r>
          <a:r>
            <a:rPr lang="en-US" sz="1100" u="none" baseline="0">
              <a:solidFill>
                <a:sysClr val="windowText" lastClr="000000"/>
              </a:solidFill>
            </a:rPr>
            <a:t> is </a:t>
          </a:r>
          <a:r>
            <a:rPr lang="en-US" sz="1100" b="1" u="none" baseline="0">
              <a:solidFill>
                <a:sysClr val="windowText" lastClr="000000"/>
              </a:solidFill>
            </a:rPr>
            <a:t>&lt;40%</a:t>
          </a:r>
        </a:p>
        <a:p>
          <a:pPr algn="l"/>
          <a:endParaRPr lang="en-US" sz="1100" u="none" baseline="0">
            <a:solidFill>
              <a:sysClr val="windowText" lastClr="000000"/>
            </a:solidFill>
          </a:endParaRPr>
        </a:p>
        <a:p>
          <a:pPr algn="l"/>
          <a:r>
            <a:rPr lang="en-US" sz="1100" u="none">
              <a:solidFill>
                <a:sysClr val="windowText" lastClr="000000"/>
              </a:solidFill>
            </a:rPr>
            <a:t>6) Add a </a:t>
          </a:r>
          <a:r>
            <a:rPr lang="en-US" sz="1100" b="1" u="none">
              <a:solidFill>
                <a:sysClr val="windowText" lastClr="000000"/>
              </a:solidFill>
            </a:rPr>
            <a:t>formula-based formatting rule </a:t>
          </a:r>
          <a:r>
            <a:rPr lang="en-US" sz="1100" u="none">
              <a:solidFill>
                <a:sysClr val="windowText" lastClr="000000"/>
              </a:solidFill>
            </a:rPr>
            <a:t>to </a:t>
          </a:r>
          <a:r>
            <a:rPr lang="en-US" sz="1100" u="none" baseline="0">
              <a:solidFill>
                <a:sysClr val="windowText" lastClr="000000"/>
              </a:solidFill>
            </a:rPr>
            <a:t>highlight rows in columns A-F light yellow when the Top Product Category = "Kids" </a:t>
          </a:r>
        </a:p>
      </xdr:txBody>
    </xdr:sp>
    <xdr:clientData/>
  </xdr:twoCellAnchor>
  <xdr:twoCellAnchor editAs="oneCell">
    <xdr:from>
      <xdr:col>1</xdr:col>
      <xdr:colOff>64304</xdr:colOff>
      <xdr:row>27</xdr:row>
      <xdr:rowOff>0</xdr:rowOff>
    </xdr:from>
    <xdr:to>
      <xdr:col>8</xdr:col>
      <xdr:colOff>544895</xdr:colOff>
      <xdr:row>52</xdr:row>
      <xdr:rowOff>6349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ACA9877-D933-7729-0187-031A9CC7EE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9431" y="4991582"/>
          <a:ext cx="8518565" cy="462818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3</xdr:row>
      <xdr:rowOff>114300</xdr:rowOff>
    </xdr:from>
    <xdr:to>
      <xdr:col>6</xdr:col>
      <xdr:colOff>381000</xdr:colOff>
      <xdr:row>3</xdr:row>
      <xdr:rowOff>114300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A624D03E-012F-4BEE-A7B2-6361F5A6E2AA}"/>
            </a:ext>
          </a:extLst>
        </xdr:cNvPr>
        <xdr:cNvCxnSpPr/>
      </xdr:nvCxnSpPr>
      <xdr:spPr>
        <a:xfrm>
          <a:off x="428625" y="679450"/>
          <a:ext cx="5534025" cy="0"/>
        </a:xfrm>
        <a:prstGeom prst="line">
          <a:avLst/>
        </a:prstGeom>
        <a:ln>
          <a:solidFill>
            <a:schemeClr val="bg1">
              <a:lumMod val="50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7</xdr:col>
      <xdr:colOff>298450</xdr:colOff>
      <xdr:row>0</xdr:row>
      <xdr:rowOff>152400</xdr:rowOff>
    </xdr:from>
    <xdr:to>
      <xdr:col>15</xdr:col>
      <xdr:colOff>247650</xdr:colOff>
      <xdr:row>16</xdr:row>
      <xdr:rowOff>158750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8F5489E-9DEB-DA6D-82EE-0AACF97F1B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00800" y="152400"/>
          <a:ext cx="6108700" cy="3079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349250</xdr:colOff>
      <xdr:row>1</xdr:row>
      <xdr:rowOff>38100</xdr:rowOff>
    </xdr:from>
    <xdr:to>
      <xdr:col>12</xdr:col>
      <xdr:colOff>247650</xdr:colOff>
      <xdr:row>15</xdr:row>
      <xdr:rowOff>44450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FA5B1B-04DF-51DE-793F-14A43EDF29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13450" y="222250"/>
          <a:ext cx="4387850" cy="273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50800</xdr:colOff>
      <xdr:row>4</xdr:row>
      <xdr:rowOff>127000</xdr:rowOff>
    </xdr:from>
    <xdr:to>
      <xdr:col>12</xdr:col>
      <xdr:colOff>234950</xdr:colOff>
      <xdr:row>13</xdr:row>
      <xdr:rowOff>139700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97FD31-D243-9393-D5D4-AB904D3105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95800" y="768350"/>
          <a:ext cx="3232150" cy="1447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hyperlink" Target="mailto:JenniferJMcGrath@gmail.com" TargetMode="Externa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-0.499984740745262"/>
  </sheetPr>
  <dimension ref="A1:F28"/>
  <sheetViews>
    <sheetView zoomScale="87" zoomScaleNormal="87" workbookViewId="0">
      <selection activeCell="F4" sqref="F4"/>
    </sheetView>
  </sheetViews>
  <sheetFormatPr defaultRowHeight="14.4" x14ac:dyDescent="0.3"/>
  <cols>
    <col min="1" max="1" width="11.6640625" customWidth="1"/>
    <col min="2" max="2" width="15.33203125" style="2" customWidth="1"/>
    <col min="3" max="4" width="8.88671875" style="2"/>
    <col min="5" max="6" width="16" style="42" customWidth="1"/>
  </cols>
  <sheetData>
    <row r="1" spans="1:6" x14ac:dyDescent="0.3">
      <c r="A1" s="1" t="s">
        <v>136</v>
      </c>
      <c r="B1" s="1" t="s">
        <v>165</v>
      </c>
      <c r="C1" s="1" t="s">
        <v>164</v>
      </c>
      <c r="D1" s="1" t="s">
        <v>124</v>
      </c>
      <c r="E1" s="40" t="s">
        <v>166</v>
      </c>
      <c r="F1" s="40" t="s">
        <v>167</v>
      </c>
    </row>
    <row r="2" spans="1:6" x14ac:dyDescent="0.3">
      <c r="A2" s="20">
        <v>42370</v>
      </c>
      <c r="B2" s="2">
        <v>146</v>
      </c>
      <c r="C2" s="2">
        <v>77</v>
      </c>
      <c r="D2" s="2">
        <v>18</v>
      </c>
      <c r="E2" s="41">
        <f>C2/B2</f>
        <v>0.5273972602739726</v>
      </c>
      <c r="F2" s="41">
        <f>D2/B2</f>
        <v>0.12328767123287671</v>
      </c>
    </row>
    <row r="3" spans="1:6" x14ac:dyDescent="0.3">
      <c r="A3" s="20">
        <v>42370</v>
      </c>
      <c r="B3" s="2">
        <v>169</v>
      </c>
      <c r="C3" s="2">
        <v>72</v>
      </c>
      <c r="D3" s="2">
        <v>15</v>
      </c>
      <c r="E3" s="41">
        <f t="shared" ref="E3:E26" si="0">C3/B3</f>
        <v>0.42603550295857989</v>
      </c>
      <c r="F3" s="41">
        <f t="shared" ref="F3:F26" si="1">D3/B3</f>
        <v>8.8757396449704137E-2</v>
      </c>
    </row>
    <row r="4" spans="1:6" x14ac:dyDescent="0.3">
      <c r="A4" s="20">
        <v>42370</v>
      </c>
      <c r="B4" s="2">
        <v>199</v>
      </c>
      <c r="C4" s="2">
        <v>71</v>
      </c>
      <c r="D4" s="2">
        <v>19</v>
      </c>
      <c r="E4" s="41">
        <f t="shared" si="0"/>
        <v>0.35678391959798994</v>
      </c>
      <c r="F4" s="41">
        <f t="shared" si="1"/>
        <v>9.5477386934673364E-2</v>
      </c>
    </row>
    <row r="5" spans="1:6" x14ac:dyDescent="0.3">
      <c r="A5" s="20">
        <v>42371</v>
      </c>
      <c r="B5" s="2">
        <v>281</v>
      </c>
      <c r="C5" s="2">
        <v>66</v>
      </c>
      <c r="D5" s="2">
        <v>10</v>
      </c>
      <c r="E5" s="41">
        <f t="shared" si="0"/>
        <v>0.23487544483985764</v>
      </c>
      <c r="F5" s="41">
        <f t="shared" si="1"/>
        <v>3.5587188612099648E-2</v>
      </c>
    </row>
    <row r="6" spans="1:6" x14ac:dyDescent="0.3">
      <c r="A6" s="20">
        <v>42371</v>
      </c>
      <c r="B6" s="2">
        <v>266</v>
      </c>
      <c r="C6" s="2">
        <v>53</v>
      </c>
      <c r="D6" s="2">
        <v>19</v>
      </c>
      <c r="E6" s="41">
        <f t="shared" si="0"/>
        <v>0.19924812030075187</v>
      </c>
      <c r="F6" s="41">
        <f t="shared" si="1"/>
        <v>7.1428571428571425E-2</v>
      </c>
    </row>
    <row r="7" spans="1:6" x14ac:dyDescent="0.3">
      <c r="A7" s="20">
        <v>42371</v>
      </c>
      <c r="B7" s="2">
        <v>277</v>
      </c>
      <c r="C7" s="2">
        <v>84</v>
      </c>
      <c r="D7" s="2">
        <v>15</v>
      </c>
      <c r="E7" s="41">
        <f t="shared" si="0"/>
        <v>0.30324909747292417</v>
      </c>
      <c r="F7" s="41">
        <f t="shared" si="1"/>
        <v>5.4151624548736461E-2</v>
      </c>
    </row>
    <row r="8" spans="1:6" x14ac:dyDescent="0.3">
      <c r="A8" s="20">
        <v>42372</v>
      </c>
      <c r="B8" s="2">
        <v>145</v>
      </c>
      <c r="C8" s="2">
        <v>73</v>
      </c>
      <c r="D8" s="2">
        <v>15</v>
      </c>
      <c r="E8" s="41">
        <f t="shared" si="0"/>
        <v>0.50344827586206897</v>
      </c>
      <c r="F8" s="41">
        <f t="shared" si="1"/>
        <v>0.10344827586206896</v>
      </c>
    </row>
    <row r="9" spans="1:6" x14ac:dyDescent="0.3">
      <c r="A9" s="20">
        <v>42372</v>
      </c>
      <c r="B9" s="2">
        <v>227</v>
      </c>
      <c r="C9" s="2">
        <v>69</v>
      </c>
      <c r="D9" s="2">
        <v>12</v>
      </c>
      <c r="E9" s="41">
        <f t="shared" si="0"/>
        <v>0.30396475770925108</v>
      </c>
      <c r="F9" s="41">
        <f t="shared" si="1"/>
        <v>5.2863436123348019E-2</v>
      </c>
    </row>
    <row r="10" spans="1:6" x14ac:dyDescent="0.3">
      <c r="A10" s="20">
        <v>42372</v>
      </c>
      <c r="B10" s="2">
        <v>180</v>
      </c>
      <c r="C10" s="2">
        <v>79</v>
      </c>
      <c r="D10" s="2">
        <v>16</v>
      </c>
      <c r="E10" s="41">
        <f t="shared" si="0"/>
        <v>0.43888888888888888</v>
      </c>
      <c r="F10" s="41">
        <f t="shared" si="1"/>
        <v>8.8888888888888892E-2</v>
      </c>
    </row>
    <row r="11" spans="1:6" x14ac:dyDescent="0.3">
      <c r="A11" s="20">
        <v>42373</v>
      </c>
      <c r="B11" s="2">
        <v>0</v>
      </c>
      <c r="C11" s="2">
        <v>0</v>
      </c>
      <c r="D11" s="2">
        <v>0</v>
      </c>
      <c r="E11" s="41"/>
      <c r="F11" s="41"/>
    </row>
    <row r="12" spans="1:6" x14ac:dyDescent="0.3">
      <c r="A12" s="20">
        <v>42374</v>
      </c>
      <c r="B12" s="2">
        <v>242</v>
      </c>
      <c r="C12" s="2">
        <v>75</v>
      </c>
      <c r="D12" s="2">
        <v>10</v>
      </c>
      <c r="E12" s="41">
        <f t="shared" si="0"/>
        <v>0.30991735537190085</v>
      </c>
      <c r="F12" s="41">
        <f t="shared" si="1"/>
        <v>4.1322314049586778E-2</v>
      </c>
    </row>
    <row r="13" spans="1:6" x14ac:dyDescent="0.3">
      <c r="A13" s="20">
        <v>42374</v>
      </c>
      <c r="B13" s="2">
        <v>215</v>
      </c>
      <c r="C13" s="2">
        <v>75</v>
      </c>
      <c r="D13" s="2">
        <v>16</v>
      </c>
      <c r="E13" s="41">
        <f t="shared" si="0"/>
        <v>0.34883720930232559</v>
      </c>
      <c r="F13" s="41">
        <f t="shared" si="1"/>
        <v>7.441860465116279E-2</v>
      </c>
    </row>
    <row r="14" spans="1:6" x14ac:dyDescent="0.3">
      <c r="A14" s="20">
        <v>42374</v>
      </c>
      <c r="B14" s="2">
        <v>244</v>
      </c>
      <c r="C14" s="2">
        <v>82</v>
      </c>
      <c r="D14" s="2">
        <v>16</v>
      </c>
      <c r="E14" s="41">
        <f t="shared" si="0"/>
        <v>0.33606557377049179</v>
      </c>
      <c r="F14" s="41">
        <f t="shared" si="1"/>
        <v>6.5573770491803282E-2</v>
      </c>
    </row>
    <row r="15" spans="1:6" x14ac:dyDescent="0.3">
      <c r="A15" s="20">
        <v>42374</v>
      </c>
      <c r="B15" s="2">
        <v>179</v>
      </c>
      <c r="C15" s="2">
        <v>71</v>
      </c>
      <c r="D15" s="2">
        <v>13</v>
      </c>
      <c r="E15" s="41">
        <f t="shared" si="0"/>
        <v>0.39664804469273746</v>
      </c>
      <c r="F15" s="41">
        <f t="shared" si="1"/>
        <v>7.2625698324022353E-2</v>
      </c>
    </row>
    <row r="16" spans="1:6" x14ac:dyDescent="0.3">
      <c r="A16" s="20">
        <v>42374</v>
      </c>
      <c r="B16" s="2">
        <v>276</v>
      </c>
      <c r="C16" s="2">
        <v>72</v>
      </c>
      <c r="D16" s="2">
        <v>14</v>
      </c>
      <c r="E16" s="41">
        <f t="shared" si="0"/>
        <v>0.2608695652173913</v>
      </c>
      <c r="F16" s="41">
        <f t="shared" si="1"/>
        <v>5.0724637681159424E-2</v>
      </c>
    </row>
    <row r="17" spans="1:6" x14ac:dyDescent="0.3">
      <c r="A17" s="20">
        <v>42375</v>
      </c>
      <c r="B17" s="2">
        <v>127</v>
      </c>
      <c r="C17" s="2">
        <v>78</v>
      </c>
      <c r="D17" s="2">
        <v>20</v>
      </c>
      <c r="E17" s="41">
        <f t="shared" si="0"/>
        <v>0.61417322834645671</v>
      </c>
      <c r="F17" s="41">
        <f t="shared" si="1"/>
        <v>0.15748031496062992</v>
      </c>
    </row>
    <row r="18" spans="1:6" x14ac:dyDescent="0.3">
      <c r="A18" s="20">
        <v>42375</v>
      </c>
      <c r="B18" s="2">
        <v>283</v>
      </c>
      <c r="C18" s="2">
        <v>78</v>
      </c>
      <c r="D18" s="2">
        <v>18</v>
      </c>
      <c r="E18" s="41">
        <f t="shared" si="0"/>
        <v>0.2756183745583039</v>
      </c>
      <c r="F18" s="41">
        <f t="shared" si="1"/>
        <v>6.3604240282685506E-2</v>
      </c>
    </row>
    <row r="19" spans="1:6" x14ac:dyDescent="0.3">
      <c r="A19" s="20">
        <v>42375</v>
      </c>
      <c r="B19" s="2">
        <v>126</v>
      </c>
      <c r="C19" s="2">
        <v>76</v>
      </c>
      <c r="D19" s="2">
        <v>20</v>
      </c>
      <c r="E19" s="41">
        <f t="shared" si="0"/>
        <v>0.60317460317460314</v>
      </c>
      <c r="F19" s="41">
        <f t="shared" si="1"/>
        <v>0.15873015873015872</v>
      </c>
    </row>
    <row r="20" spans="1:6" x14ac:dyDescent="0.3">
      <c r="A20" s="20">
        <v>42376</v>
      </c>
      <c r="B20" s="2">
        <v>262</v>
      </c>
      <c r="C20" s="2">
        <v>81</v>
      </c>
      <c r="D20" s="2">
        <v>19</v>
      </c>
      <c r="E20" s="41">
        <f t="shared" si="0"/>
        <v>0.30916030534351147</v>
      </c>
      <c r="F20" s="41">
        <f t="shared" si="1"/>
        <v>7.2519083969465645E-2</v>
      </c>
    </row>
    <row r="21" spans="1:6" x14ac:dyDescent="0.3">
      <c r="A21" s="20">
        <v>42376</v>
      </c>
      <c r="B21" s="2">
        <v>287</v>
      </c>
      <c r="C21" s="2">
        <v>81</v>
      </c>
      <c r="D21" s="2">
        <v>14</v>
      </c>
      <c r="E21" s="41">
        <f t="shared" si="0"/>
        <v>0.28222996515679444</v>
      </c>
      <c r="F21" s="41">
        <f t="shared" si="1"/>
        <v>4.878048780487805E-2</v>
      </c>
    </row>
    <row r="22" spans="1:6" x14ac:dyDescent="0.3">
      <c r="A22" s="20">
        <v>42376</v>
      </c>
      <c r="B22" s="2">
        <v>269</v>
      </c>
      <c r="C22" s="2">
        <v>82</v>
      </c>
      <c r="D22" s="2">
        <v>14</v>
      </c>
      <c r="E22" s="41">
        <f t="shared" si="0"/>
        <v>0.30483271375464682</v>
      </c>
      <c r="F22" s="41">
        <f t="shared" si="1"/>
        <v>5.204460966542751E-2</v>
      </c>
    </row>
    <row r="23" spans="1:6" x14ac:dyDescent="0.3">
      <c r="A23" s="20">
        <v>42377</v>
      </c>
      <c r="B23" s="2">
        <v>272</v>
      </c>
      <c r="C23" s="2">
        <v>54</v>
      </c>
      <c r="D23" s="2">
        <v>10</v>
      </c>
      <c r="E23" s="41">
        <f t="shared" si="0"/>
        <v>0.19852941176470587</v>
      </c>
      <c r="F23" s="41">
        <f t="shared" si="1"/>
        <v>3.6764705882352942E-2</v>
      </c>
    </row>
    <row r="24" spans="1:6" x14ac:dyDescent="0.3">
      <c r="A24" s="20">
        <v>42377</v>
      </c>
      <c r="B24" s="2">
        <v>204</v>
      </c>
      <c r="C24" s="2">
        <v>69</v>
      </c>
      <c r="D24" s="2">
        <v>11</v>
      </c>
      <c r="E24" s="41">
        <f t="shared" si="0"/>
        <v>0.33823529411764708</v>
      </c>
      <c r="F24" s="41">
        <f t="shared" si="1"/>
        <v>5.3921568627450983E-2</v>
      </c>
    </row>
    <row r="25" spans="1:6" x14ac:dyDescent="0.3">
      <c r="A25" s="20">
        <v>42377</v>
      </c>
      <c r="B25" s="2">
        <v>150</v>
      </c>
      <c r="C25" s="2">
        <v>72</v>
      </c>
      <c r="D25" s="2">
        <v>20</v>
      </c>
      <c r="E25" s="41">
        <f t="shared" si="0"/>
        <v>0.48</v>
      </c>
      <c r="F25" s="41">
        <f t="shared" si="1"/>
        <v>0.13333333333333333</v>
      </c>
    </row>
    <row r="26" spans="1:6" x14ac:dyDescent="0.3">
      <c r="A26" s="20">
        <v>42377</v>
      </c>
      <c r="B26" s="2">
        <v>261</v>
      </c>
      <c r="C26" s="2">
        <v>90</v>
      </c>
      <c r="D26" s="2">
        <v>19</v>
      </c>
      <c r="E26" s="41">
        <f t="shared" si="0"/>
        <v>0.34482758620689657</v>
      </c>
      <c r="F26" s="41">
        <f t="shared" si="1"/>
        <v>7.2796934865900387E-2</v>
      </c>
    </row>
    <row r="27" spans="1:6" x14ac:dyDescent="0.3">
      <c r="A27" s="25"/>
    </row>
    <row r="28" spans="1:6" x14ac:dyDescent="0.3">
      <c r="A28" s="25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39997558519241921"/>
  </sheetPr>
  <dimension ref="A1:G16"/>
  <sheetViews>
    <sheetView workbookViewId="0">
      <selection activeCell="E20" sqref="E20"/>
    </sheetView>
  </sheetViews>
  <sheetFormatPr defaultRowHeight="14.4" x14ac:dyDescent="0.3"/>
  <cols>
    <col min="1" max="2" width="14.88671875" style="2" customWidth="1"/>
    <col min="3" max="3" width="13.21875" style="2" customWidth="1"/>
    <col min="4" max="4" width="14" style="2" customWidth="1"/>
    <col min="5" max="5" width="12" style="2" customWidth="1"/>
    <col min="6" max="6" width="14.21875" style="2" customWidth="1"/>
    <col min="7" max="7" width="16.44140625" style="2" customWidth="1"/>
  </cols>
  <sheetData>
    <row r="1" spans="1:7" x14ac:dyDescent="0.3">
      <c r="A1" s="1" t="s">
        <v>143</v>
      </c>
      <c r="B1" s="1" t="s">
        <v>55</v>
      </c>
      <c r="C1" s="1" t="s">
        <v>144</v>
      </c>
      <c r="D1" s="1" t="s">
        <v>145</v>
      </c>
      <c r="E1" s="1" t="s">
        <v>146</v>
      </c>
      <c r="F1" s="1" t="s">
        <v>148</v>
      </c>
      <c r="G1" s="1" t="s">
        <v>149</v>
      </c>
    </row>
    <row r="2" spans="1:7" x14ac:dyDescent="0.3">
      <c r="A2" s="2" t="s">
        <v>147</v>
      </c>
      <c r="B2" s="2" t="s">
        <v>70</v>
      </c>
      <c r="C2" s="2">
        <v>90</v>
      </c>
      <c r="D2" s="33" t="str">
        <f>IF(C2&gt;=60,"PASS","FAIL")</f>
        <v>PASS</v>
      </c>
      <c r="E2" s="33" t="str">
        <f>IF(C2&gt;=90,"A",IF(AND(C2&gt;=80,C2&lt;=89),"B",IF(AND(C2&gt;=70,C2&lt;=79),"C",IF(AND(C2&gt;=60,C2&lt;=69),"D","F"))))</f>
        <v>A</v>
      </c>
      <c r="F2" s="33" t="str">
        <f>IF(OR(C2&lt;60,C2&gt;90),"OUTLIER","AVG")</f>
        <v>AVG</v>
      </c>
      <c r="G2" s="33" t="str">
        <f>IF(AND(C2&gt;95,B2="M"),"Male Achiever",IF(AND(C2&gt;95,B2="F"),"Female Acheiver","None"))</f>
        <v>None</v>
      </c>
    </row>
    <row r="3" spans="1:7" x14ac:dyDescent="0.3">
      <c r="A3" s="2" t="s">
        <v>150</v>
      </c>
      <c r="B3" s="2" t="s">
        <v>60</v>
      </c>
      <c r="C3" s="2">
        <v>80</v>
      </c>
      <c r="D3" s="33" t="str">
        <f t="shared" ref="D3:D16" si="0">IF(C3&gt;=60,"PASS","FAIL")</f>
        <v>PASS</v>
      </c>
      <c r="E3" s="33" t="str">
        <f t="shared" ref="E3:E16" si="1">IF(C3&gt;=90,"A",IF(AND(C3&gt;=80,C3&lt;=89),"B",IF(AND(C3&gt;=70,C3&lt;=79),"C",IF(AND(C3&gt;=60,C3&lt;=69),"D","F"))))</f>
        <v>B</v>
      </c>
      <c r="F3" s="33" t="str">
        <f t="shared" ref="F3:F16" si="2">IF(OR(C3&lt;60,C3&gt;90),"OUTLIER","AVG")</f>
        <v>AVG</v>
      </c>
      <c r="G3" s="33" t="str">
        <f t="shared" ref="G3:G16" si="3">IF(AND(C3&gt;95,B3="M"),"Male Achiever",IF(AND(C3&gt;95,B3="F"),"Female Acheiver","None"))</f>
        <v>None</v>
      </c>
    </row>
    <row r="4" spans="1:7" x14ac:dyDescent="0.3">
      <c r="A4" s="2" t="s">
        <v>151</v>
      </c>
      <c r="B4" s="2" t="s">
        <v>70</v>
      </c>
      <c r="C4" s="2">
        <v>96</v>
      </c>
      <c r="D4" s="33" t="str">
        <f t="shared" si="0"/>
        <v>PASS</v>
      </c>
      <c r="E4" s="33" t="str">
        <f t="shared" si="1"/>
        <v>A</v>
      </c>
      <c r="F4" s="33" t="str">
        <f t="shared" si="2"/>
        <v>OUTLIER</v>
      </c>
      <c r="G4" s="33" t="str">
        <f t="shared" si="3"/>
        <v>Female Acheiver</v>
      </c>
    </row>
    <row r="5" spans="1:7" x14ac:dyDescent="0.3">
      <c r="A5" s="2" t="s">
        <v>152</v>
      </c>
      <c r="B5" s="2" t="s">
        <v>60</v>
      </c>
      <c r="C5" s="2">
        <v>72</v>
      </c>
      <c r="D5" s="33" t="str">
        <f t="shared" si="0"/>
        <v>PASS</v>
      </c>
      <c r="E5" s="33" t="str">
        <f t="shared" si="1"/>
        <v>C</v>
      </c>
      <c r="F5" s="33" t="str">
        <f t="shared" si="2"/>
        <v>AVG</v>
      </c>
      <c r="G5" s="33" t="str">
        <f t="shared" si="3"/>
        <v>None</v>
      </c>
    </row>
    <row r="6" spans="1:7" x14ac:dyDescent="0.3">
      <c r="A6" s="2" t="s">
        <v>153</v>
      </c>
      <c r="B6" s="2" t="s">
        <v>60</v>
      </c>
      <c r="C6" s="2">
        <v>69</v>
      </c>
      <c r="D6" s="33" t="str">
        <f t="shared" si="0"/>
        <v>PASS</v>
      </c>
      <c r="E6" s="33" t="str">
        <f t="shared" si="1"/>
        <v>D</v>
      </c>
      <c r="F6" s="33" t="str">
        <f t="shared" si="2"/>
        <v>AVG</v>
      </c>
      <c r="G6" s="33" t="str">
        <f t="shared" si="3"/>
        <v>None</v>
      </c>
    </row>
    <row r="7" spans="1:7" x14ac:dyDescent="0.3">
      <c r="A7" s="2" t="s">
        <v>154</v>
      </c>
      <c r="B7" s="2" t="s">
        <v>70</v>
      </c>
      <c r="C7" s="2">
        <v>52</v>
      </c>
      <c r="D7" s="33" t="str">
        <f t="shared" si="0"/>
        <v>FAIL</v>
      </c>
      <c r="E7" s="33" t="str">
        <f t="shared" si="1"/>
        <v>F</v>
      </c>
      <c r="F7" s="33" t="str">
        <f t="shared" si="2"/>
        <v>OUTLIER</v>
      </c>
      <c r="G7" s="33" t="str">
        <f t="shared" si="3"/>
        <v>None</v>
      </c>
    </row>
    <row r="8" spans="1:7" x14ac:dyDescent="0.3">
      <c r="A8" s="2" t="s">
        <v>155</v>
      </c>
      <c r="B8" s="2" t="s">
        <v>60</v>
      </c>
      <c r="C8" s="2">
        <v>99</v>
      </c>
      <c r="D8" s="33" t="str">
        <f t="shared" si="0"/>
        <v>PASS</v>
      </c>
      <c r="E8" s="33" t="str">
        <f t="shared" si="1"/>
        <v>A</v>
      </c>
      <c r="F8" s="33" t="str">
        <f t="shared" si="2"/>
        <v>OUTLIER</v>
      </c>
      <c r="G8" s="33" t="str">
        <f t="shared" si="3"/>
        <v>Male Achiever</v>
      </c>
    </row>
    <row r="9" spans="1:7" x14ac:dyDescent="0.3">
      <c r="A9" s="2" t="s">
        <v>156</v>
      </c>
      <c r="B9" s="2" t="s">
        <v>70</v>
      </c>
      <c r="C9" s="2">
        <v>82</v>
      </c>
      <c r="D9" s="33" t="str">
        <f t="shared" si="0"/>
        <v>PASS</v>
      </c>
      <c r="E9" s="33" t="str">
        <f t="shared" si="1"/>
        <v>B</v>
      </c>
      <c r="F9" s="33" t="str">
        <f t="shared" si="2"/>
        <v>AVG</v>
      </c>
      <c r="G9" s="33" t="str">
        <f t="shared" si="3"/>
        <v>None</v>
      </c>
    </row>
    <row r="10" spans="1:7" x14ac:dyDescent="0.3">
      <c r="A10" s="2" t="s">
        <v>157</v>
      </c>
      <c r="B10" s="2" t="s">
        <v>70</v>
      </c>
      <c r="C10" s="2">
        <v>67</v>
      </c>
      <c r="D10" s="33" t="str">
        <f t="shared" si="0"/>
        <v>PASS</v>
      </c>
      <c r="E10" s="33" t="str">
        <f t="shared" si="1"/>
        <v>D</v>
      </c>
      <c r="F10" s="33" t="str">
        <f t="shared" si="2"/>
        <v>AVG</v>
      </c>
      <c r="G10" s="33" t="str">
        <f t="shared" si="3"/>
        <v>None</v>
      </c>
    </row>
    <row r="11" spans="1:7" x14ac:dyDescent="0.3">
      <c r="A11" s="2" t="s">
        <v>158</v>
      </c>
      <c r="B11" s="2" t="s">
        <v>60</v>
      </c>
      <c r="C11" s="2">
        <v>90</v>
      </c>
      <c r="D11" s="33" t="str">
        <f t="shared" si="0"/>
        <v>PASS</v>
      </c>
      <c r="E11" s="33" t="str">
        <f t="shared" si="1"/>
        <v>A</v>
      </c>
      <c r="F11" s="33" t="str">
        <f t="shared" si="2"/>
        <v>AVG</v>
      </c>
      <c r="G11" s="33" t="str">
        <f t="shared" si="3"/>
        <v>None</v>
      </c>
    </row>
    <row r="12" spans="1:7" x14ac:dyDescent="0.3">
      <c r="A12" s="2" t="s">
        <v>159</v>
      </c>
      <c r="B12" s="2" t="s">
        <v>60</v>
      </c>
      <c r="C12" s="2">
        <v>83</v>
      </c>
      <c r="D12" s="33" t="str">
        <f t="shared" si="0"/>
        <v>PASS</v>
      </c>
      <c r="E12" s="33" t="str">
        <f t="shared" si="1"/>
        <v>B</v>
      </c>
      <c r="F12" s="33" t="str">
        <f t="shared" si="2"/>
        <v>AVG</v>
      </c>
      <c r="G12" s="33" t="str">
        <f t="shared" si="3"/>
        <v>None</v>
      </c>
    </row>
    <row r="13" spans="1:7" x14ac:dyDescent="0.3">
      <c r="A13" s="2" t="s">
        <v>160</v>
      </c>
      <c r="B13" s="2" t="s">
        <v>70</v>
      </c>
      <c r="C13" s="2">
        <v>89</v>
      </c>
      <c r="D13" s="33" t="str">
        <f t="shared" si="0"/>
        <v>PASS</v>
      </c>
      <c r="E13" s="33" t="str">
        <f t="shared" si="1"/>
        <v>B</v>
      </c>
      <c r="F13" s="33" t="str">
        <f t="shared" si="2"/>
        <v>AVG</v>
      </c>
      <c r="G13" s="33" t="str">
        <f t="shared" si="3"/>
        <v>None</v>
      </c>
    </row>
    <row r="14" spans="1:7" x14ac:dyDescent="0.3">
      <c r="A14" s="2" t="s">
        <v>161</v>
      </c>
      <c r="B14" s="2" t="s">
        <v>70</v>
      </c>
      <c r="C14" s="2">
        <v>60</v>
      </c>
      <c r="D14" s="33" t="str">
        <f t="shared" si="0"/>
        <v>PASS</v>
      </c>
      <c r="E14" s="33" t="str">
        <f t="shared" si="1"/>
        <v>D</v>
      </c>
      <c r="F14" s="33" t="str">
        <f t="shared" si="2"/>
        <v>AVG</v>
      </c>
      <c r="G14" s="33" t="str">
        <f t="shared" si="3"/>
        <v>None</v>
      </c>
    </row>
    <row r="15" spans="1:7" x14ac:dyDescent="0.3">
      <c r="A15" s="2" t="s">
        <v>162</v>
      </c>
      <c r="B15" s="2" t="s">
        <v>70</v>
      </c>
      <c r="C15" s="2">
        <v>63</v>
      </c>
      <c r="D15" s="33" t="str">
        <f t="shared" si="0"/>
        <v>PASS</v>
      </c>
      <c r="E15" s="33" t="str">
        <f t="shared" si="1"/>
        <v>D</v>
      </c>
      <c r="F15" s="33" t="str">
        <f t="shared" si="2"/>
        <v>AVG</v>
      </c>
      <c r="G15" s="33" t="str">
        <f t="shared" si="3"/>
        <v>None</v>
      </c>
    </row>
    <row r="16" spans="1:7" x14ac:dyDescent="0.3">
      <c r="A16" s="2" t="s">
        <v>163</v>
      </c>
      <c r="B16" s="2" t="s">
        <v>60</v>
      </c>
      <c r="C16" s="2">
        <v>59</v>
      </c>
      <c r="D16" s="33" t="str">
        <f t="shared" si="0"/>
        <v>FAIL</v>
      </c>
      <c r="E16" s="33" t="str">
        <f t="shared" si="1"/>
        <v>F</v>
      </c>
      <c r="F16" s="33" t="str">
        <f t="shared" si="2"/>
        <v>OUTLIER</v>
      </c>
      <c r="G16" s="33" t="str">
        <f t="shared" si="3"/>
        <v>None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32FF2-7EF1-4083-8D6E-2C6DF8B5C669}">
  <sheetPr>
    <tabColor theme="7" tint="0.39997558519241921"/>
  </sheetPr>
  <dimension ref="A1:J16"/>
  <sheetViews>
    <sheetView workbookViewId="0">
      <selection activeCell="H8" sqref="H8"/>
    </sheetView>
  </sheetViews>
  <sheetFormatPr defaultRowHeight="14.4" x14ac:dyDescent="0.3"/>
  <cols>
    <col min="1" max="1" width="15.5546875" style="2" customWidth="1"/>
    <col min="2" max="2" width="11.88671875" style="2" customWidth="1"/>
    <col min="3" max="3" width="13.5546875" style="2" customWidth="1"/>
    <col min="4" max="4" width="12.44140625" style="2" customWidth="1"/>
    <col min="5" max="5" width="15.33203125" style="2" customWidth="1"/>
    <col min="7" max="7" width="39.44140625" customWidth="1"/>
    <col min="8" max="8" width="14.109375" customWidth="1"/>
  </cols>
  <sheetData>
    <row r="1" spans="1:10" x14ac:dyDescent="0.3">
      <c r="A1" s="1" t="s">
        <v>196</v>
      </c>
      <c r="B1" s="1" t="s">
        <v>197</v>
      </c>
      <c r="C1" s="1" t="s">
        <v>198</v>
      </c>
      <c r="D1" s="1" t="s">
        <v>199</v>
      </c>
      <c r="E1" s="1" t="s">
        <v>200</v>
      </c>
    </row>
    <row r="2" spans="1:10" x14ac:dyDescent="0.3">
      <c r="A2" s="2" t="s">
        <v>201</v>
      </c>
      <c r="B2" s="2" t="s">
        <v>202</v>
      </c>
      <c r="C2" s="2" t="s">
        <v>138</v>
      </c>
      <c r="D2" s="8">
        <v>18270</v>
      </c>
      <c r="E2" s="8">
        <v>22873</v>
      </c>
      <c r="G2" s="9" t="s">
        <v>203</v>
      </c>
      <c r="H2" s="48">
        <f>_xlfn.MAXIFS(E2:E16,B2:B16,B6)</f>
        <v>25897</v>
      </c>
    </row>
    <row r="3" spans="1:10" x14ac:dyDescent="0.3">
      <c r="A3" s="2" t="s">
        <v>204</v>
      </c>
      <c r="B3" s="2" t="s">
        <v>202</v>
      </c>
      <c r="C3" s="2" t="s">
        <v>138</v>
      </c>
      <c r="D3" s="8">
        <v>20510</v>
      </c>
      <c r="E3" s="8">
        <v>21279</v>
      </c>
    </row>
    <row r="4" spans="1:10" x14ac:dyDescent="0.3">
      <c r="A4" s="2" t="s">
        <v>205</v>
      </c>
      <c r="B4" s="2" t="s">
        <v>202</v>
      </c>
      <c r="C4" s="2" t="s">
        <v>137</v>
      </c>
      <c r="D4" s="8">
        <v>15972</v>
      </c>
      <c r="E4" s="8">
        <v>13096</v>
      </c>
      <c r="G4" s="9" t="s">
        <v>206</v>
      </c>
      <c r="H4" s="48">
        <f>_xlfn.MAXIFS(E2:E16,B2:B16,B6,C2:C16,C6)</f>
        <v>15414</v>
      </c>
    </row>
    <row r="5" spans="1:10" x14ac:dyDescent="0.3">
      <c r="A5" s="2" t="s">
        <v>207</v>
      </c>
      <c r="B5" s="2" t="s">
        <v>202</v>
      </c>
      <c r="C5" s="2" t="s">
        <v>137</v>
      </c>
      <c r="D5" s="8">
        <v>17347</v>
      </c>
      <c r="E5" s="8">
        <v>10990</v>
      </c>
    </row>
    <row r="6" spans="1:10" x14ac:dyDescent="0.3">
      <c r="A6" s="2" t="s">
        <v>208</v>
      </c>
      <c r="B6" s="2" t="s">
        <v>209</v>
      </c>
      <c r="C6" s="2" t="s">
        <v>138</v>
      </c>
      <c r="D6" s="8">
        <v>19635</v>
      </c>
      <c r="E6" s="8">
        <v>10283</v>
      </c>
      <c r="G6" s="9" t="s">
        <v>210</v>
      </c>
      <c r="H6" s="47"/>
      <c r="I6" s="12"/>
      <c r="J6" s="39"/>
    </row>
    <row r="7" spans="1:10" x14ac:dyDescent="0.3">
      <c r="A7" s="2" t="s">
        <v>150</v>
      </c>
      <c r="B7" s="2" t="s">
        <v>209</v>
      </c>
      <c r="C7" s="2" t="s">
        <v>138</v>
      </c>
      <c r="D7" s="8">
        <v>13190</v>
      </c>
      <c r="E7" s="8">
        <v>15332</v>
      </c>
      <c r="J7" s="46"/>
    </row>
    <row r="8" spans="1:10" x14ac:dyDescent="0.3">
      <c r="A8" s="2" t="s">
        <v>211</v>
      </c>
      <c r="B8" s="2" t="s">
        <v>209</v>
      </c>
      <c r="C8" s="2" t="s">
        <v>138</v>
      </c>
      <c r="D8" s="8">
        <v>17585</v>
      </c>
      <c r="E8" s="8">
        <v>15414</v>
      </c>
      <c r="G8" s="9" t="s">
        <v>212</v>
      </c>
      <c r="H8" s="48">
        <f>SUMIF(B2:B16,B2,E2:E16)+SUMIF(B2:B16,B2,D2:D16)</f>
        <v>140337</v>
      </c>
    </row>
    <row r="9" spans="1:10" x14ac:dyDescent="0.3">
      <c r="A9" s="2" t="s">
        <v>213</v>
      </c>
      <c r="B9" s="2" t="s">
        <v>209</v>
      </c>
      <c r="C9" s="2" t="s">
        <v>137</v>
      </c>
      <c r="D9" s="8">
        <v>19588</v>
      </c>
      <c r="E9" s="8">
        <v>21973</v>
      </c>
    </row>
    <row r="10" spans="1:10" x14ac:dyDescent="0.3">
      <c r="A10" s="2" t="s">
        <v>214</v>
      </c>
      <c r="B10" s="2" t="s">
        <v>209</v>
      </c>
      <c r="C10" s="2" t="s">
        <v>137</v>
      </c>
      <c r="D10" s="8">
        <v>15769</v>
      </c>
      <c r="E10" s="8">
        <v>18721</v>
      </c>
    </row>
    <row r="11" spans="1:10" x14ac:dyDescent="0.3">
      <c r="A11" s="2" t="s">
        <v>215</v>
      </c>
      <c r="B11" s="2" t="s">
        <v>209</v>
      </c>
      <c r="C11" s="2" t="s">
        <v>137</v>
      </c>
      <c r="D11" s="8">
        <v>25347</v>
      </c>
      <c r="E11" s="8">
        <v>25897</v>
      </c>
    </row>
    <row r="12" spans="1:10" x14ac:dyDescent="0.3">
      <c r="A12" s="2" t="s">
        <v>216</v>
      </c>
      <c r="B12" s="2" t="s">
        <v>217</v>
      </c>
      <c r="C12" s="2" t="s">
        <v>138</v>
      </c>
      <c r="D12" s="8">
        <v>29120</v>
      </c>
      <c r="E12" s="8">
        <v>21824</v>
      </c>
    </row>
    <row r="13" spans="1:10" x14ac:dyDescent="0.3">
      <c r="A13" s="2" t="s">
        <v>218</v>
      </c>
      <c r="B13" s="2" t="s">
        <v>217</v>
      </c>
      <c r="C13" s="2" t="s">
        <v>138</v>
      </c>
      <c r="D13" s="8">
        <v>19325</v>
      </c>
      <c r="E13" s="8">
        <v>26697</v>
      </c>
    </row>
    <row r="14" spans="1:10" x14ac:dyDescent="0.3">
      <c r="A14" s="2" t="s">
        <v>219</v>
      </c>
      <c r="B14" s="2" t="s">
        <v>217</v>
      </c>
      <c r="C14" s="2" t="s">
        <v>138</v>
      </c>
      <c r="D14" s="8">
        <v>23810</v>
      </c>
      <c r="E14" s="8">
        <v>28543</v>
      </c>
    </row>
    <row r="15" spans="1:10" x14ac:dyDescent="0.3">
      <c r="A15" s="2" t="s">
        <v>220</v>
      </c>
      <c r="B15" s="2" t="s">
        <v>217</v>
      </c>
      <c r="C15" s="2" t="s">
        <v>137</v>
      </c>
      <c r="D15" s="8">
        <v>26508</v>
      </c>
      <c r="E15" s="8">
        <v>28682</v>
      </c>
    </row>
    <row r="16" spans="1:10" x14ac:dyDescent="0.3">
      <c r="A16" s="2" t="s">
        <v>221</v>
      </c>
      <c r="B16" s="2" t="s">
        <v>217</v>
      </c>
      <c r="C16" s="2" t="s">
        <v>137</v>
      </c>
      <c r="D16" s="8">
        <v>17872</v>
      </c>
      <c r="E16" s="8">
        <v>17631</v>
      </c>
    </row>
  </sheetData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9DD7-CE16-4225-9641-0998334F70BF}">
  <sheetPr>
    <tabColor theme="5" tint="0.39997558519241921"/>
  </sheetPr>
  <dimension ref="A1:L62"/>
  <sheetViews>
    <sheetView topLeftCell="B1" zoomScale="85" zoomScaleNormal="85" workbookViewId="0">
      <selection activeCell="K8" sqref="K8"/>
    </sheetView>
  </sheetViews>
  <sheetFormatPr defaultColWidth="9.21875" defaultRowHeight="14.4" x14ac:dyDescent="0.3"/>
  <cols>
    <col min="1" max="1" width="1.21875" style="49" customWidth="1"/>
    <col min="2" max="2" width="9.44140625" style="49" customWidth="1"/>
    <col min="3" max="3" width="18.77734375" style="68" customWidth="1"/>
    <col min="4" max="4" width="14.44140625" style="68" customWidth="1"/>
    <col min="5" max="6" width="14.44140625" style="49" customWidth="1"/>
    <col min="7" max="7" width="16.21875" style="49" customWidth="1"/>
    <col min="8" max="8" width="3.44140625" style="49" customWidth="1"/>
    <col min="9" max="9" width="13.5546875" style="49" customWidth="1"/>
    <col min="10" max="10" width="15.77734375" style="49" bestFit="1" customWidth="1"/>
    <col min="11" max="11" width="15.21875" style="49" customWidth="1"/>
    <col min="12" max="12" width="14.44140625" style="49" bestFit="1" customWidth="1"/>
    <col min="13" max="16384" width="9.21875" style="49"/>
  </cols>
  <sheetData>
    <row r="1" spans="1:12" ht="15" thickBot="1" x14ac:dyDescent="0.35"/>
    <row r="2" spans="1:12" ht="24" thickBot="1" x14ac:dyDescent="0.35">
      <c r="B2" s="118" t="s">
        <v>3504</v>
      </c>
      <c r="C2" s="119"/>
      <c r="D2" s="119"/>
      <c r="E2" s="119"/>
      <c r="F2" s="119"/>
      <c r="G2" s="120"/>
    </row>
    <row r="4" spans="1:12" ht="15.6" x14ac:dyDescent="0.3">
      <c r="B4" s="92" t="s">
        <v>3500</v>
      </c>
      <c r="C4" s="92" t="s">
        <v>3496</v>
      </c>
      <c r="D4" s="92" t="s">
        <v>3503</v>
      </c>
      <c r="E4" s="92" t="s">
        <v>3502</v>
      </c>
      <c r="F4" s="92" t="s">
        <v>3501</v>
      </c>
      <c r="G4" s="91" t="s">
        <v>3499</v>
      </c>
    </row>
    <row r="5" spans="1:12" x14ac:dyDescent="0.3">
      <c r="A5" s="60"/>
      <c r="B5" s="87" t="s">
        <v>3497</v>
      </c>
      <c r="C5" s="83" t="s">
        <v>3491</v>
      </c>
      <c r="D5" s="82">
        <v>800</v>
      </c>
      <c r="E5" s="82">
        <v>650</v>
      </c>
      <c r="F5" s="82">
        <v>700</v>
      </c>
      <c r="G5" s="81">
        <f>SUM(D5:F5)</f>
        <v>2150</v>
      </c>
    </row>
    <row r="6" spans="1:12" ht="13.5" customHeight="1" x14ac:dyDescent="0.3">
      <c r="A6" s="60"/>
      <c r="B6" s="87" t="s">
        <v>3497</v>
      </c>
      <c r="C6" s="83" t="s">
        <v>3312</v>
      </c>
      <c r="D6" s="82">
        <v>900</v>
      </c>
      <c r="E6" s="82">
        <v>850</v>
      </c>
      <c r="F6" s="82">
        <v>850</v>
      </c>
      <c r="G6" s="81">
        <f t="shared" ref="G6:G62" si="0">SUM(D6:F6)</f>
        <v>2600</v>
      </c>
      <c r="J6" s="90"/>
      <c r="K6" s="90"/>
      <c r="L6" s="88"/>
    </row>
    <row r="7" spans="1:12" ht="13.5" customHeight="1" x14ac:dyDescent="0.3">
      <c r="A7" s="60"/>
      <c r="B7" s="87" t="s">
        <v>3497</v>
      </c>
      <c r="C7" s="83" t="s">
        <v>3485</v>
      </c>
      <c r="D7" s="82">
        <v>4850</v>
      </c>
      <c r="E7" s="82">
        <v>3200</v>
      </c>
      <c r="F7" s="82">
        <v>1155</v>
      </c>
      <c r="G7" s="81">
        <f t="shared" si="0"/>
        <v>9205</v>
      </c>
      <c r="I7" s="86" t="s">
        <v>3500</v>
      </c>
      <c r="J7" s="86" t="s">
        <v>3496</v>
      </c>
      <c r="K7" s="86" t="s">
        <v>3499</v>
      </c>
      <c r="L7" s="88"/>
    </row>
    <row r="8" spans="1:12" ht="13.5" customHeight="1" x14ac:dyDescent="0.3">
      <c r="A8" s="60"/>
      <c r="B8" s="87" t="s">
        <v>3497</v>
      </c>
      <c r="C8" s="83" t="s">
        <v>3492</v>
      </c>
      <c r="D8" s="82">
        <v>1250</v>
      </c>
      <c r="E8" s="82">
        <v>1250</v>
      </c>
      <c r="F8" s="82">
        <v>1250</v>
      </c>
      <c r="G8" s="81">
        <f t="shared" si="0"/>
        <v>3750</v>
      </c>
      <c r="I8" s="85" t="s">
        <v>3497</v>
      </c>
      <c r="J8" s="85" t="s">
        <v>3487</v>
      </c>
      <c r="K8" s="89"/>
      <c r="L8" s="88"/>
    </row>
    <row r="9" spans="1:12" ht="13.5" customHeight="1" x14ac:dyDescent="0.3">
      <c r="A9" s="60"/>
      <c r="B9" s="87" t="s">
        <v>3497</v>
      </c>
      <c r="C9" s="83" t="s">
        <v>3487</v>
      </c>
      <c r="D9" s="82">
        <v>2025</v>
      </c>
      <c r="E9" s="82">
        <v>2200</v>
      </c>
      <c r="F9" s="82">
        <v>1650</v>
      </c>
      <c r="G9" s="81">
        <f t="shared" si="0"/>
        <v>5875</v>
      </c>
      <c r="L9" s="88"/>
    </row>
    <row r="10" spans="1:12" ht="13.5" customHeight="1" x14ac:dyDescent="0.3">
      <c r="A10" s="60"/>
      <c r="B10" s="87" t="s">
        <v>3497</v>
      </c>
      <c r="C10" s="83" t="s">
        <v>3489</v>
      </c>
      <c r="D10" s="82">
        <v>1350</v>
      </c>
      <c r="E10" s="82">
        <v>1500</v>
      </c>
      <c r="F10" s="82">
        <v>1700</v>
      </c>
      <c r="G10" s="81">
        <f t="shared" si="0"/>
        <v>4550</v>
      </c>
    </row>
    <row r="11" spans="1:12" x14ac:dyDescent="0.3">
      <c r="A11" s="60"/>
      <c r="B11" s="87" t="s">
        <v>3497</v>
      </c>
      <c r="C11" s="83" t="s">
        <v>3490</v>
      </c>
      <c r="D11" s="82">
        <v>3300</v>
      </c>
      <c r="E11" s="82">
        <v>3500</v>
      </c>
      <c r="F11" s="82">
        <v>3700</v>
      </c>
      <c r="G11" s="81">
        <f t="shared" si="0"/>
        <v>10500</v>
      </c>
    </row>
    <row r="12" spans="1:12" x14ac:dyDescent="0.3">
      <c r="A12" s="60"/>
      <c r="B12" s="87" t="s">
        <v>3497</v>
      </c>
      <c r="C12" s="83" t="s">
        <v>3486</v>
      </c>
      <c r="D12" s="82">
        <v>3825</v>
      </c>
      <c r="E12" s="82">
        <v>3725</v>
      </c>
      <c r="F12" s="82">
        <v>3750</v>
      </c>
      <c r="G12" s="81">
        <f t="shared" si="0"/>
        <v>11300</v>
      </c>
    </row>
    <row r="13" spans="1:12" ht="15.6" x14ac:dyDescent="0.3">
      <c r="A13" s="60"/>
      <c r="B13" s="87" t="s">
        <v>3497</v>
      </c>
      <c r="C13" s="83" t="s">
        <v>3488</v>
      </c>
      <c r="D13" s="82">
        <v>8900</v>
      </c>
      <c r="E13" s="82">
        <v>10315</v>
      </c>
      <c r="F13" s="82">
        <v>5250</v>
      </c>
      <c r="G13" s="81">
        <f t="shared" si="0"/>
        <v>24465</v>
      </c>
      <c r="I13" s="86" t="s">
        <v>3496</v>
      </c>
      <c r="J13" s="86" t="s">
        <v>3498</v>
      </c>
    </row>
    <row r="14" spans="1:12" x14ac:dyDescent="0.3">
      <c r="A14" s="60"/>
      <c r="B14" s="87" t="s">
        <v>3497</v>
      </c>
      <c r="C14" s="83" t="s">
        <v>3483</v>
      </c>
      <c r="D14" s="82">
        <v>6250</v>
      </c>
      <c r="E14" s="82">
        <v>6000</v>
      </c>
      <c r="F14" s="82">
        <v>6500</v>
      </c>
      <c r="G14" s="81">
        <f t="shared" si="0"/>
        <v>18750</v>
      </c>
      <c r="I14" s="85" t="s">
        <v>3487</v>
      </c>
      <c r="J14" s="84"/>
    </row>
    <row r="15" spans="1:12" x14ac:dyDescent="0.3">
      <c r="A15" s="60"/>
      <c r="B15" s="87" t="s">
        <v>3497</v>
      </c>
      <c r="C15" s="83" t="s">
        <v>3484</v>
      </c>
      <c r="D15" s="82">
        <v>8000</v>
      </c>
      <c r="E15" s="82">
        <v>8000</v>
      </c>
      <c r="F15" s="82">
        <v>8000</v>
      </c>
      <c r="G15" s="81">
        <f t="shared" si="0"/>
        <v>24000</v>
      </c>
    </row>
    <row r="16" spans="1:12" x14ac:dyDescent="0.3">
      <c r="A16" s="60"/>
      <c r="B16" s="87" t="s">
        <v>3497</v>
      </c>
      <c r="C16" s="83" t="s">
        <v>3481</v>
      </c>
      <c r="D16" s="82">
        <v>11500</v>
      </c>
      <c r="E16" s="82">
        <v>12500</v>
      </c>
      <c r="F16" s="82">
        <v>12500</v>
      </c>
      <c r="G16" s="81">
        <f t="shared" si="0"/>
        <v>36500</v>
      </c>
    </row>
    <row r="17" spans="1:10" x14ac:dyDescent="0.3">
      <c r="A17" s="60"/>
      <c r="B17" s="87" t="s">
        <v>3497</v>
      </c>
      <c r="C17" s="83" t="s">
        <v>3482</v>
      </c>
      <c r="D17" s="82">
        <v>12250</v>
      </c>
      <c r="E17" s="82">
        <v>12250</v>
      </c>
      <c r="F17" s="82">
        <v>12750</v>
      </c>
      <c r="G17" s="81">
        <f t="shared" si="0"/>
        <v>37250</v>
      </c>
    </row>
    <row r="18" spans="1:10" x14ac:dyDescent="0.3">
      <c r="A18" s="60"/>
      <c r="B18" s="87" t="s">
        <v>3497</v>
      </c>
      <c r="C18" s="83" t="s">
        <v>3478</v>
      </c>
      <c r="D18" s="82">
        <v>25000</v>
      </c>
      <c r="E18" s="82">
        <v>24000</v>
      </c>
      <c r="F18" s="82">
        <v>26390</v>
      </c>
      <c r="G18" s="81">
        <f t="shared" si="0"/>
        <v>75390</v>
      </c>
    </row>
    <row r="19" spans="1:10" ht="15.6" x14ac:dyDescent="0.3">
      <c r="A19" s="60"/>
      <c r="B19" s="83" t="s">
        <v>3494</v>
      </c>
      <c r="C19" s="83" t="s">
        <v>3491</v>
      </c>
      <c r="D19" s="82">
        <v>800</v>
      </c>
      <c r="E19" s="82">
        <v>950</v>
      </c>
      <c r="F19" s="82">
        <v>750</v>
      </c>
      <c r="G19" s="81">
        <f t="shared" si="0"/>
        <v>2500</v>
      </c>
      <c r="I19" s="86" t="s">
        <v>3496</v>
      </c>
      <c r="J19" s="86" t="s">
        <v>3495</v>
      </c>
    </row>
    <row r="20" spans="1:10" x14ac:dyDescent="0.3">
      <c r="B20" s="83" t="s">
        <v>3494</v>
      </c>
      <c r="C20" s="83" t="s">
        <v>3492</v>
      </c>
      <c r="D20" s="82">
        <v>850</v>
      </c>
      <c r="E20" s="82">
        <v>750</v>
      </c>
      <c r="F20" s="82">
        <v>800</v>
      </c>
      <c r="G20" s="81">
        <f t="shared" si="0"/>
        <v>2400</v>
      </c>
      <c r="I20" s="85" t="s">
        <v>3484</v>
      </c>
      <c r="J20" s="84"/>
    </row>
    <row r="21" spans="1:10" x14ac:dyDescent="0.3">
      <c r="B21" s="83" t="s">
        <v>3494</v>
      </c>
      <c r="C21" s="83" t="s">
        <v>3489</v>
      </c>
      <c r="D21" s="82">
        <v>940</v>
      </c>
      <c r="E21" s="82">
        <v>950</v>
      </c>
      <c r="F21" s="82">
        <v>820</v>
      </c>
      <c r="G21" s="81">
        <f t="shared" si="0"/>
        <v>2710</v>
      </c>
    </row>
    <row r="22" spans="1:10" x14ac:dyDescent="0.3">
      <c r="B22" s="83" t="s">
        <v>3494</v>
      </c>
      <c r="C22" s="83" t="s">
        <v>3312</v>
      </c>
      <c r="D22" s="82">
        <v>980</v>
      </c>
      <c r="E22" s="82">
        <v>850</v>
      </c>
      <c r="F22" s="82">
        <v>950</v>
      </c>
      <c r="G22" s="81">
        <f t="shared" si="0"/>
        <v>2780</v>
      </c>
    </row>
    <row r="23" spans="1:10" x14ac:dyDescent="0.3">
      <c r="B23" s="83" t="s">
        <v>3494</v>
      </c>
      <c r="C23" s="83" t="s">
        <v>3488</v>
      </c>
      <c r="D23" s="82">
        <v>1250</v>
      </c>
      <c r="E23" s="82">
        <v>1250</v>
      </c>
      <c r="F23" s="82">
        <v>1250</v>
      </c>
      <c r="G23" s="81">
        <f t="shared" si="0"/>
        <v>3750</v>
      </c>
    </row>
    <row r="24" spans="1:10" x14ac:dyDescent="0.3">
      <c r="B24" s="83" t="s">
        <v>3494</v>
      </c>
      <c r="C24" s="83" t="s">
        <v>3487</v>
      </c>
      <c r="D24" s="82">
        <v>1150</v>
      </c>
      <c r="E24" s="82">
        <v>1255</v>
      </c>
      <c r="F24" s="82">
        <v>1400</v>
      </c>
      <c r="G24" s="81">
        <f t="shared" si="0"/>
        <v>3805</v>
      </c>
    </row>
    <row r="25" spans="1:10" x14ac:dyDescent="0.3">
      <c r="B25" s="83" t="s">
        <v>3494</v>
      </c>
      <c r="C25" s="83" t="s">
        <v>3490</v>
      </c>
      <c r="D25" s="82">
        <v>2410</v>
      </c>
      <c r="E25" s="82">
        <v>1850</v>
      </c>
      <c r="F25" s="82">
        <v>2390</v>
      </c>
      <c r="G25" s="81">
        <f t="shared" si="0"/>
        <v>6650</v>
      </c>
    </row>
    <row r="26" spans="1:10" x14ac:dyDescent="0.3">
      <c r="B26" s="83" t="s">
        <v>3494</v>
      </c>
      <c r="C26" s="83" t="s">
        <v>3486</v>
      </c>
      <c r="D26" s="82">
        <v>3200</v>
      </c>
      <c r="E26" s="82">
        <v>3760</v>
      </c>
      <c r="F26" s="82">
        <v>3750</v>
      </c>
      <c r="G26" s="81">
        <f t="shared" si="0"/>
        <v>10710</v>
      </c>
    </row>
    <row r="27" spans="1:10" x14ac:dyDescent="0.3">
      <c r="B27" s="83" t="s">
        <v>3494</v>
      </c>
      <c r="C27" s="83" t="s">
        <v>3485</v>
      </c>
      <c r="D27" s="82">
        <v>5000</v>
      </c>
      <c r="E27" s="82">
        <v>4800</v>
      </c>
      <c r="F27" s="82">
        <v>4500</v>
      </c>
      <c r="G27" s="81">
        <f t="shared" si="0"/>
        <v>14300</v>
      </c>
    </row>
    <row r="28" spans="1:10" x14ac:dyDescent="0.3">
      <c r="B28" s="83" t="s">
        <v>3494</v>
      </c>
      <c r="C28" s="83" t="s">
        <v>3483</v>
      </c>
      <c r="D28" s="82">
        <v>5250</v>
      </c>
      <c r="E28" s="82">
        <v>8990</v>
      </c>
      <c r="F28" s="82">
        <v>5515</v>
      </c>
      <c r="G28" s="81">
        <f t="shared" si="0"/>
        <v>19755</v>
      </c>
    </row>
    <row r="29" spans="1:10" x14ac:dyDescent="0.3">
      <c r="B29" s="83" t="s">
        <v>3494</v>
      </c>
      <c r="C29" s="83" t="s">
        <v>3484</v>
      </c>
      <c r="D29" s="82">
        <v>6020</v>
      </c>
      <c r="E29" s="82">
        <v>6020</v>
      </c>
      <c r="F29" s="82">
        <v>6020</v>
      </c>
      <c r="G29" s="81">
        <f t="shared" si="0"/>
        <v>18060</v>
      </c>
    </row>
    <row r="30" spans="1:10" x14ac:dyDescent="0.3">
      <c r="B30" s="83" t="s">
        <v>3494</v>
      </c>
      <c r="C30" s="83" t="s">
        <v>3481</v>
      </c>
      <c r="D30" s="82">
        <v>12940</v>
      </c>
      <c r="E30" s="82">
        <v>11300</v>
      </c>
      <c r="F30" s="82">
        <v>11500</v>
      </c>
      <c r="G30" s="81">
        <f t="shared" si="0"/>
        <v>35740</v>
      </c>
    </row>
    <row r="31" spans="1:10" x14ac:dyDescent="0.3">
      <c r="B31" s="83" t="s">
        <v>3494</v>
      </c>
      <c r="C31" s="83" t="s">
        <v>3482</v>
      </c>
      <c r="D31" s="82">
        <v>14250</v>
      </c>
      <c r="E31" s="82">
        <v>15250</v>
      </c>
      <c r="F31" s="82">
        <v>12050</v>
      </c>
      <c r="G31" s="81">
        <f t="shared" si="0"/>
        <v>41550</v>
      </c>
    </row>
    <row r="32" spans="1:10" x14ac:dyDescent="0.3">
      <c r="B32" s="83" t="s">
        <v>3494</v>
      </c>
      <c r="C32" s="83" t="s">
        <v>3478</v>
      </c>
      <c r="D32" s="82">
        <v>25700</v>
      </c>
      <c r="E32" s="82">
        <v>24200</v>
      </c>
      <c r="F32" s="82">
        <v>26930</v>
      </c>
      <c r="G32" s="81">
        <f t="shared" si="0"/>
        <v>76830</v>
      </c>
    </row>
    <row r="33" spans="2:7" x14ac:dyDescent="0.3">
      <c r="B33" s="83" t="s">
        <v>3493</v>
      </c>
      <c r="C33" s="83" t="s">
        <v>3492</v>
      </c>
      <c r="D33" s="82">
        <v>2140</v>
      </c>
      <c r="E33" s="82">
        <v>2310</v>
      </c>
      <c r="F33" s="82">
        <v>2000</v>
      </c>
      <c r="G33" s="81">
        <f t="shared" si="0"/>
        <v>6450</v>
      </c>
    </row>
    <row r="34" spans="2:7" x14ac:dyDescent="0.3">
      <c r="B34" s="83" t="s">
        <v>3493</v>
      </c>
      <c r="C34" s="83" t="s">
        <v>3491</v>
      </c>
      <c r="D34" s="82">
        <v>730</v>
      </c>
      <c r="E34" s="82">
        <v>525</v>
      </c>
      <c r="F34" s="82">
        <v>430</v>
      </c>
      <c r="G34" s="81">
        <f t="shared" si="0"/>
        <v>1685</v>
      </c>
    </row>
    <row r="35" spans="2:7" x14ac:dyDescent="0.3">
      <c r="B35" s="83" t="s">
        <v>3493</v>
      </c>
      <c r="C35" s="83" t="s">
        <v>3312</v>
      </c>
      <c r="D35" s="82">
        <v>700</v>
      </c>
      <c r="E35" s="82">
        <v>750</v>
      </c>
      <c r="F35" s="82">
        <v>750</v>
      </c>
      <c r="G35" s="81">
        <f t="shared" si="0"/>
        <v>2200</v>
      </c>
    </row>
    <row r="36" spans="2:7" x14ac:dyDescent="0.3">
      <c r="B36" s="83" t="s">
        <v>3493</v>
      </c>
      <c r="C36" s="83" t="s">
        <v>3489</v>
      </c>
      <c r="D36" s="82">
        <v>2000</v>
      </c>
      <c r="E36" s="82">
        <v>950</v>
      </c>
      <c r="F36" s="82">
        <v>800</v>
      </c>
      <c r="G36" s="81">
        <f t="shared" si="0"/>
        <v>3750</v>
      </c>
    </row>
    <row r="37" spans="2:7" x14ac:dyDescent="0.3">
      <c r="B37" s="83" t="s">
        <v>3493</v>
      </c>
      <c r="C37" s="83" t="s">
        <v>3490</v>
      </c>
      <c r="D37" s="82">
        <v>745</v>
      </c>
      <c r="E37" s="82">
        <v>780</v>
      </c>
      <c r="F37" s="82">
        <v>900</v>
      </c>
      <c r="G37" s="81">
        <f t="shared" si="0"/>
        <v>2425</v>
      </c>
    </row>
    <row r="38" spans="2:7" x14ac:dyDescent="0.3">
      <c r="B38" s="83" t="s">
        <v>3493</v>
      </c>
      <c r="C38" s="83" t="s">
        <v>3487</v>
      </c>
      <c r="D38" s="82">
        <v>1150</v>
      </c>
      <c r="E38" s="82">
        <v>1200</v>
      </c>
      <c r="F38" s="82">
        <v>1400</v>
      </c>
      <c r="G38" s="81">
        <f t="shared" si="0"/>
        <v>3750</v>
      </c>
    </row>
    <row r="39" spans="2:7" x14ac:dyDescent="0.3">
      <c r="B39" s="83" t="s">
        <v>3493</v>
      </c>
      <c r="C39" s="83" t="s">
        <v>3485</v>
      </c>
      <c r="D39" s="82">
        <v>2780</v>
      </c>
      <c r="E39" s="82">
        <v>3590</v>
      </c>
      <c r="F39" s="82">
        <v>2300</v>
      </c>
      <c r="G39" s="81">
        <f t="shared" si="0"/>
        <v>8670</v>
      </c>
    </row>
    <row r="40" spans="2:7" x14ac:dyDescent="0.3">
      <c r="B40" s="83" t="s">
        <v>3493</v>
      </c>
      <c r="C40" s="83" t="s">
        <v>3488</v>
      </c>
      <c r="D40" s="82">
        <v>3490</v>
      </c>
      <c r="E40" s="82">
        <v>32840</v>
      </c>
      <c r="F40" s="82">
        <v>3070</v>
      </c>
      <c r="G40" s="81">
        <f t="shared" si="0"/>
        <v>39400</v>
      </c>
    </row>
    <row r="41" spans="2:7" x14ac:dyDescent="0.3">
      <c r="B41" s="83" t="s">
        <v>3493</v>
      </c>
      <c r="C41" s="83" t="s">
        <v>3484</v>
      </c>
      <c r="D41" s="82">
        <v>4700</v>
      </c>
      <c r="E41" s="82">
        <v>4700</v>
      </c>
      <c r="F41" s="82">
        <v>4700</v>
      </c>
      <c r="G41" s="81">
        <f t="shared" si="0"/>
        <v>14100</v>
      </c>
    </row>
    <row r="42" spans="2:7" x14ac:dyDescent="0.3">
      <c r="B42" s="83" t="s">
        <v>3493</v>
      </c>
      <c r="C42" s="83" t="s">
        <v>3483</v>
      </c>
      <c r="D42" s="82">
        <v>5250</v>
      </c>
      <c r="E42" s="82">
        <v>5000</v>
      </c>
      <c r="F42" s="82">
        <v>5500</v>
      </c>
      <c r="G42" s="81">
        <f t="shared" si="0"/>
        <v>15750</v>
      </c>
    </row>
    <row r="43" spans="2:7" x14ac:dyDescent="0.3">
      <c r="B43" s="83" t="s">
        <v>3493</v>
      </c>
      <c r="C43" s="83" t="s">
        <v>3486</v>
      </c>
      <c r="D43" s="82">
        <v>6980</v>
      </c>
      <c r="E43" s="82">
        <v>6310</v>
      </c>
      <c r="F43" s="82">
        <v>6375</v>
      </c>
      <c r="G43" s="81">
        <f t="shared" si="0"/>
        <v>19665</v>
      </c>
    </row>
    <row r="44" spans="2:7" x14ac:dyDescent="0.3">
      <c r="B44" s="83" t="s">
        <v>3493</v>
      </c>
      <c r="C44" s="83" t="s">
        <v>3482</v>
      </c>
      <c r="D44" s="82">
        <v>11250</v>
      </c>
      <c r="E44" s="82">
        <v>11250</v>
      </c>
      <c r="F44" s="82">
        <v>11750</v>
      </c>
      <c r="G44" s="81">
        <f t="shared" si="0"/>
        <v>34250</v>
      </c>
    </row>
    <row r="45" spans="2:7" x14ac:dyDescent="0.3">
      <c r="B45" s="83" t="s">
        <v>3493</v>
      </c>
      <c r="C45" s="83" t="s">
        <v>3481</v>
      </c>
      <c r="D45" s="82">
        <v>24500</v>
      </c>
      <c r="E45" s="82">
        <v>23500</v>
      </c>
      <c r="F45" s="82">
        <v>24500</v>
      </c>
      <c r="G45" s="81">
        <f t="shared" si="0"/>
        <v>72500</v>
      </c>
    </row>
    <row r="46" spans="2:7" x14ac:dyDescent="0.3">
      <c r="B46" s="83" t="s">
        <v>3493</v>
      </c>
      <c r="C46" s="83" t="s">
        <v>3480</v>
      </c>
      <c r="D46" s="82">
        <v>56900</v>
      </c>
      <c r="E46" s="82">
        <v>62800</v>
      </c>
      <c r="F46" s="82">
        <v>60870</v>
      </c>
      <c r="G46" s="81">
        <f t="shared" si="0"/>
        <v>180570</v>
      </c>
    </row>
    <row r="47" spans="2:7" x14ac:dyDescent="0.3">
      <c r="B47" s="83" t="s">
        <v>3493</v>
      </c>
      <c r="C47" s="83" t="s">
        <v>3478</v>
      </c>
      <c r="D47" s="82">
        <v>24290</v>
      </c>
      <c r="E47" s="82">
        <v>24050</v>
      </c>
      <c r="F47" s="82">
        <v>26600</v>
      </c>
      <c r="G47" s="81">
        <f t="shared" si="0"/>
        <v>74940</v>
      </c>
    </row>
    <row r="48" spans="2:7" x14ac:dyDescent="0.3">
      <c r="B48" s="83" t="s">
        <v>3479</v>
      </c>
      <c r="C48" s="83" t="s">
        <v>3492</v>
      </c>
      <c r="D48" s="82">
        <v>775</v>
      </c>
      <c r="E48" s="82">
        <v>750</v>
      </c>
      <c r="F48" s="82">
        <v>700</v>
      </c>
      <c r="G48" s="81">
        <f t="shared" si="0"/>
        <v>2225</v>
      </c>
    </row>
    <row r="49" spans="2:7" x14ac:dyDescent="0.3">
      <c r="B49" s="83" t="s">
        <v>3479</v>
      </c>
      <c r="C49" s="83" t="s">
        <v>3312</v>
      </c>
      <c r="D49" s="82">
        <v>700</v>
      </c>
      <c r="E49" s="82">
        <v>750</v>
      </c>
      <c r="F49" s="82">
        <v>750</v>
      </c>
      <c r="G49" s="81">
        <f t="shared" si="0"/>
        <v>2200</v>
      </c>
    </row>
    <row r="50" spans="2:7" x14ac:dyDescent="0.3">
      <c r="B50" s="83" t="s">
        <v>3479</v>
      </c>
      <c r="C50" s="83" t="s">
        <v>3491</v>
      </c>
      <c r="D50" s="82">
        <v>300</v>
      </c>
      <c r="E50" s="82">
        <v>100</v>
      </c>
      <c r="F50" s="82">
        <v>150</v>
      </c>
      <c r="G50" s="81">
        <f t="shared" si="0"/>
        <v>550</v>
      </c>
    </row>
    <row r="51" spans="2:7" x14ac:dyDescent="0.3">
      <c r="B51" s="83" t="s">
        <v>3479</v>
      </c>
      <c r="C51" s="83" t="s">
        <v>3490</v>
      </c>
      <c r="D51" s="82">
        <v>2000</v>
      </c>
      <c r="E51" s="82">
        <v>1800</v>
      </c>
      <c r="F51" s="82">
        <v>1900</v>
      </c>
      <c r="G51" s="81">
        <f t="shared" si="0"/>
        <v>5700</v>
      </c>
    </row>
    <row r="52" spans="2:7" x14ac:dyDescent="0.3">
      <c r="B52" s="83" t="s">
        <v>3479</v>
      </c>
      <c r="C52" s="83" t="s">
        <v>3489</v>
      </c>
      <c r="D52" s="82">
        <v>2000</v>
      </c>
      <c r="E52" s="82">
        <v>950</v>
      </c>
      <c r="F52" s="82">
        <v>800</v>
      </c>
      <c r="G52" s="81">
        <f t="shared" si="0"/>
        <v>3750</v>
      </c>
    </row>
    <row r="53" spans="2:7" x14ac:dyDescent="0.3">
      <c r="B53" s="83" t="s">
        <v>3479</v>
      </c>
      <c r="C53" s="83" t="s">
        <v>3488</v>
      </c>
      <c r="D53" s="82">
        <v>1250</v>
      </c>
      <c r="E53" s="82">
        <v>1250</v>
      </c>
      <c r="F53" s="82">
        <v>1250</v>
      </c>
      <c r="G53" s="81">
        <f t="shared" si="0"/>
        <v>3750</v>
      </c>
    </row>
    <row r="54" spans="2:7" x14ac:dyDescent="0.3">
      <c r="B54" s="83" t="s">
        <v>3479</v>
      </c>
      <c r="C54" s="83" t="s">
        <v>3487</v>
      </c>
      <c r="D54" s="82">
        <v>1150</v>
      </c>
      <c r="E54" s="82">
        <v>1200</v>
      </c>
      <c r="F54" s="82">
        <v>1435</v>
      </c>
      <c r="G54" s="81">
        <f t="shared" si="0"/>
        <v>3785</v>
      </c>
    </row>
    <row r="55" spans="2:7" x14ac:dyDescent="0.3">
      <c r="B55" s="83" t="s">
        <v>3479</v>
      </c>
      <c r="C55" s="83" t="s">
        <v>3486</v>
      </c>
      <c r="D55" s="82">
        <v>3800</v>
      </c>
      <c r="E55" s="82">
        <v>3700</v>
      </c>
      <c r="F55" s="82">
        <v>3750</v>
      </c>
      <c r="G55" s="81">
        <f t="shared" si="0"/>
        <v>11250</v>
      </c>
    </row>
    <row r="56" spans="2:7" x14ac:dyDescent="0.3">
      <c r="B56" s="83" t="s">
        <v>3479</v>
      </c>
      <c r="C56" s="83" t="s">
        <v>3485</v>
      </c>
      <c r="D56" s="82">
        <v>5000</v>
      </c>
      <c r="E56" s="82">
        <v>4800</v>
      </c>
      <c r="F56" s="82">
        <v>4545</v>
      </c>
      <c r="G56" s="81">
        <f t="shared" si="0"/>
        <v>14345</v>
      </c>
    </row>
    <row r="57" spans="2:7" x14ac:dyDescent="0.3">
      <c r="B57" s="83" t="s">
        <v>3479</v>
      </c>
      <c r="C57" s="83" t="s">
        <v>3484</v>
      </c>
      <c r="D57" s="82">
        <v>5000</v>
      </c>
      <c r="E57" s="82">
        <v>5000</v>
      </c>
      <c r="F57" s="82">
        <v>5000</v>
      </c>
      <c r="G57" s="81">
        <f t="shared" si="0"/>
        <v>15000</v>
      </c>
    </row>
    <row r="58" spans="2:7" x14ac:dyDescent="0.3">
      <c r="B58" s="83" t="s">
        <v>3479</v>
      </c>
      <c r="C58" s="83" t="s">
        <v>3483</v>
      </c>
      <c r="D58" s="82">
        <v>5250</v>
      </c>
      <c r="E58" s="82">
        <v>5335</v>
      </c>
      <c r="F58" s="82">
        <v>5500</v>
      </c>
      <c r="G58" s="81">
        <f t="shared" si="0"/>
        <v>16085</v>
      </c>
    </row>
    <row r="59" spans="2:7" x14ac:dyDescent="0.3">
      <c r="B59" s="83" t="s">
        <v>3479</v>
      </c>
      <c r="C59" s="83" t="s">
        <v>3482</v>
      </c>
      <c r="D59" s="82">
        <v>10250</v>
      </c>
      <c r="E59" s="82">
        <v>10250</v>
      </c>
      <c r="F59" s="82">
        <v>10750</v>
      </c>
      <c r="G59" s="81">
        <f t="shared" si="0"/>
        <v>31250</v>
      </c>
    </row>
    <row r="60" spans="2:7" x14ac:dyDescent="0.3">
      <c r="B60" s="83" t="s">
        <v>3479</v>
      </c>
      <c r="C60" s="83" t="s">
        <v>3481</v>
      </c>
      <c r="D60" s="82">
        <v>14500</v>
      </c>
      <c r="E60" s="82">
        <v>13500</v>
      </c>
      <c r="F60" s="82">
        <v>15500</v>
      </c>
      <c r="G60" s="81">
        <f t="shared" si="0"/>
        <v>43500</v>
      </c>
    </row>
    <row r="61" spans="2:7" x14ac:dyDescent="0.3">
      <c r="B61" s="83" t="s">
        <v>3479</v>
      </c>
      <c r="C61" s="83" t="s">
        <v>3480</v>
      </c>
      <c r="D61" s="82">
        <v>72000</v>
      </c>
      <c r="E61" s="82">
        <v>70000</v>
      </c>
      <c r="F61" s="82">
        <v>70000</v>
      </c>
      <c r="G61" s="81">
        <f t="shared" si="0"/>
        <v>212000</v>
      </c>
    </row>
    <row r="62" spans="2:7" x14ac:dyDescent="0.3">
      <c r="B62" s="83" t="s">
        <v>3479</v>
      </c>
      <c r="C62" s="83" t="s">
        <v>3478</v>
      </c>
      <c r="D62" s="82">
        <v>25000</v>
      </c>
      <c r="E62" s="82">
        <v>24000</v>
      </c>
      <c r="F62" s="82">
        <v>26000</v>
      </c>
      <c r="G62" s="81">
        <f t="shared" si="0"/>
        <v>75000</v>
      </c>
    </row>
  </sheetData>
  <mergeCells count="1">
    <mergeCell ref="B2:G2"/>
  </mergeCells>
  <printOptions gridLines="1" gridLinesSet="0"/>
  <pageMargins left="0.75" right="0.75" top="1" bottom="1" header="0.5" footer="0.5"/>
  <pageSetup orientation="portrait" horizontalDpi="300" verticalDpi="300" r:id="rId1"/>
  <headerFooter alignWithMargins="0">
    <oddHeader>&amp;A</oddHead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39997558519241921"/>
  </sheetPr>
  <dimension ref="A1:M70"/>
  <sheetViews>
    <sheetView tabSelected="1" topLeftCell="I1" zoomScale="91" workbookViewId="0">
      <selection activeCell="J26" sqref="J26"/>
    </sheetView>
  </sheetViews>
  <sheetFormatPr defaultColWidth="8.77734375" defaultRowHeight="14.4" x14ac:dyDescent="0.3"/>
  <cols>
    <col min="1" max="1" width="23.109375" style="2" customWidth="1"/>
    <col min="2" max="2" width="18.6640625" style="2" customWidth="1"/>
    <col min="3" max="3" width="18.33203125" style="2" customWidth="1"/>
    <col min="4" max="4" width="13.44140625" style="2" customWidth="1"/>
    <col min="5" max="5" width="12.44140625" style="8" customWidth="1"/>
    <col min="6" max="6" width="17.21875" customWidth="1"/>
    <col min="7" max="7" width="16.21875" bestFit="1" customWidth="1"/>
    <col min="8" max="8" width="23.44140625" customWidth="1"/>
    <col min="9" max="9" width="20.44140625" customWidth="1"/>
    <col min="10" max="10" width="24.77734375" customWidth="1"/>
    <col min="11" max="11" width="9.44140625" customWidth="1"/>
    <col min="13" max="13" width="9.109375" hidden="1" customWidth="1"/>
  </cols>
  <sheetData>
    <row r="1" spans="1:13" ht="15" thickBot="1" x14ac:dyDescent="0.35">
      <c r="A1" s="4" t="s">
        <v>122</v>
      </c>
      <c r="B1" s="4" t="s">
        <v>222</v>
      </c>
      <c r="C1" s="4" t="s">
        <v>123</v>
      </c>
      <c r="D1" s="5" t="s">
        <v>124</v>
      </c>
      <c r="E1" s="7" t="s">
        <v>125</v>
      </c>
      <c r="M1" s="2" t="s">
        <v>126</v>
      </c>
    </row>
    <row r="2" spans="1:13" ht="15" thickBot="1" x14ac:dyDescent="0.35">
      <c r="A2" s="2" t="s">
        <v>126</v>
      </c>
      <c r="B2" s="2">
        <v>402850</v>
      </c>
      <c r="C2" s="2" t="s">
        <v>87</v>
      </c>
      <c r="D2" s="2">
        <v>17</v>
      </c>
      <c r="E2" s="8">
        <v>2499</v>
      </c>
      <c r="G2" s="9" t="s">
        <v>127</v>
      </c>
      <c r="H2" s="10" t="s">
        <v>128</v>
      </c>
      <c r="M2" s="2" t="s">
        <v>128</v>
      </c>
    </row>
    <row r="3" spans="1:13" x14ac:dyDescent="0.3">
      <c r="A3" s="2" t="s">
        <v>126</v>
      </c>
      <c r="B3" s="2">
        <v>436987</v>
      </c>
      <c r="C3" s="2" t="s">
        <v>87</v>
      </c>
      <c r="D3" s="2">
        <v>98</v>
      </c>
      <c r="E3" s="8">
        <v>784</v>
      </c>
      <c r="G3" s="11"/>
      <c r="H3" s="3"/>
      <c r="M3" s="2" t="s">
        <v>129</v>
      </c>
    </row>
    <row r="4" spans="1:13" ht="15" thickBot="1" x14ac:dyDescent="0.35">
      <c r="A4" s="2" t="s">
        <v>126</v>
      </c>
      <c r="B4" s="2">
        <v>764613</v>
      </c>
      <c r="C4" s="2" t="s">
        <v>87</v>
      </c>
      <c r="D4" s="2">
        <v>51</v>
      </c>
      <c r="E4" s="8">
        <v>6732</v>
      </c>
      <c r="H4" s="12" t="s">
        <v>130</v>
      </c>
      <c r="M4" s="2" t="s">
        <v>131</v>
      </c>
    </row>
    <row r="5" spans="1:13" ht="15" thickBot="1" x14ac:dyDescent="0.35">
      <c r="A5" s="2" t="s">
        <v>126</v>
      </c>
      <c r="B5" s="2">
        <v>243484</v>
      </c>
      <c r="C5" s="2" t="s">
        <v>78</v>
      </c>
      <c r="D5" s="2">
        <v>32</v>
      </c>
      <c r="E5" s="8">
        <v>3072</v>
      </c>
      <c r="H5" s="36">
        <f>SUMIF(A2:A70,H2,D2:D70)</f>
        <v>1106</v>
      </c>
    </row>
    <row r="6" spans="1:13" x14ac:dyDescent="0.3">
      <c r="A6" s="2" t="s">
        <v>126</v>
      </c>
      <c r="B6" s="2">
        <v>522010</v>
      </c>
      <c r="C6" s="2" t="s">
        <v>78</v>
      </c>
      <c r="D6" s="2">
        <v>171</v>
      </c>
      <c r="E6" s="8">
        <v>25650</v>
      </c>
    </row>
    <row r="7" spans="1:13" ht="15" thickBot="1" x14ac:dyDescent="0.35">
      <c r="A7" s="2" t="s">
        <v>126</v>
      </c>
      <c r="B7" s="2">
        <v>346155</v>
      </c>
      <c r="C7" s="2" t="s">
        <v>78</v>
      </c>
      <c r="D7" s="2">
        <v>51</v>
      </c>
      <c r="E7" s="8">
        <v>3876</v>
      </c>
      <c r="H7" s="12" t="s">
        <v>130</v>
      </c>
      <c r="I7" s="12" t="s">
        <v>132</v>
      </c>
      <c r="J7" s="12" t="s">
        <v>223</v>
      </c>
    </row>
    <row r="8" spans="1:13" ht="15" thickBot="1" x14ac:dyDescent="0.35">
      <c r="A8" s="2" t="s">
        <v>126</v>
      </c>
      <c r="B8" s="2">
        <v>181763</v>
      </c>
      <c r="C8" s="2" t="s">
        <v>78</v>
      </c>
      <c r="D8" s="2">
        <v>118</v>
      </c>
      <c r="E8" s="8">
        <v>10030</v>
      </c>
      <c r="G8" s="2" t="s">
        <v>87</v>
      </c>
      <c r="H8" s="30">
        <f>SUMIFS($D$2:$D$70,$A$2:$A$70,$H$2,$C$2:$C$70,G8)</f>
        <v>419</v>
      </c>
      <c r="I8" s="35">
        <f>SUMIFS($E$2:$E$70,$A$2:$A$70,$H$2,$C$2:$C$70,G8)</f>
        <v>34908</v>
      </c>
      <c r="J8" s="30">
        <f>COUNTIFS($A$2:$A$70,$H$2,$C$2:$C$70,G8)</f>
        <v>4</v>
      </c>
    </row>
    <row r="9" spans="1:13" ht="15" thickBot="1" x14ac:dyDescent="0.35">
      <c r="A9" s="2" t="s">
        <v>126</v>
      </c>
      <c r="B9" s="2">
        <v>410456</v>
      </c>
      <c r="C9" s="2" t="s">
        <v>36</v>
      </c>
      <c r="D9" s="2">
        <v>52</v>
      </c>
      <c r="E9" s="8">
        <v>2340</v>
      </c>
      <c r="G9" s="2" t="s">
        <v>78</v>
      </c>
      <c r="H9" s="30">
        <f t="shared" ref="H9:H10" si="0">SUMIFS($D$2:$D$70,$A$2:$A$70,$H$2,$C$2:$C$70,G9)</f>
        <v>268</v>
      </c>
      <c r="I9" s="35">
        <f t="shared" ref="I9:I10" si="1">SUMIFS($E$2:$E$70,$A$2:$A$70,$H$2,$C$2:$C$70,G9)</f>
        <v>29174</v>
      </c>
      <c r="J9" s="30">
        <f t="shared" ref="J9:J10" si="2">COUNTIFS($A$2:$A$70,$H$2,$C$2:$C$70,G9)</f>
        <v>2</v>
      </c>
    </row>
    <row r="10" spans="1:13" ht="15" thickBot="1" x14ac:dyDescent="0.35">
      <c r="A10" s="2" t="s">
        <v>126</v>
      </c>
      <c r="B10" s="2">
        <v>454175</v>
      </c>
      <c r="C10" s="2" t="s">
        <v>36</v>
      </c>
      <c r="D10" s="2">
        <v>30</v>
      </c>
      <c r="E10" s="8">
        <v>3960</v>
      </c>
      <c r="G10" s="2" t="s">
        <v>36</v>
      </c>
      <c r="H10" s="30">
        <f t="shared" si="0"/>
        <v>419</v>
      </c>
      <c r="I10" s="35">
        <f t="shared" si="1"/>
        <v>43071</v>
      </c>
      <c r="J10" s="30">
        <f t="shared" si="2"/>
        <v>4</v>
      </c>
    </row>
    <row r="11" spans="1:13" x14ac:dyDescent="0.3">
      <c r="A11" s="2" t="s">
        <v>128</v>
      </c>
      <c r="B11" s="2">
        <v>426853</v>
      </c>
      <c r="C11" s="2" t="s">
        <v>87</v>
      </c>
      <c r="D11" s="2">
        <v>114</v>
      </c>
      <c r="E11" s="8">
        <v>4446</v>
      </c>
    </row>
    <row r="12" spans="1:13" x14ac:dyDescent="0.3">
      <c r="A12" s="2" t="s">
        <v>128</v>
      </c>
      <c r="B12" s="2">
        <v>815098</v>
      </c>
      <c r="C12" s="2" t="s">
        <v>87</v>
      </c>
      <c r="D12" s="2">
        <v>49</v>
      </c>
      <c r="E12" s="8">
        <v>5537</v>
      </c>
    </row>
    <row r="13" spans="1:13" x14ac:dyDescent="0.3">
      <c r="A13" s="2" t="s">
        <v>128</v>
      </c>
      <c r="B13" s="2">
        <v>209537</v>
      </c>
      <c r="C13" s="2" t="s">
        <v>87</v>
      </c>
      <c r="D13" s="2">
        <v>155</v>
      </c>
      <c r="E13" s="8">
        <v>21390</v>
      </c>
    </row>
    <row r="14" spans="1:13" x14ac:dyDescent="0.3">
      <c r="A14" s="2" t="s">
        <v>128</v>
      </c>
      <c r="B14" s="2">
        <v>765870</v>
      </c>
      <c r="C14" s="2" t="s">
        <v>87</v>
      </c>
      <c r="D14" s="2">
        <v>101</v>
      </c>
      <c r="E14" s="8">
        <v>3535</v>
      </c>
    </row>
    <row r="15" spans="1:13" x14ac:dyDescent="0.3">
      <c r="A15" s="2" t="s">
        <v>128</v>
      </c>
      <c r="B15" s="2">
        <v>747542</v>
      </c>
      <c r="C15" s="2" t="s">
        <v>78</v>
      </c>
      <c r="D15" s="2">
        <v>149</v>
      </c>
      <c r="E15" s="8">
        <v>11324</v>
      </c>
    </row>
    <row r="16" spans="1:13" x14ac:dyDescent="0.3">
      <c r="A16" s="2" t="s">
        <v>128</v>
      </c>
      <c r="B16" s="2">
        <v>177975</v>
      </c>
      <c r="C16" s="2" t="s">
        <v>78</v>
      </c>
      <c r="D16" s="2">
        <v>119</v>
      </c>
      <c r="E16" s="8">
        <v>17850</v>
      </c>
    </row>
    <row r="17" spans="1:5" x14ac:dyDescent="0.3">
      <c r="A17" s="2" t="s">
        <v>128</v>
      </c>
      <c r="B17" s="2">
        <v>840614</v>
      </c>
      <c r="C17" s="2" t="s">
        <v>36</v>
      </c>
      <c r="D17" s="2">
        <v>97</v>
      </c>
      <c r="E17" s="8">
        <v>3298</v>
      </c>
    </row>
    <row r="18" spans="1:5" x14ac:dyDescent="0.3">
      <c r="A18" s="2" t="s">
        <v>128</v>
      </c>
      <c r="B18" s="2">
        <v>271572</v>
      </c>
      <c r="C18" s="2" t="s">
        <v>36</v>
      </c>
      <c r="D18" s="2">
        <v>127</v>
      </c>
      <c r="E18" s="8">
        <v>17907</v>
      </c>
    </row>
    <row r="19" spans="1:5" x14ac:dyDescent="0.3">
      <c r="A19" s="2" t="s">
        <v>128</v>
      </c>
      <c r="B19" s="2">
        <v>367240</v>
      </c>
      <c r="C19" s="2" t="s">
        <v>36</v>
      </c>
      <c r="D19" s="2">
        <v>104</v>
      </c>
      <c r="E19" s="8">
        <v>12584</v>
      </c>
    </row>
    <row r="20" spans="1:5" x14ac:dyDescent="0.3">
      <c r="A20" s="2" t="s">
        <v>128</v>
      </c>
      <c r="B20" s="2">
        <v>791819</v>
      </c>
      <c r="C20" s="2" t="s">
        <v>36</v>
      </c>
      <c r="D20" s="2">
        <v>91</v>
      </c>
      <c r="E20" s="8">
        <v>9282</v>
      </c>
    </row>
    <row r="21" spans="1:5" x14ac:dyDescent="0.3">
      <c r="A21" s="2" t="s">
        <v>129</v>
      </c>
      <c r="B21" s="2">
        <v>185858</v>
      </c>
      <c r="C21" s="2" t="s">
        <v>87</v>
      </c>
      <c r="D21" s="2">
        <v>51</v>
      </c>
      <c r="E21" s="8">
        <v>765</v>
      </c>
    </row>
    <row r="22" spans="1:5" x14ac:dyDescent="0.3">
      <c r="A22" s="2" t="s">
        <v>129</v>
      </c>
      <c r="B22" s="2">
        <v>501837</v>
      </c>
      <c r="C22" s="2" t="s">
        <v>87</v>
      </c>
      <c r="D22" s="2">
        <v>142</v>
      </c>
      <c r="E22" s="8">
        <v>14484</v>
      </c>
    </row>
    <row r="23" spans="1:5" x14ac:dyDescent="0.3">
      <c r="A23" s="2" t="s">
        <v>129</v>
      </c>
      <c r="B23" s="2">
        <v>486900</v>
      </c>
      <c r="C23" s="2" t="s">
        <v>87</v>
      </c>
      <c r="D23" s="2">
        <v>161</v>
      </c>
      <c r="E23" s="8">
        <v>11592</v>
      </c>
    </row>
    <row r="24" spans="1:5" x14ac:dyDescent="0.3">
      <c r="A24" s="2" t="s">
        <v>129</v>
      </c>
      <c r="B24" s="2">
        <v>207266</v>
      </c>
      <c r="C24" s="2" t="s">
        <v>87</v>
      </c>
      <c r="D24" s="2">
        <v>100</v>
      </c>
      <c r="E24" s="8">
        <v>1100</v>
      </c>
    </row>
    <row r="25" spans="1:5" x14ac:dyDescent="0.3">
      <c r="A25" s="2" t="s">
        <v>129</v>
      </c>
      <c r="B25" s="2">
        <v>328524</v>
      </c>
      <c r="C25" s="2" t="s">
        <v>87</v>
      </c>
      <c r="D25" s="2">
        <v>187</v>
      </c>
      <c r="E25" s="8">
        <v>16269</v>
      </c>
    </row>
    <row r="26" spans="1:5" x14ac:dyDescent="0.3">
      <c r="A26" s="2" t="s">
        <v>129</v>
      </c>
      <c r="B26" s="2">
        <v>430342</v>
      </c>
      <c r="C26" s="2" t="s">
        <v>78</v>
      </c>
      <c r="D26" s="2">
        <v>147</v>
      </c>
      <c r="E26" s="8">
        <v>13524</v>
      </c>
    </row>
    <row r="27" spans="1:5" x14ac:dyDescent="0.3">
      <c r="A27" s="2" t="s">
        <v>129</v>
      </c>
      <c r="B27" s="2">
        <v>602517</v>
      </c>
      <c r="C27" s="2" t="s">
        <v>78</v>
      </c>
      <c r="D27" s="2">
        <v>107</v>
      </c>
      <c r="E27" s="8">
        <v>3317</v>
      </c>
    </row>
    <row r="28" spans="1:5" x14ac:dyDescent="0.3">
      <c r="A28" s="2" t="s">
        <v>129</v>
      </c>
      <c r="B28" s="2">
        <v>183106</v>
      </c>
      <c r="C28" s="2" t="s">
        <v>78</v>
      </c>
      <c r="D28" s="2">
        <v>170</v>
      </c>
      <c r="E28" s="8">
        <v>22780</v>
      </c>
    </row>
    <row r="29" spans="1:5" x14ac:dyDescent="0.3">
      <c r="A29" s="2" t="s">
        <v>129</v>
      </c>
      <c r="B29" s="2">
        <v>843050</v>
      </c>
      <c r="C29" s="2" t="s">
        <v>78</v>
      </c>
      <c r="D29" s="2">
        <v>192</v>
      </c>
      <c r="E29" s="8">
        <v>20160</v>
      </c>
    </row>
    <row r="30" spans="1:5" x14ac:dyDescent="0.3">
      <c r="A30" s="2" t="s">
        <v>129</v>
      </c>
      <c r="B30" s="2">
        <v>129851</v>
      </c>
      <c r="C30" s="2" t="s">
        <v>78</v>
      </c>
      <c r="D30" s="2">
        <v>134</v>
      </c>
      <c r="E30" s="8">
        <v>14070</v>
      </c>
    </row>
    <row r="31" spans="1:5" x14ac:dyDescent="0.3">
      <c r="A31" s="2" t="s">
        <v>129</v>
      </c>
      <c r="B31" s="2">
        <v>829456</v>
      </c>
      <c r="C31" s="2" t="s">
        <v>78</v>
      </c>
      <c r="D31" s="2">
        <v>98</v>
      </c>
      <c r="E31" s="8">
        <v>490</v>
      </c>
    </row>
    <row r="32" spans="1:5" x14ac:dyDescent="0.3">
      <c r="A32" s="2" t="s">
        <v>129</v>
      </c>
      <c r="B32" s="2">
        <v>832520</v>
      </c>
      <c r="C32" s="2" t="s">
        <v>78</v>
      </c>
      <c r="D32" s="2">
        <v>138</v>
      </c>
      <c r="E32" s="8">
        <v>14076</v>
      </c>
    </row>
    <row r="33" spans="1:5" x14ac:dyDescent="0.3">
      <c r="A33" s="2" t="s">
        <v>129</v>
      </c>
      <c r="B33" s="2">
        <v>142498</v>
      </c>
      <c r="C33" s="2" t="s">
        <v>36</v>
      </c>
      <c r="D33" s="2">
        <v>111</v>
      </c>
      <c r="E33" s="8">
        <v>7548</v>
      </c>
    </row>
    <row r="34" spans="1:5" x14ac:dyDescent="0.3">
      <c r="A34" s="2" t="s">
        <v>129</v>
      </c>
      <c r="B34" s="2">
        <v>690368</v>
      </c>
      <c r="C34" s="2" t="s">
        <v>36</v>
      </c>
      <c r="D34" s="2">
        <v>118</v>
      </c>
      <c r="E34" s="8">
        <v>590</v>
      </c>
    </row>
    <row r="35" spans="1:5" x14ac:dyDescent="0.3">
      <c r="A35" s="2" t="s">
        <v>129</v>
      </c>
      <c r="B35" s="2">
        <v>267419</v>
      </c>
      <c r="C35" s="2" t="s">
        <v>36</v>
      </c>
      <c r="D35" s="2">
        <v>127</v>
      </c>
      <c r="E35" s="8">
        <v>5969</v>
      </c>
    </row>
    <row r="36" spans="1:5" x14ac:dyDescent="0.3">
      <c r="A36" s="2" t="s">
        <v>129</v>
      </c>
      <c r="B36" s="2">
        <v>140721</v>
      </c>
      <c r="C36" s="2" t="s">
        <v>36</v>
      </c>
      <c r="D36" s="2">
        <v>69</v>
      </c>
      <c r="E36" s="8">
        <v>9384</v>
      </c>
    </row>
    <row r="37" spans="1:5" x14ac:dyDescent="0.3">
      <c r="A37" s="2" t="s">
        <v>129</v>
      </c>
      <c r="B37" s="2">
        <v>454504</v>
      </c>
      <c r="C37" s="2" t="s">
        <v>36</v>
      </c>
      <c r="D37" s="2">
        <v>44</v>
      </c>
      <c r="E37" s="8">
        <v>2464</v>
      </c>
    </row>
    <row r="38" spans="1:5" x14ac:dyDescent="0.3">
      <c r="A38" s="2" t="s">
        <v>129</v>
      </c>
      <c r="B38" s="2">
        <v>343862</v>
      </c>
      <c r="C38" s="2" t="s">
        <v>36</v>
      </c>
      <c r="D38" s="2">
        <v>38</v>
      </c>
      <c r="E38" s="8">
        <v>190</v>
      </c>
    </row>
    <row r="39" spans="1:5" x14ac:dyDescent="0.3">
      <c r="A39" s="2" t="s">
        <v>131</v>
      </c>
      <c r="B39" s="2">
        <v>491299</v>
      </c>
      <c r="C39" s="2" t="s">
        <v>87</v>
      </c>
      <c r="D39" s="2">
        <v>35</v>
      </c>
      <c r="E39" s="8">
        <v>4865</v>
      </c>
    </row>
    <row r="40" spans="1:5" x14ac:dyDescent="0.3">
      <c r="A40" s="2" t="s">
        <v>131</v>
      </c>
      <c r="B40" s="2">
        <v>547421</v>
      </c>
      <c r="C40" s="2" t="s">
        <v>87</v>
      </c>
      <c r="D40" s="2">
        <v>71</v>
      </c>
      <c r="E40" s="8">
        <v>3266</v>
      </c>
    </row>
    <row r="41" spans="1:5" x14ac:dyDescent="0.3">
      <c r="A41" s="2" t="s">
        <v>131</v>
      </c>
      <c r="B41" s="2">
        <v>594052</v>
      </c>
      <c r="C41" s="2" t="s">
        <v>87</v>
      </c>
      <c r="D41" s="2">
        <v>180</v>
      </c>
      <c r="E41" s="8">
        <v>22860</v>
      </c>
    </row>
    <row r="42" spans="1:5" x14ac:dyDescent="0.3">
      <c r="A42" s="2" t="s">
        <v>131</v>
      </c>
      <c r="B42" s="2">
        <v>720964</v>
      </c>
      <c r="C42" s="2" t="s">
        <v>87</v>
      </c>
      <c r="D42" s="2">
        <v>189</v>
      </c>
      <c r="E42" s="8">
        <v>25137</v>
      </c>
    </row>
    <row r="43" spans="1:5" x14ac:dyDescent="0.3">
      <c r="A43" s="2" t="s">
        <v>131</v>
      </c>
      <c r="B43" s="2">
        <v>104556</v>
      </c>
      <c r="C43" s="2" t="s">
        <v>87</v>
      </c>
      <c r="D43" s="2">
        <v>92</v>
      </c>
      <c r="E43" s="8">
        <v>9752</v>
      </c>
    </row>
    <row r="44" spans="1:5" x14ac:dyDescent="0.3">
      <c r="A44" s="2" t="s">
        <v>131</v>
      </c>
      <c r="B44" s="2">
        <v>202419</v>
      </c>
      <c r="C44" s="2" t="s">
        <v>87</v>
      </c>
      <c r="D44" s="2">
        <v>152</v>
      </c>
      <c r="E44" s="8">
        <v>14136</v>
      </c>
    </row>
    <row r="45" spans="1:5" x14ac:dyDescent="0.3">
      <c r="A45" s="2" t="s">
        <v>131</v>
      </c>
      <c r="B45" s="2">
        <v>281646</v>
      </c>
      <c r="C45" s="2" t="s">
        <v>87</v>
      </c>
      <c r="D45" s="2">
        <v>102</v>
      </c>
      <c r="E45" s="8">
        <v>10098</v>
      </c>
    </row>
    <row r="46" spans="1:5" x14ac:dyDescent="0.3">
      <c r="A46" s="2" t="s">
        <v>131</v>
      </c>
      <c r="B46" s="2">
        <v>153152</v>
      </c>
      <c r="C46" s="2" t="s">
        <v>87</v>
      </c>
      <c r="D46" s="2">
        <v>199</v>
      </c>
      <c r="E46" s="8">
        <v>3383</v>
      </c>
    </row>
    <row r="47" spans="1:5" x14ac:dyDescent="0.3">
      <c r="A47" s="2" t="s">
        <v>131</v>
      </c>
      <c r="B47" s="2">
        <v>273563</v>
      </c>
      <c r="C47" s="2" t="s">
        <v>87</v>
      </c>
      <c r="D47" s="2">
        <v>60</v>
      </c>
      <c r="E47" s="8">
        <v>2640</v>
      </c>
    </row>
    <row r="48" spans="1:5" x14ac:dyDescent="0.3">
      <c r="A48" s="2" t="s">
        <v>131</v>
      </c>
      <c r="B48" s="2">
        <v>679548</v>
      </c>
      <c r="C48" s="2" t="s">
        <v>78</v>
      </c>
      <c r="D48" s="2">
        <v>72</v>
      </c>
      <c r="E48" s="8">
        <v>10152</v>
      </c>
    </row>
    <row r="49" spans="1:5" x14ac:dyDescent="0.3">
      <c r="A49" s="2" t="s">
        <v>131</v>
      </c>
      <c r="B49" s="2">
        <v>509361</v>
      </c>
      <c r="C49" s="2" t="s">
        <v>78</v>
      </c>
      <c r="D49" s="2">
        <v>136</v>
      </c>
      <c r="E49" s="8">
        <v>3264</v>
      </c>
    </row>
    <row r="50" spans="1:5" x14ac:dyDescent="0.3">
      <c r="A50" s="2" t="s">
        <v>131</v>
      </c>
      <c r="B50" s="2">
        <v>431791</v>
      </c>
      <c r="C50" s="2" t="s">
        <v>78</v>
      </c>
      <c r="D50" s="2">
        <v>114</v>
      </c>
      <c r="E50" s="8">
        <v>16302</v>
      </c>
    </row>
    <row r="51" spans="1:5" x14ac:dyDescent="0.3">
      <c r="A51" s="2" t="s">
        <v>131</v>
      </c>
      <c r="B51" s="2">
        <v>776118</v>
      </c>
      <c r="C51" s="2" t="s">
        <v>78</v>
      </c>
      <c r="D51" s="2">
        <v>66</v>
      </c>
      <c r="E51" s="8">
        <v>3300</v>
      </c>
    </row>
    <row r="52" spans="1:5" x14ac:dyDescent="0.3">
      <c r="A52" s="2" t="s">
        <v>131</v>
      </c>
      <c r="B52" s="2">
        <v>401681</v>
      </c>
      <c r="C52" s="2" t="s">
        <v>78</v>
      </c>
      <c r="D52" s="2">
        <v>102</v>
      </c>
      <c r="E52" s="8">
        <v>7548</v>
      </c>
    </row>
    <row r="53" spans="1:5" x14ac:dyDescent="0.3">
      <c r="A53" s="2" t="s">
        <v>131</v>
      </c>
      <c r="B53" s="2">
        <v>821745</v>
      </c>
      <c r="C53" s="2" t="s">
        <v>78</v>
      </c>
      <c r="D53" s="2">
        <v>79</v>
      </c>
      <c r="E53" s="8">
        <v>1580</v>
      </c>
    </row>
    <row r="54" spans="1:5" x14ac:dyDescent="0.3">
      <c r="A54" s="2" t="s">
        <v>131</v>
      </c>
      <c r="B54" s="2">
        <v>202386</v>
      </c>
      <c r="C54" s="2" t="s">
        <v>78</v>
      </c>
      <c r="D54" s="2">
        <v>132</v>
      </c>
      <c r="E54" s="8">
        <v>12276</v>
      </c>
    </row>
    <row r="55" spans="1:5" x14ac:dyDescent="0.3">
      <c r="A55" s="2" t="s">
        <v>131</v>
      </c>
      <c r="B55" s="2">
        <v>104375</v>
      </c>
      <c r="C55" s="2" t="s">
        <v>78</v>
      </c>
      <c r="D55" s="2">
        <v>39</v>
      </c>
      <c r="E55" s="8">
        <v>312</v>
      </c>
    </row>
    <row r="56" spans="1:5" x14ac:dyDescent="0.3">
      <c r="A56" s="2" t="s">
        <v>131</v>
      </c>
      <c r="B56" s="2">
        <v>235860</v>
      </c>
      <c r="C56" s="2" t="s">
        <v>78</v>
      </c>
      <c r="D56" s="2">
        <v>145</v>
      </c>
      <c r="E56" s="8">
        <v>1160</v>
      </c>
    </row>
    <row r="57" spans="1:5" x14ac:dyDescent="0.3">
      <c r="A57" s="2" t="s">
        <v>131</v>
      </c>
      <c r="B57" s="2">
        <v>477156</v>
      </c>
      <c r="C57" s="2" t="s">
        <v>78</v>
      </c>
      <c r="D57" s="2">
        <v>48</v>
      </c>
      <c r="E57" s="8">
        <v>1680</v>
      </c>
    </row>
    <row r="58" spans="1:5" x14ac:dyDescent="0.3">
      <c r="A58" s="2" t="s">
        <v>131</v>
      </c>
      <c r="B58" s="2">
        <v>320691</v>
      </c>
      <c r="C58" s="2" t="s">
        <v>78</v>
      </c>
      <c r="D58" s="2">
        <v>11</v>
      </c>
      <c r="E58" s="8">
        <v>209</v>
      </c>
    </row>
    <row r="59" spans="1:5" x14ac:dyDescent="0.3">
      <c r="A59" s="2" t="s">
        <v>131</v>
      </c>
      <c r="B59" s="2">
        <v>558332</v>
      </c>
      <c r="C59" s="2" t="s">
        <v>78</v>
      </c>
      <c r="D59" s="2">
        <v>115</v>
      </c>
      <c r="E59" s="8">
        <v>1955</v>
      </c>
    </row>
    <row r="60" spans="1:5" x14ac:dyDescent="0.3">
      <c r="A60" s="2" t="s">
        <v>131</v>
      </c>
      <c r="B60" s="2">
        <v>156812</v>
      </c>
      <c r="C60" s="2" t="s">
        <v>78</v>
      </c>
      <c r="D60" s="2">
        <v>152</v>
      </c>
      <c r="E60" s="8">
        <v>8968</v>
      </c>
    </row>
    <row r="61" spans="1:5" x14ac:dyDescent="0.3">
      <c r="A61" s="2" t="s">
        <v>131</v>
      </c>
      <c r="B61" s="2">
        <v>824637</v>
      </c>
      <c r="C61" s="2" t="s">
        <v>78</v>
      </c>
      <c r="D61" s="2">
        <v>86</v>
      </c>
      <c r="E61" s="8">
        <v>5418</v>
      </c>
    </row>
    <row r="62" spans="1:5" x14ac:dyDescent="0.3">
      <c r="A62" s="2" t="s">
        <v>131</v>
      </c>
      <c r="B62" s="2">
        <v>167040</v>
      </c>
      <c r="C62" s="2" t="s">
        <v>78</v>
      </c>
      <c r="D62" s="2">
        <v>66</v>
      </c>
      <c r="E62" s="8">
        <v>7194</v>
      </c>
    </row>
    <row r="63" spans="1:5" x14ac:dyDescent="0.3">
      <c r="A63" s="2" t="s">
        <v>131</v>
      </c>
      <c r="B63" s="2">
        <v>803330</v>
      </c>
      <c r="C63" s="2" t="s">
        <v>78</v>
      </c>
      <c r="D63" s="2">
        <v>116</v>
      </c>
      <c r="E63" s="8">
        <v>8468</v>
      </c>
    </row>
    <row r="64" spans="1:5" x14ac:dyDescent="0.3">
      <c r="A64" s="2" t="s">
        <v>131</v>
      </c>
      <c r="B64" s="2">
        <v>250827</v>
      </c>
      <c r="C64" s="2" t="s">
        <v>78</v>
      </c>
      <c r="D64" s="2">
        <v>89</v>
      </c>
      <c r="E64" s="8">
        <v>8010</v>
      </c>
    </row>
    <row r="65" spans="1:5" x14ac:dyDescent="0.3">
      <c r="A65" s="2" t="s">
        <v>131</v>
      </c>
      <c r="B65" s="2">
        <v>605290</v>
      </c>
      <c r="C65" s="2" t="s">
        <v>36</v>
      </c>
      <c r="D65" s="2">
        <v>119</v>
      </c>
      <c r="E65" s="8">
        <v>2142</v>
      </c>
    </row>
    <row r="66" spans="1:5" x14ac:dyDescent="0.3">
      <c r="A66" s="2" t="s">
        <v>131</v>
      </c>
      <c r="B66" s="2">
        <v>312187</v>
      </c>
      <c r="C66" s="2" t="s">
        <v>36</v>
      </c>
      <c r="D66" s="2">
        <v>28</v>
      </c>
      <c r="E66" s="8">
        <v>4116</v>
      </c>
    </row>
    <row r="67" spans="1:5" x14ac:dyDescent="0.3">
      <c r="A67" s="2" t="s">
        <v>131</v>
      </c>
      <c r="B67" s="2">
        <v>303581</v>
      </c>
      <c r="C67" s="2" t="s">
        <v>36</v>
      </c>
      <c r="D67" s="2">
        <v>93</v>
      </c>
      <c r="E67" s="8">
        <v>1860</v>
      </c>
    </row>
    <row r="68" spans="1:5" x14ac:dyDescent="0.3">
      <c r="A68" s="2" t="s">
        <v>131</v>
      </c>
      <c r="B68" s="2">
        <v>735076</v>
      </c>
      <c r="C68" s="2" t="s">
        <v>36</v>
      </c>
      <c r="D68" s="2">
        <v>114</v>
      </c>
      <c r="E68" s="8">
        <v>6270</v>
      </c>
    </row>
    <row r="69" spans="1:5" x14ac:dyDescent="0.3">
      <c r="A69" s="2" t="s">
        <v>131</v>
      </c>
      <c r="B69" s="2">
        <v>467396</v>
      </c>
      <c r="C69" s="2" t="s">
        <v>36</v>
      </c>
      <c r="D69" s="2">
        <v>127</v>
      </c>
      <c r="E69" s="8">
        <v>6350</v>
      </c>
    </row>
    <row r="70" spans="1:5" x14ac:dyDescent="0.3">
      <c r="A70" s="2" t="s">
        <v>131</v>
      </c>
      <c r="B70" s="2">
        <v>465336</v>
      </c>
      <c r="C70" s="2" t="s">
        <v>36</v>
      </c>
      <c r="D70" s="2">
        <v>196</v>
      </c>
      <c r="E70" s="8">
        <v>20776</v>
      </c>
    </row>
  </sheetData>
  <dataValidations count="1">
    <dataValidation type="list" allowBlank="1" showInputMessage="1" showErrorMessage="1" sqref="H2" xr:uid="{2BE2D35F-D0C8-45A1-8BA2-AA0CFED5EE3F}">
      <formula1>$A$2:$A$70</formula1>
    </dataValidation>
  </dataValidations>
  <pageMargins left="0.7" right="0.7" top="0.75" bottom="0.75" header="0.3" footer="0.3"/>
  <pageSetup orientation="portrait" r:id="rId1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 tint="-0.249977111117893"/>
  </sheetPr>
  <dimension ref="A1:B52"/>
  <sheetViews>
    <sheetView topLeftCell="A34" workbookViewId="0">
      <selection activeCell="D52" sqref="D52"/>
    </sheetView>
  </sheetViews>
  <sheetFormatPr defaultColWidth="8.77734375" defaultRowHeight="14.4" x14ac:dyDescent="0.3"/>
  <cols>
    <col min="1" max="1" width="17.44140625" style="2" customWidth="1"/>
    <col min="2" max="2" width="16.77734375" style="2" customWidth="1"/>
  </cols>
  <sheetData>
    <row r="1" spans="1:2" ht="26.4" x14ac:dyDescent="0.3">
      <c r="A1" s="4" t="s">
        <v>0</v>
      </c>
      <c r="B1" s="14" t="s">
        <v>133</v>
      </c>
    </row>
    <row r="2" spans="1:2" x14ac:dyDescent="0.3">
      <c r="A2" s="2" t="s">
        <v>4</v>
      </c>
      <c r="B2" s="16" t="s">
        <v>67</v>
      </c>
    </row>
    <row r="3" spans="1:2" x14ac:dyDescent="0.3">
      <c r="A3" s="2" t="s">
        <v>5</v>
      </c>
      <c r="B3" s="16" t="s">
        <v>105</v>
      </c>
    </row>
    <row r="4" spans="1:2" x14ac:dyDescent="0.3">
      <c r="A4" s="2" t="s">
        <v>6</v>
      </c>
      <c r="B4" s="16" t="s">
        <v>94</v>
      </c>
    </row>
    <row r="5" spans="1:2" x14ac:dyDescent="0.3">
      <c r="A5" s="2" t="s">
        <v>7</v>
      </c>
      <c r="B5" s="16" t="s">
        <v>115</v>
      </c>
    </row>
    <row r="6" spans="1:2" x14ac:dyDescent="0.3">
      <c r="A6" s="2" t="s">
        <v>8</v>
      </c>
      <c r="B6" s="16" t="s">
        <v>58</v>
      </c>
    </row>
    <row r="7" spans="1:2" x14ac:dyDescent="0.3">
      <c r="A7" s="2" t="s">
        <v>9</v>
      </c>
      <c r="B7" s="16" t="s">
        <v>96</v>
      </c>
    </row>
    <row r="8" spans="1:2" x14ac:dyDescent="0.3">
      <c r="A8" s="2" t="s">
        <v>10</v>
      </c>
      <c r="B8" s="16" t="s">
        <v>119</v>
      </c>
    </row>
    <row r="9" spans="1:2" x14ac:dyDescent="0.3">
      <c r="A9" s="2" t="s">
        <v>11</v>
      </c>
      <c r="B9" s="16" t="s">
        <v>117</v>
      </c>
    </row>
    <row r="10" spans="1:2" x14ac:dyDescent="0.3">
      <c r="A10" s="2" t="s">
        <v>12</v>
      </c>
      <c r="B10" s="16" t="s">
        <v>116</v>
      </c>
    </row>
    <row r="11" spans="1:2" x14ac:dyDescent="0.3">
      <c r="A11" s="2" t="s">
        <v>13</v>
      </c>
      <c r="B11" s="16" t="s">
        <v>79</v>
      </c>
    </row>
    <row r="12" spans="1:2" x14ac:dyDescent="0.3">
      <c r="A12" s="2" t="s">
        <v>14</v>
      </c>
      <c r="B12" s="16" t="s">
        <v>84</v>
      </c>
    </row>
    <row r="13" spans="1:2" x14ac:dyDescent="0.3">
      <c r="A13" s="2" t="s">
        <v>15</v>
      </c>
      <c r="B13" s="16" t="s">
        <v>113</v>
      </c>
    </row>
    <row r="14" spans="1:2" x14ac:dyDescent="0.3">
      <c r="A14" s="2" t="s">
        <v>16</v>
      </c>
      <c r="B14" s="16" t="s">
        <v>90</v>
      </c>
    </row>
    <row r="15" spans="1:2" x14ac:dyDescent="0.3">
      <c r="A15" s="2" t="s">
        <v>17</v>
      </c>
      <c r="B15" s="16" t="s">
        <v>57</v>
      </c>
    </row>
    <row r="16" spans="1:2" x14ac:dyDescent="0.3">
      <c r="A16" s="2" t="s">
        <v>18</v>
      </c>
      <c r="B16" s="16" t="s">
        <v>99</v>
      </c>
    </row>
    <row r="17" spans="1:2" x14ac:dyDescent="0.3">
      <c r="A17" s="2" t="s">
        <v>19</v>
      </c>
      <c r="B17" s="16" t="s">
        <v>102</v>
      </c>
    </row>
    <row r="18" spans="1:2" x14ac:dyDescent="0.3">
      <c r="A18" s="2" t="s">
        <v>20</v>
      </c>
      <c r="B18" s="16" t="s">
        <v>110</v>
      </c>
    </row>
    <row r="19" spans="1:2" x14ac:dyDescent="0.3">
      <c r="A19" s="2" t="s">
        <v>21</v>
      </c>
      <c r="B19" s="16" t="s">
        <v>103</v>
      </c>
    </row>
    <row r="20" spans="1:2" x14ac:dyDescent="0.3">
      <c r="A20" s="2" t="s">
        <v>22</v>
      </c>
      <c r="B20" s="16" t="s">
        <v>63</v>
      </c>
    </row>
    <row r="21" spans="1:2" x14ac:dyDescent="0.3">
      <c r="A21" s="2" t="s">
        <v>23</v>
      </c>
      <c r="B21" s="16" t="s">
        <v>111</v>
      </c>
    </row>
    <row r="22" spans="1:2" x14ac:dyDescent="0.3">
      <c r="A22" s="2" t="s">
        <v>24</v>
      </c>
      <c r="B22" s="16" t="s">
        <v>95</v>
      </c>
    </row>
    <row r="23" spans="1:2" x14ac:dyDescent="0.3">
      <c r="A23" s="2" t="s">
        <v>25</v>
      </c>
      <c r="B23" s="16" t="s">
        <v>86</v>
      </c>
    </row>
    <row r="24" spans="1:2" x14ac:dyDescent="0.3">
      <c r="A24" s="2" t="s">
        <v>26</v>
      </c>
      <c r="B24" s="16" t="s">
        <v>74</v>
      </c>
    </row>
    <row r="25" spans="1:2" x14ac:dyDescent="0.3">
      <c r="A25" s="2" t="s">
        <v>27</v>
      </c>
      <c r="B25" s="16" t="s">
        <v>89</v>
      </c>
    </row>
    <row r="26" spans="1:2" x14ac:dyDescent="0.3">
      <c r="A26" s="2" t="s">
        <v>28</v>
      </c>
      <c r="B26" s="16" t="s">
        <v>100</v>
      </c>
    </row>
    <row r="27" spans="1:2" x14ac:dyDescent="0.3">
      <c r="A27" s="2" t="s">
        <v>29</v>
      </c>
      <c r="B27" s="16" t="s">
        <v>92</v>
      </c>
    </row>
    <row r="28" spans="1:2" x14ac:dyDescent="0.3">
      <c r="A28" s="2" t="s">
        <v>30</v>
      </c>
      <c r="B28" s="16" t="s">
        <v>114</v>
      </c>
    </row>
    <row r="29" spans="1:2" x14ac:dyDescent="0.3">
      <c r="A29" s="2" t="s">
        <v>31</v>
      </c>
      <c r="B29" s="16" t="s">
        <v>80</v>
      </c>
    </row>
    <row r="30" spans="1:2" x14ac:dyDescent="0.3">
      <c r="A30" s="2" t="s">
        <v>32</v>
      </c>
      <c r="B30" s="16" t="s">
        <v>118</v>
      </c>
    </row>
    <row r="31" spans="1:2" x14ac:dyDescent="0.3">
      <c r="A31" s="2" t="s">
        <v>33</v>
      </c>
      <c r="B31" s="16" t="s">
        <v>104</v>
      </c>
    </row>
    <row r="32" spans="1:2" x14ac:dyDescent="0.3">
      <c r="A32" s="2" t="s">
        <v>34</v>
      </c>
      <c r="B32" s="16" t="s">
        <v>59</v>
      </c>
    </row>
    <row r="33" spans="1:2" x14ac:dyDescent="0.3">
      <c r="A33" s="2" t="s">
        <v>35</v>
      </c>
      <c r="B33" s="16" t="s">
        <v>121</v>
      </c>
    </row>
    <row r="34" spans="1:2" x14ac:dyDescent="0.3">
      <c r="A34" s="2" t="s">
        <v>36</v>
      </c>
      <c r="B34" s="16" t="s">
        <v>68</v>
      </c>
    </row>
    <row r="35" spans="1:2" x14ac:dyDescent="0.3">
      <c r="A35" s="2" t="s">
        <v>37</v>
      </c>
      <c r="B35" s="16" t="s">
        <v>85</v>
      </c>
    </row>
    <row r="36" spans="1:2" x14ac:dyDescent="0.3">
      <c r="A36" s="2" t="s">
        <v>38</v>
      </c>
      <c r="B36" s="16" t="s">
        <v>107</v>
      </c>
    </row>
    <row r="37" spans="1:2" x14ac:dyDescent="0.3">
      <c r="A37" s="2" t="s">
        <v>39</v>
      </c>
      <c r="B37" s="16" t="s">
        <v>88</v>
      </c>
    </row>
    <row r="38" spans="1:2" x14ac:dyDescent="0.3">
      <c r="A38" s="2" t="s">
        <v>40</v>
      </c>
      <c r="B38" s="16" t="s">
        <v>97</v>
      </c>
    </row>
    <row r="39" spans="1:2" x14ac:dyDescent="0.3">
      <c r="A39" s="2" t="s">
        <v>41</v>
      </c>
      <c r="B39" s="16" t="s">
        <v>64</v>
      </c>
    </row>
    <row r="40" spans="1:2" x14ac:dyDescent="0.3">
      <c r="A40" s="2" t="s">
        <v>42</v>
      </c>
      <c r="B40" s="16" t="s">
        <v>101</v>
      </c>
    </row>
    <row r="41" spans="1:2" x14ac:dyDescent="0.3">
      <c r="A41" s="2" t="s">
        <v>43</v>
      </c>
      <c r="B41" s="16" t="s">
        <v>71</v>
      </c>
    </row>
    <row r="42" spans="1:2" x14ac:dyDescent="0.3">
      <c r="A42" s="2" t="s">
        <v>44</v>
      </c>
      <c r="B42" s="16" t="s">
        <v>112</v>
      </c>
    </row>
    <row r="43" spans="1:2" x14ac:dyDescent="0.3">
      <c r="A43" s="2" t="s">
        <v>45</v>
      </c>
      <c r="B43" s="16" t="s">
        <v>98</v>
      </c>
    </row>
    <row r="44" spans="1:2" x14ac:dyDescent="0.3">
      <c r="A44" s="2" t="s">
        <v>46</v>
      </c>
      <c r="B44" s="16" t="s">
        <v>76</v>
      </c>
    </row>
    <row r="45" spans="1:2" x14ac:dyDescent="0.3">
      <c r="A45" s="2" t="s">
        <v>47</v>
      </c>
      <c r="B45" s="16" t="s">
        <v>66</v>
      </c>
    </row>
    <row r="46" spans="1:2" x14ac:dyDescent="0.3">
      <c r="A46" s="2" t="s">
        <v>48</v>
      </c>
      <c r="B46" s="16" t="s">
        <v>82</v>
      </c>
    </row>
    <row r="47" spans="1:2" x14ac:dyDescent="0.3">
      <c r="A47" s="2" t="s">
        <v>49</v>
      </c>
      <c r="B47" s="16" t="s">
        <v>106</v>
      </c>
    </row>
    <row r="48" spans="1:2" x14ac:dyDescent="0.3">
      <c r="A48" s="2" t="s">
        <v>50</v>
      </c>
      <c r="B48" s="16" t="s">
        <v>61</v>
      </c>
    </row>
    <row r="49" spans="1:2" x14ac:dyDescent="0.3">
      <c r="A49" s="2" t="s">
        <v>51</v>
      </c>
      <c r="B49" s="16" t="s">
        <v>109</v>
      </c>
    </row>
    <row r="50" spans="1:2" x14ac:dyDescent="0.3">
      <c r="A50" s="2" t="s">
        <v>52</v>
      </c>
      <c r="B50" s="16" t="s">
        <v>83</v>
      </c>
    </row>
    <row r="51" spans="1:2" x14ac:dyDescent="0.3">
      <c r="A51" s="2" t="s">
        <v>53</v>
      </c>
      <c r="B51" s="16" t="s">
        <v>73</v>
      </c>
    </row>
    <row r="52" spans="1:2" x14ac:dyDescent="0.3">
      <c r="A52" s="2" t="s">
        <v>54</v>
      </c>
      <c r="B52" s="16" t="s">
        <v>135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 tint="-0.249977111117893"/>
  </sheetPr>
  <dimension ref="A1:D190"/>
  <sheetViews>
    <sheetView workbookViewId="0">
      <selection activeCell="B27" sqref="B27"/>
    </sheetView>
  </sheetViews>
  <sheetFormatPr defaultColWidth="8.77734375" defaultRowHeight="14.4" x14ac:dyDescent="0.3"/>
  <cols>
    <col min="1" max="1" width="21.88671875" customWidth="1"/>
    <col min="2" max="2" width="18.109375" customWidth="1"/>
    <col min="3" max="3" width="18.109375" style="2" customWidth="1"/>
    <col min="4" max="4" width="22.6640625" customWidth="1"/>
  </cols>
  <sheetData>
    <row r="1" spans="1:4" x14ac:dyDescent="0.3">
      <c r="A1" s="4" t="s">
        <v>224</v>
      </c>
      <c r="B1" s="4" t="s">
        <v>0</v>
      </c>
      <c r="C1" s="4" t="s">
        <v>1</v>
      </c>
      <c r="D1" s="17" t="s">
        <v>134</v>
      </c>
    </row>
    <row r="2" spans="1:4" x14ac:dyDescent="0.3">
      <c r="A2" t="str">
        <f>B2&amp;"-"&amp;C2</f>
        <v>Alabama-2001</v>
      </c>
      <c r="B2" t="s">
        <v>4</v>
      </c>
      <c r="C2" s="2">
        <v>2001</v>
      </c>
      <c r="D2" s="18">
        <v>24477</v>
      </c>
    </row>
    <row r="3" spans="1:4" x14ac:dyDescent="0.3">
      <c r="A3" t="str">
        <f t="shared" ref="A3:A66" si="0">B3&amp;"-"&amp;C3</f>
        <v>Alaska-2001</v>
      </c>
      <c r="B3" t="s">
        <v>5</v>
      </c>
      <c r="C3" s="2">
        <v>2001</v>
      </c>
      <c r="D3" s="18">
        <v>31027</v>
      </c>
    </row>
    <row r="4" spans="1:4" x14ac:dyDescent="0.3">
      <c r="A4" t="str">
        <f t="shared" si="0"/>
        <v>Arizona-2001</v>
      </c>
      <c r="B4" t="s">
        <v>6</v>
      </c>
      <c r="C4" s="2">
        <v>2001</v>
      </c>
      <c r="D4" s="18">
        <v>25878</v>
      </c>
    </row>
    <row r="5" spans="1:4" x14ac:dyDescent="0.3">
      <c r="A5" t="str">
        <f t="shared" si="0"/>
        <v>Arkansas-2001</v>
      </c>
      <c r="B5" t="s">
        <v>7</v>
      </c>
      <c r="C5" s="2">
        <v>2001</v>
      </c>
      <c r="D5" s="18">
        <v>22750</v>
      </c>
    </row>
    <row r="6" spans="1:4" x14ac:dyDescent="0.3">
      <c r="A6" t="str">
        <f t="shared" si="0"/>
        <v>California-2001</v>
      </c>
      <c r="B6" t="s">
        <v>8</v>
      </c>
      <c r="C6" s="2">
        <v>2001</v>
      </c>
      <c r="D6" s="18">
        <v>32655</v>
      </c>
    </row>
    <row r="7" spans="1:4" x14ac:dyDescent="0.3">
      <c r="A7" t="str">
        <f t="shared" si="0"/>
        <v>Colorado-2001</v>
      </c>
      <c r="B7" t="s">
        <v>9</v>
      </c>
      <c r="C7" s="2">
        <v>2001</v>
      </c>
      <c r="D7" s="18">
        <v>33455</v>
      </c>
    </row>
    <row r="8" spans="1:4" x14ac:dyDescent="0.3">
      <c r="A8" t="str">
        <f t="shared" si="0"/>
        <v>D.C.-2001</v>
      </c>
      <c r="B8" t="s">
        <v>11</v>
      </c>
      <c r="C8" s="2">
        <v>2001</v>
      </c>
      <c r="D8" s="18">
        <v>32166</v>
      </c>
    </row>
    <row r="9" spans="1:4" x14ac:dyDescent="0.3">
      <c r="A9" t="str">
        <f t="shared" si="0"/>
        <v>Delaware-2001</v>
      </c>
      <c r="B9" t="s">
        <v>12</v>
      </c>
      <c r="C9" s="2">
        <v>2001</v>
      </c>
      <c r="D9" s="18">
        <v>40539</v>
      </c>
    </row>
    <row r="10" spans="1:4" x14ac:dyDescent="0.3">
      <c r="A10" t="str">
        <f t="shared" si="0"/>
        <v>Florida-2001</v>
      </c>
      <c r="B10" t="s">
        <v>13</v>
      </c>
      <c r="C10" s="2">
        <v>2001</v>
      </c>
      <c r="D10" s="18">
        <v>29048</v>
      </c>
    </row>
    <row r="11" spans="1:4" x14ac:dyDescent="0.3">
      <c r="A11" t="str">
        <f t="shared" si="0"/>
        <v>Georgia-2001</v>
      </c>
      <c r="B11" t="s">
        <v>14</v>
      </c>
      <c r="C11" s="2">
        <v>2001</v>
      </c>
      <c r="D11" s="18">
        <v>28523</v>
      </c>
    </row>
    <row r="12" spans="1:4" x14ac:dyDescent="0.3">
      <c r="A12" t="str">
        <f t="shared" si="0"/>
        <v>Hawaii-2001</v>
      </c>
      <c r="B12" t="s">
        <v>15</v>
      </c>
      <c r="C12" s="2">
        <v>2001</v>
      </c>
      <c r="D12" s="18">
        <v>29034</v>
      </c>
    </row>
    <row r="13" spans="1:4" x14ac:dyDescent="0.3">
      <c r="A13" t="str">
        <f t="shared" si="0"/>
        <v>Idaho-2001</v>
      </c>
      <c r="B13" t="s">
        <v>16</v>
      </c>
      <c r="C13" s="2">
        <v>2001</v>
      </c>
      <c r="D13" s="18">
        <v>24506</v>
      </c>
    </row>
    <row r="14" spans="1:4" x14ac:dyDescent="0.3">
      <c r="A14" t="str">
        <f t="shared" si="0"/>
        <v>Indiana-2001</v>
      </c>
      <c r="B14" t="s">
        <v>18</v>
      </c>
      <c r="C14" s="2">
        <v>2001</v>
      </c>
      <c r="D14" s="18">
        <v>27522</v>
      </c>
    </row>
    <row r="15" spans="1:4" x14ac:dyDescent="0.3">
      <c r="A15" t="str">
        <f t="shared" si="0"/>
        <v>Iowa-2001</v>
      </c>
      <c r="B15" t="s">
        <v>19</v>
      </c>
      <c r="C15" s="2">
        <v>2001</v>
      </c>
      <c r="D15" s="18">
        <v>27225</v>
      </c>
    </row>
    <row r="16" spans="1:4" x14ac:dyDescent="0.3">
      <c r="A16" t="str">
        <f t="shared" si="0"/>
        <v>Kansas-2001</v>
      </c>
      <c r="B16" t="s">
        <v>20</v>
      </c>
      <c r="C16" s="2">
        <v>2001</v>
      </c>
      <c r="D16" s="18">
        <v>28432</v>
      </c>
    </row>
    <row r="17" spans="1:4" x14ac:dyDescent="0.3">
      <c r="A17" t="str">
        <f t="shared" si="0"/>
        <v>Maryland-2001</v>
      </c>
      <c r="B17" t="s">
        <v>24</v>
      </c>
      <c r="C17" s="2">
        <v>2001</v>
      </c>
      <c r="D17" s="18">
        <v>35279</v>
      </c>
    </row>
    <row r="18" spans="1:4" x14ac:dyDescent="0.3">
      <c r="A18" t="str">
        <f t="shared" si="0"/>
        <v>Massachusetts-2001</v>
      </c>
      <c r="B18" t="s">
        <v>25</v>
      </c>
      <c r="C18" s="2">
        <v>2001</v>
      </c>
      <c r="D18" s="18">
        <v>38864</v>
      </c>
    </row>
    <row r="19" spans="1:4" x14ac:dyDescent="0.3">
      <c r="A19" t="str">
        <f t="shared" si="0"/>
        <v>Michigan-2001</v>
      </c>
      <c r="B19" t="s">
        <v>26</v>
      </c>
      <c r="C19" s="2">
        <v>2001</v>
      </c>
      <c r="D19" s="18">
        <v>29629</v>
      </c>
    </row>
    <row r="20" spans="1:4" x14ac:dyDescent="0.3">
      <c r="A20" t="str">
        <f t="shared" si="0"/>
        <v>Minnesota-2001</v>
      </c>
      <c r="B20" t="s">
        <v>27</v>
      </c>
      <c r="C20" s="2">
        <v>2001</v>
      </c>
      <c r="D20" s="18">
        <v>33059</v>
      </c>
    </row>
    <row r="21" spans="1:4" x14ac:dyDescent="0.3">
      <c r="A21" t="str">
        <f t="shared" si="0"/>
        <v>Mississippi-2001</v>
      </c>
      <c r="B21" t="s">
        <v>28</v>
      </c>
      <c r="C21" s="2">
        <v>2001</v>
      </c>
      <c r="D21" s="18">
        <v>21653</v>
      </c>
    </row>
    <row r="22" spans="1:4" x14ac:dyDescent="0.3">
      <c r="A22" t="str">
        <f t="shared" si="0"/>
        <v>Missouri-2001</v>
      </c>
      <c r="B22" t="s">
        <v>29</v>
      </c>
      <c r="C22" s="2">
        <v>2001</v>
      </c>
      <c r="D22" s="18">
        <v>28221</v>
      </c>
    </row>
    <row r="23" spans="1:4" x14ac:dyDescent="0.3">
      <c r="A23" t="str">
        <f t="shared" si="0"/>
        <v>Montana-2001</v>
      </c>
      <c r="B23" t="s">
        <v>30</v>
      </c>
      <c r="C23" s="2">
        <v>2001</v>
      </c>
      <c r="D23" s="18">
        <v>24044</v>
      </c>
    </row>
    <row r="24" spans="1:4" x14ac:dyDescent="0.3">
      <c r="A24" t="str">
        <f t="shared" si="0"/>
        <v>Nebraska-2001</v>
      </c>
      <c r="B24" t="s">
        <v>31</v>
      </c>
      <c r="C24" s="2">
        <v>2001</v>
      </c>
      <c r="D24" s="18">
        <v>28861</v>
      </c>
    </row>
    <row r="25" spans="1:4" x14ac:dyDescent="0.3">
      <c r="A25" t="str">
        <f t="shared" si="0"/>
        <v>Nevada-2001</v>
      </c>
      <c r="B25" t="s">
        <v>32</v>
      </c>
      <c r="C25" s="2">
        <v>2001</v>
      </c>
      <c r="D25" s="18">
        <v>30128</v>
      </c>
    </row>
    <row r="26" spans="1:4" x14ac:dyDescent="0.3">
      <c r="A26" t="str">
        <f t="shared" si="0"/>
        <v>New Hampshire-2001</v>
      </c>
      <c r="B26" t="s">
        <v>33</v>
      </c>
      <c r="C26" s="2">
        <v>2001</v>
      </c>
      <c r="D26" s="18">
        <v>33969</v>
      </c>
    </row>
    <row r="27" spans="1:4" x14ac:dyDescent="0.3">
      <c r="A27" t="str">
        <f t="shared" si="0"/>
        <v>New Jersey-2001</v>
      </c>
      <c r="B27" t="s">
        <v>34</v>
      </c>
      <c r="C27" s="2">
        <v>2001</v>
      </c>
      <c r="D27" s="18">
        <v>38625</v>
      </c>
    </row>
    <row r="28" spans="1:4" x14ac:dyDescent="0.3">
      <c r="A28" t="str">
        <f t="shared" si="0"/>
        <v>New Mexico-2001</v>
      </c>
      <c r="B28" t="s">
        <v>35</v>
      </c>
      <c r="C28" s="2">
        <v>2001</v>
      </c>
      <c r="D28" s="18">
        <v>23081</v>
      </c>
    </row>
    <row r="29" spans="1:4" x14ac:dyDescent="0.3">
      <c r="A29" t="str">
        <f t="shared" si="0"/>
        <v>New York-2001</v>
      </c>
      <c r="B29" t="s">
        <v>36</v>
      </c>
      <c r="C29" s="2">
        <v>2001</v>
      </c>
      <c r="D29" s="18">
        <v>35878</v>
      </c>
    </row>
    <row r="30" spans="1:4" x14ac:dyDescent="0.3">
      <c r="A30" t="str">
        <f t="shared" si="0"/>
        <v>North Carolina-2001</v>
      </c>
      <c r="B30" t="s">
        <v>37</v>
      </c>
      <c r="C30" s="2">
        <v>2001</v>
      </c>
      <c r="D30" s="18">
        <v>27308</v>
      </c>
    </row>
    <row r="31" spans="1:4" x14ac:dyDescent="0.3">
      <c r="A31" t="str">
        <f t="shared" si="0"/>
        <v>North Dakota-2001</v>
      </c>
      <c r="B31" t="s">
        <v>38</v>
      </c>
      <c r="C31" s="2">
        <v>2001</v>
      </c>
      <c r="D31" s="18">
        <v>25798</v>
      </c>
    </row>
    <row r="32" spans="1:4" x14ac:dyDescent="0.3">
      <c r="A32" t="str">
        <f t="shared" si="0"/>
        <v>Ohio-2001</v>
      </c>
      <c r="B32" t="s">
        <v>39</v>
      </c>
      <c r="C32" s="2">
        <v>2001</v>
      </c>
      <c r="D32" s="18">
        <v>28699</v>
      </c>
    </row>
    <row r="33" spans="1:4" x14ac:dyDescent="0.3">
      <c r="A33" t="str">
        <f t="shared" si="0"/>
        <v>Oklahoma-2001</v>
      </c>
      <c r="B33" t="s">
        <v>40</v>
      </c>
      <c r="C33" s="2">
        <v>2001</v>
      </c>
      <c r="D33" s="18">
        <v>24945</v>
      </c>
    </row>
    <row r="34" spans="1:4" x14ac:dyDescent="0.3">
      <c r="A34" t="str">
        <f t="shared" si="0"/>
        <v>Oregon-2001</v>
      </c>
      <c r="B34" t="s">
        <v>41</v>
      </c>
      <c r="C34" s="2">
        <v>2001</v>
      </c>
      <c r="D34" s="18">
        <v>28222</v>
      </c>
    </row>
    <row r="35" spans="1:4" x14ac:dyDescent="0.3">
      <c r="A35" t="str">
        <f t="shared" si="0"/>
        <v>Pennsylvania-2001</v>
      </c>
      <c r="B35" t="s">
        <v>42</v>
      </c>
      <c r="C35" s="2">
        <v>2001</v>
      </c>
      <c r="D35" s="18">
        <v>30752</v>
      </c>
    </row>
    <row r="36" spans="1:4" x14ac:dyDescent="0.3">
      <c r="A36" t="str">
        <f t="shared" si="0"/>
        <v>Rhode Island-2001</v>
      </c>
      <c r="B36" t="s">
        <v>43</v>
      </c>
      <c r="C36" s="2">
        <v>2001</v>
      </c>
      <c r="D36" s="18">
        <v>30256</v>
      </c>
    </row>
    <row r="37" spans="1:4" x14ac:dyDescent="0.3">
      <c r="A37" t="str">
        <f t="shared" si="0"/>
        <v>South Carolina-2001</v>
      </c>
      <c r="B37" t="s">
        <v>44</v>
      </c>
      <c r="C37" s="2">
        <v>2001</v>
      </c>
      <c r="D37" s="18">
        <v>24840</v>
      </c>
    </row>
    <row r="38" spans="1:4" x14ac:dyDescent="0.3">
      <c r="A38" t="str">
        <f t="shared" si="0"/>
        <v>South Dakota-2001</v>
      </c>
      <c r="B38" t="s">
        <v>45</v>
      </c>
      <c r="C38" s="2">
        <v>2001</v>
      </c>
      <c r="D38" s="18">
        <v>26566</v>
      </c>
    </row>
    <row r="39" spans="1:4" x14ac:dyDescent="0.3">
      <c r="A39" t="str">
        <f t="shared" si="0"/>
        <v>Tennessee-2001</v>
      </c>
      <c r="B39" t="s">
        <v>46</v>
      </c>
      <c r="C39" s="2">
        <v>2001</v>
      </c>
      <c r="D39" s="18">
        <v>26808</v>
      </c>
    </row>
    <row r="40" spans="1:4" x14ac:dyDescent="0.3">
      <c r="A40" t="str">
        <f t="shared" si="0"/>
        <v>Texas-2001</v>
      </c>
      <c r="B40" t="s">
        <v>47</v>
      </c>
      <c r="C40" s="2">
        <v>2001</v>
      </c>
      <c r="D40" s="18">
        <v>28472</v>
      </c>
    </row>
    <row r="41" spans="1:4" x14ac:dyDescent="0.3">
      <c r="A41" t="str">
        <f t="shared" si="0"/>
        <v>Utah-2001</v>
      </c>
      <c r="B41" t="s">
        <v>48</v>
      </c>
      <c r="C41" s="2">
        <v>2001</v>
      </c>
      <c r="D41" s="18">
        <v>24033</v>
      </c>
    </row>
    <row r="42" spans="1:4" x14ac:dyDescent="0.3">
      <c r="A42" t="str">
        <f t="shared" si="0"/>
        <v>Vermont-2001</v>
      </c>
      <c r="B42" t="s">
        <v>49</v>
      </c>
      <c r="C42" s="2">
        <v>2001</v>
      </c>
      <c r="D42" s="18">
        <v>28756</v>
      </c>
    </row>
    <row r="43" spans="1:4" x14ac:dyDescent="0.3">
      <c r="A43" t="str">
        <f t="shared" si="0"/>
        <v>Virginia-2001</v>
      </c>
      <c r="B43" t="s">
        <v>50</v>
      </c>
      <c r="C43" s="2">
        <v>2001</v>
      </c>
      <c r="D43" s="18">
        <v>32338</v>
      </c>
    </row>
    <row r="44" spans="1:4" x14ac:dyDescent="0.3">
      <c r="A44" t="str">
        <f t="shared" si="0"/>
        <v>Washington-2001</v>
      </c>
      <c r="B44" t="s">
        <v>51</v>
      </c>
      <c r="C44" s="2">
        <v>2001</v>
      </c>
      <c r="D44" s="18">
        <v>31976</v>
      </c>
    </row>
    <row r="45" spans="1:4" x14ac:dyDescent="0.3">
      <c r="A45" t="str">
        <f t="shared" si="0"/>
        <v>West Virginia-2001</v>
      </c>
      <c r="B45" t="s">
        <v>52</v>
      </c>
      <c r="C45" s="2">
        <v>2001</v>
      </c>
      <c r="D45" s="18">
        <v>22862</v>
      </c>
    </row>
    <row r="46" spans="1:4" x14ac:dyDescent="0.3">
      <c r="A46" t="str">
        <f t="shared" si="0"/>
        <v>Wisconsin-2001</v>
      </c>
      <c r="B46" t="s">
        <v>53</v>
      </c>
      <c r="C46" s="2">
        <v>2001</v>
      </c>
      <c r="D46" s="18">
        <v>29196</v>
      </c>
    </row>
    <row r="47" spans="1:4" x14ac:dyDescent="0.3">
      <c r="A47" t="str">
        <f t="shared" si="0"/>
        <v>Wyoming-2001</v>
      </c>
      <c r="B47" t="s">
        <v>54</v>
      </c>
      <c r="C47" s="2">
        <v>2001</v>
      </c>
      <c r="D47" s="18">
        <v>29587</v>
      </c>
    </row>
    <row r="48" spans="1:4" x14ac:dyDescent="0.3">
      <c r="A48" t="str">
        <f t="shared" si="0"/>
        <v>Alabama-2002</v>
      </c>
      <c r="B48" t="s">
        <v>4</v>
      </c>
      <c r="C48" s="2">
        <v>2002</v>
      </c>
      <c r="D48" s="18">
        <v>25128</v>
      </c>
    </row>
    <row r="49" spans="1:4" x14ac:dyDescent="0.3">
      <c r="A49" t="str">
        <f t="shared" si="0"/>
        <v>Alaska-2002</v>
      </c>
      <c r="B49" t="s">
        <v>5</v>
      </c>
      <c r="C49" s="2">
        <v>2002</v>
      </c>
      <c r="D49" s="18">
        <v>32151</v>
      </c>
    </row>
    <row r="50" spans="1:4" x14ac:dyDescent="0.3">
      <c r="A50" t="str">
        <f t="shared" si="0"/>
        <v>Arizona-2002</v>
      </c>
      <c r="B50" t="s">
        <v>6</v>
      </c>
      <c r="C50" s="2">
        <v>2002</v>
      </c>
      <c r="D50" s="18">
        <v>26183</v>
      </c>
    </row>
    <row r="51" spans="1:4" x14ac:dyDescent="0.3">
      <c r="A51" t="str">
        <f t="shared" si="0"/>
        <v>Arkansas-2002</v>
      </c>
      <c r="B51" t="s">
        <v>7</v>
      </c>
      <c r="C51" s="2">
        <v>2002</v>
      </c>
      <c r="D51" s="18">
        <v>23512</v>
      </c>
    </row>
    <row r="52" spans="1:4" x14ac:dyDescent="0.3">
      <c r="A52" t="str">
        <f t="shared" si="0"/>
        <v>California-2002</v>
      </c>
      <c r="B52" t="s">
        <v>8</v>
      </c>
      <c r="C52" s="2">
        <v>2002</v>
      </c>
      <c r="D52" s="18">
        <v>32996</v>
      </c>
    </row>
    <row r="53" spans="1:4" x14ac:dyDescent="0.3">
      <c r="A53" t="str">
        <f t="shared" si="0"/>
        <v>Colorado-2002</v>
      </c>
      <c r="B53" t="s">
        <v>9</v>
      </c>
      <c r="C53" s="2">
        <v>2002</v>
      </c>
      <c r="D53" s="18">
        <v>33276</v>
      </c>
    </row>
    <row r="54" spans="1:4" x14ac:dyDescent="0.3">
      <c r="A54" t="str">
        <f t="shared" si="0"/>
        <v>Connecticut-2002</v>
      </c>
      <c r="B54" t="s">
        <v>10</v>
      </c>
      <c r="C54" s="2">
        <v>2002</v>
      </c>
      <c r="D54" s="18">
        <v>42706</v>
      </c>
    </row>
    <row r="55" spans="1:4" x14ac:dyDescent="0.3">
      <c r="A55" t="str">
        <f t="shared" si="0"/>
        <v>Delaware-2002</v>
      </c>
      <c r="B55" t="s">
        <v>12</v>
      </c>
      <c r="C55" s="2">
        <v>2002</v>
      </c>
      <c r="D55" s="18">
        <v>42120</v>
      </c>
    </row>
    <row r="56" spans="1:4" x14ac:dyDescent="0.3">
      <c r="A56" t="str">
        <f t="shared" si="0"/>
        <v>Florida-2002</v>
      </c>
      <c r="B56" t="s">
        <v>13</v>
      </c>
      <c r="C56" s="2">
        <v>2002</v>
      </c>
      <c r="D56" s="18">
        <v>29596</v>
      </c>
    </row>
    <row r="57" spans="1:4" x14ac:dyDescent="0.3">
      <c r="A57" t="str">
        <f t="shared" si="0"/>
        <v>Georgia-2002</v>
      </c>
      <c r="B57" t="s">
        <v>14</v>
      </c>
      <c r="C57" s="2">
        <v>2002</v>
      </c>
      <c r="D57" s="18">
        <v>28821</v>
      </c>
    </row>
    <row r="58" spans="1:4" x14ac:dyDescent="0.3">
      <c r="A58" t="str">
        <f t="shared" si="0"/>
        <v>Hawaii-2002</v>
      </c>
      <c r="B58" t="s">
        <v>15</v>
      </c>
      <c r="C58" s="2">
        <v>2002</v>
      </c>
      <c r="D58" s="18">
        <v>30001</v>
      </c>
    </row>
    <row r="59" spans="1:4" x14ac:dyDescent="0.3">
      <c r="A59" t="str">
        <f t="shared" si="0"/>
        <v>Idaho-2002</v>
      </c>
      <c r="B59" t="s">
        <v>16</v>
      </c>
      <c r="C59" s="2">
        <v>2002</v>
      </c>
      <c r="D59" s="18">
        <v>25057</v>
      </c>
    </row>
    <row r="60" spans="1:4" x14ac:dyDescent="0.3">
      <c r="A60" t="str">
        <f t="shared" si="0"/>
        <v>Illinois-2002</v>
      </c>
      <c r="B60" t="s">
        <v>17</v>
      </c>
      <c r="C60" s="2">
        <v>2002</v>
      </c>
      <c r="D60" s="18">
        <v>33404</v>
      </c>
    </row>
    <row r="61" spans="1:4" x14ac:dyDescent="0.3">
      <c r="A61" t="str">
        <f t="shared" si="0"/>
        <v>Indiana-2002</v>
      </c>
      <c r="B61" t="s">
        <v>18</v>
      </c>
      <c r="C61" s="2">
        <v>2002</v>
      </c>
      <c r="D61" s="18">
        <v>28240</v>
      </c>
    </row>
    <row r="62" spans="1:4" x14ac:dyDescent="0.3">
      <c r="A62" t="str">
        <f t="shared" si="0"/>
        <v>Iowa-2002</v>
      </c>
      <c r="B62" t="s">
        <v>19</v>
      </c>
      <c r="C62" s="2">
        <v>2002</v>
      </c>
      <c r="D62" s="18">
        <v>28280</v>
      </c>
    </row>
    <row r="63" spans="1:4" x14ac:dyDescent="0.3">
      <c r="A63" t="str">
        <f t="shared" si="0"/>
        <v>Kansas-2002</v>
      </c>
      <c r="B63" t="s">
        <v>20</v>
      </c>
      <c r="C63" s="2">
        <v>2002</v>
      </c>
      <c r="D63" s="18">
        <v>29141</v>
      </c>
    </row>
    <row r="64" spans="1:4" x14ac:dyDescent="0.3">
      <c r="A64" t="str">
        <f t="shared" si="0"/>
        <v>Louisiana-2002</v>
      </c>
      <c r="B64" t="s">
        <v>22</v>
      </c>
      <c r="C64" s="2">
        <v>2002</v>
      </c>
      <c r="D64" s="18">
        <v>25446</v>
      </c>
    </row>
    <row r="65" spans="1:4" x14ac:dyDescent="0.3">
      <c r="A65" t="str">
        <f t="shared" si="0"/>
        <v>Maine-2002</v>
      </c>
      <c r="B65" t="s">
        <v>23</v>
      </c>
      <c r="C65" s="2">
        <v>2002</v>
      </c>
      <c r="D65" s="18">
        <v>27744</v>
      </c>
    </row>
    <row r="66" spans="1:4" x14ac:dyDescent="0.3">
      <c r="A66" t="str">
        <f t="shared" si="0"/>
        <v>Massachusetts-2002</v>
      </c>
      <c r="B66" t="s">
        <v>25</v>
      </c>
      <c r="C66" s="2">
        <v>2002</v>
      </c>
      <c r="D66" s="18">
        <v>39244</v>
      </c>
    </row>
    <row r="67" spans="1:4" x14ac:dyDescent="0.3">
      <c r="A67" t="str">
        <f t="shared" ref="A67:A130" si="1">B67&amp;"-"&amp;C67</f>
        <v>Michigan-2002</v>
      </c>
      <c r="B67" t="s">
        <v>26</v>
      </c>
      <c r="C67" s="2">
        <v>2002</v>
      </c>
      <c r="D67" s="18">
        <v>30296</v>
      </c>
    </row>
    <row r="68" spans="1:4" x14ac:dyDescent="0.3">
      <c r="A68" t="str">
        <f t="shared" si="1"/>
        <v>Minnesota-2002</v>
      </c>
      <c r="B68" t="s">
        <v>27</v>
      </c>
      <c r="C68" s="2">
        <v>2002</v>
      </c>
      <c r="D68" s="18">
        <v>34071</v>
      </c>
    </row>
    <row r="69" spans="1:4" x14ac:dyDescent="0.3">
      <c r="A69" t="str">
        <f t="shared" si="1"/>
        <v>Mississippi-2002</v>
      </c>
      <c r="B69" t="s">
        <v>28</v>
      </c>
      <c r="C69" s="2">
        <v>2002</v>
      </c>
      <c r="D69" s="18">
        <v>22372</v>
      </c>
    </row>
    <row r="70" spans="1:4" x14ac:dyDescent="0.3">
      <c r="A70" t="str">
        <f t="shared" si="1"/>
        <v>Missouri-2002</v>
      </c>
      <c r="B70" t="s">
        <v>29</v>
      </c>
      <c r="C70" s="2">
        <v>2002</v>
      </c>
      <c r="D70" s="18">
        <v>28936</v>
      </c>
    </row>
    <row r="71" spans="1:4" x14ac:dyDescent="0.3">
      <c r="A71" t="str">
        <f t="shared" si="1"/>
        <v>Montana-2002</v>
      </c>
      <c r="B71" t="s">
        <v>30</v>
      </c>
      <c r="C71" s="2">
        <v>2002</v>
      </c>
      <c r="D71" s="18">
        <v>25020</v>
      </c>
    </row>
    <row r="72" spans="1:4" x14ac:dyDescent="0.3">
      <c r="A72" t="str">
        <f t="shared" si="1"/>
        <v>Nebraska-2002</v>
      </c>
      <c r="B72" t="s">
        <v>31</v>
      </c>
      <c r="C72" s="2">
        <v>2002</v>
      </c>
      <c r="D72" s="18">
        <v>29771</v>
      </c>
    </row>
    <row r="73" spans="1:4" x14ac:dyDescent="0.3">
      <c r="A73" t="str">
        <f t="shared" si="1"/>
        <v>Nevada-2002</v>
      </c>
      <c r="B73" t="s">
        <v>32</v>
      </c>
      <c r="C73" s="2">
        <v>2002</v>
      </c>
      <c r="D73" s="18">
        <v>30180</v>
      </c>
    </row>
    <row r="74" spans="1:4" x14ac:dyDescent="0.3">
      <c r="A74" t="str">
        <f t="shared" si="1"/>
        <v>New Hampshire-2002</v>
      </c>
      <c r="B74" t="s">
        <v>33</v>
      </c>
      <c r="C74" s="2">
        <v>2002</v>
      </c>
      <c r="D74" s="18">
        <v>34334</v>
      </c>
    </row>
    <row r="75" spans="1:4" x14ac:dyDescent="0.3">
      <c r="A75" t="str">
        <f t="shared" si="1"/>
        <v>New Jersey-2002</v>
      </c>
      <c r="B75" t="s">
        <v>34</v>
      </c>
      <c r="C75" s="2">
        <v>2002</v>
      </c>
      <c r="D75" s="18">
        <v>39453</v>
      </c>
    </row>
    <row r="76" spans="1:4" x14ac:dyDescent="0.3">
      <c r="A76" t="str">
        <f t="shared" si="1"/>
        <v>New Mexico-2002</v>
      </c>
      <c r="B76" t="s">
        <v>35</v>
      </c>
      <c r="C76" s="2">
        <v>2002</v>
      </c>
      <c r="D76" s="18">
        <v>23941</v>
      </c>
    </row>
    <row r="77" spans="1:4" x14ac:dyDescent="0.3">
      <c r="A77" t="str">
        <f t="shared" si="1"/>
        <v>New York-2002</v>
      </c>
      <c r="B77" t="s">
        <v>36</v>
      </c>
      <c r="C77" s="2">
        <v>2002</v>
      </c>
      <c r="D77" s="18">
        <v>36043</v>
      </c>
    </row>
    <row r="78" spans="1:4" x14ac:dyDescent="0.3">
      <c r="A78" t="str">
        <f t="shared" si="1"/>
        <v>North Carolina-2002</v>
      </c>
      <c r="B78" t="s">
        <v>37</v>
      </c>
      <c r="C78" s="2">
        <v>2002</v>
      </c>
      <c r="D78" s="18">
        <v>27711</v>
      </c>
    </row>
    <row r="79" spans="1:4" x14ac:dyDescent="0.3">
      <c r="A79" t="str">
        <f t="shared" si="1"/>
        <v>North Dakota-2002</v>
      </c>
      <c r="B79" t="s">
        <v>38</v>
      </c>
      <c r="C79" s="2">
        <v>2002</v>
      </c>
      <c r="D79" s="18">
        <v>26982</v>
      </c>
    </row>
    <row r="80" spans="1:4" x14ac:dyDescent="0.3">
      <c r="A80" t="str">
        <f t="shared" si="1"/>
        <v>Ohio-2002</v>
      </c>
      <c r="B80" t="s">
        <v>39</v>
      </c>
      <c r="C80" s="2">
        <v>2002</v>
      </c>
      <c r="D80" s="18">
        <v>29405</v>
      </c>
    </row>
    <row r="81" spans="1:4" x14ac:dyDescent="0.3">
      <c r="A81" t="str">
        <f t="shared" si="1"/>
        <v>Oklahoma-2002</v>
      </c>
      <c r="B81" t="s">
        <v>40</v>
      </c>
      <c r="C81" s="2">
        <v>2002</v>
      </c>
      <c r="D81" s="18">
        <v>25575</v>
      </c>
    </row>
    <row r="82" spans="1:4" x14ac:dyDescent="0.3">
      <c r="A82" t="str">
        <f t="shared" si="1"/>
        <v>Oregon-2002</v>
      </c>
      <c r="B82" t="s">
        <v>41</v>
      </c>
      <c r="C82" s="2">
        <v>2002</v>
      </c>
      <c r="D82" s="18">
        <v>28731</v>
      </c>
    </row>
    <row r="83" spans="1:4" x14ac:dyDescent="0.3">
      <c r="A83" t="str">
        <f t="shared" si="1"/>
        <v>Pennsylvania-2002</v>
      </c>
      <c r="B83" t="s">
        <v>42</v>
      </c>
      <c r="C83" s="2">
        <v>2002</v>
      </c>
      <c r="D83" s="18">
        <v>31727</v>
      </c>
    </row>
    <row r="84" spans="1:4" x14ac:dyDescent="0.3">
      <c r="A84" t="str">
        <f t="shared" si="1"/>
        <v>Rhode Island-2002</v>
      </c>
      <c r="B84" t="s">
        <v>43</v>
      </c>
      <c r="C84" s="2">
        <v>2002</v>
      </c>
      <c r="D84" s="18">
        <v>31319</v>
      </c>
    </row>
    <row r="85" spans="1:4" x14ac:dyDescent="0.3">
      <c r="A85" t="str">
        <f t="shared" si="1"/>
        <v>South Carolina-2002</v>
      </c>
      <c r="B85" t="s">
        <v>44</v>
      </c>
      <c r="C85" s="2">
        <v>2002</v>
      </c>
      <c r="D85" s="18">
        <v>25400</v>
      </c>
    </row>
    <row r="86" spans="1:4" x14ac:dyDescent="0.3">
      <c r="A86" t="str">
        <f t="shared" si="1"/>
        <v>South Dakota-2002</v>
      </c>
      <c r="B86" t="s">
        <v>45</v>
      </c>
      <c r="C86" s="2">
        <v>2002</v>
      </c>
      <c r="D86" s="18">
        <v>26894</v>
      </c>
    </row>
    <row r="87" spans="1:4" x14ac:dyDescent="0.3">
      <c r="A87" t="str">
        <f t="shared" si="1"/>
        <v>Tennessee-2002</v>
      </c>
      <c r="B87" t="s">
        <v>46</v>
      </c>
      <c r="C87" s="2">
        <v>2002</v>
      </c>
      <c r="D87" s="18">
        <v>27671</v>
      </c>
    </row>
    <row r="88" spans="1:4" x14ac:dyDescent="0.3">
      <c r="A88" t="str">
        <f t="shared" si="1"/>
        <v>Texas-2002</v>
      </c>
      <c r="B88" t="s">
        <v>47</v>
      </c>
      <c r="C88" s="2">
        <v>2002</v>
      </c>
      <c r="D88" s="18">
        <v>28551</v>
      </c>
    </row>
    <row r="89" spans="1:4" x14ac:dyDescent="0.3">
      <c r="A89" t="str">
        <f t="shared" si="1"/>
        <v>Utah-2002</v>
      </c>
      <c r="B89" t="s">
        <v>48</v>
      </c>
      <c r="C89" s="2">
        <v>2002</v>
      </c>
      <c r="D89" s="18">
        <v>24306</v>
      </c>
    </row>
    <row r="90" spans="1:4" x14ac:dyDescent="0.3">
      <c r="A90" t="str">
        <f t="shared" si="1"/>
        <v>Vermont-2002</v>
      </c>
      <c r="B90" t="s">
        <v>49</v>
      </c>
      <c r="C90" s="2">
        <v>2002</v>
      </c>
      <c r="D90" s="18">
        <v>29567</v>
      </c>
    </row>
    <row r="91" spans="1:4" x14ac:dyDescent="0.3">
      <c r="A91" t="str">
        <f t="shared" si="1"/>
        <v>Virginia-2002</v>
      </c>
      <c r="B91" t="s">
        <v>50</v>
      </c>
      <c r="C91" s="2">
        <v>2002</v>
      </c>
      <c r="D91" s="18">
        <v>32922</v>
      </c>
    </row>
    <row r="92" spans="1:4" x14ac:dyDescent="0.3">
      <c r="A92" t="str">
        <f t="shared" si="1"/>
        <v>Washington-2002</v>
      </c>
      <c r="B92" t="s">
        <v>51</v>
      </c>
      <c r="C92" s="2">
        <v>2002</v>
      </c>
      <c r="D92" s="18">
        <v>32677</v>
      </c>
    </row>
    <row r="93" spans="1:4" x14ac:dyDescent="0.3">
      <c r="A93" t="str">
        <f t="shared" si="1"/>
        <v>West Virginia-2002</v>
      </c>
      <c r="B93" t="s">
        <v>52</v>
      </c>
      <c r="C93" s="2">
        <v>2002</v>
      </c>
      <c r="D93" s="18">
        <v>23688</v>
      </c>
    </row>
    <row r="94" spans="1:4" x14ac:dyDescent="0.3">
      <c r="A94" t="str">
        <f t="shared" si="1"/>
        <v>Wisconsin-2002</v>
      </c>
      <c r="B94" t="s">
        <v>53</v>
      </c>
      <c r="C94" s="2">
        <v>2002</v>
      </c>
      <c r="D94" s="18">
        <v>29923</v>
      </c>
    </row>
    <row r="95" spans="1:4" x14ac:dyDescent="0.3">
      <c r="A95" t="str">
        <f t="shared" si="1"/>
        <v>Wyoming-2002</v>
      </c>
      <c r="B95" t="s">
        <v>54</v>
      </c>
      <c r="C95" s="2">
        <v>2002</v>
      </c>
      <c r="D95" s="18">
        <v>30578</v>
      </c>
    </row>
    <row r="96" spans="1:4" x14ac:dyDescent="0.3">
      <c r="A96" t="str">
        <f t="shared" si="1"/>
        <v>Alabama-2003</v>
      </c>
      <c r="B96" t="s">
        <v>4</v>
      </c>
      <c r="C96" s="2">
        <v>2003</v>
      </c>
      <c r="D96" s="18">
        <v>26338</v>
      </c>
    </row>
    <row r="97" spans="1:4" x14ac:dyDescent="0.3">
      <c r="A97" t="str">
        <f t="shared" si="1"/>
        <v>Alaska-2003</v>
      </c>
      <c r="B97" t="s">
        <v>5</v>
      </c>
      <c r="C97" s="2">
        <v>2003</v>
      </c>
      <c r="D97" s="18">
        <v>33568</v>
      </c>
    </row>
    <row r="98" spans="1:4" x14ac:dyDescent="0.3">
      <c r="A98" t="str">
        <f t="shared" si="1"/>
        <v>Arizona-2003</v>
      </c>
      <c r="B98" t="s">
        <v>6</v>
      </c>
      <c r="C98" s="2">
        <v>2003</v>
      </c>
      <c r="D98" s="18">
        <v>26838</v>
      </c>
    </row>
    <row r="99" spans="1:4" x14ac:dyDescent="0.3">
      <c r="A99" t="str">
        <f t="shared" si="1"/>
        <v>Arkansas-2003</v>
      </c>
      <c r="B99" t="s">
        <v>7</v>
      </c>
      <c r="C99" s="2">
        <v>2003</v>
      </c>
      <c r="D99" s="18">
        <v>24289</v>
      </c>
    </row>
    <row r="100" spans="1:4" x14ac:dyDescent="0.3">
      <c r="A100" t="str">
        <f t="shared" si="1"/>
        <v>California-2003</v>
      </c>
      <c r="B100" t="s">
        <v>8</v>
      </c>
      <c r="C100" s="2">
        <v>2003</v>
      </c>
      <c r="D100" s="18">
        <v>33749</v>
      </c>
    </row>
    <row r="101" spans="1:4" x14ac:dyDescent="0.3">
      <c r="A101" t="str">
        <f t="shared" si="1"/>
        <v>Colorado-2003</v>
      </c>
      <c r="B101" t="s">
        <v>9</v>
      </c>
      <c r="C101" s="2">
        <v>2003</v>
      </c>
      <c r="D101" s="18">
        <v>34283</v>
      </c>
    </row>
    <row r="102" spans="1:4" x14ac:dyDescent="0.3">
      <c r="A102" t="str">
        <f t="shared" si="1"/>
        <v>Connecticut-2003</v>
      </c>
      <c r="B102" t="s">
        <v>10</v>
      </c>
      <c r="C102" s="2">
        <v>2003</v>
      </c>
      <c r="D102" s="18">
        <v>43173</v>
      </c>
    </row>
    <row r="103" spans="1:4" x14ac:dyDescent="0.3">
      <c r="A103" t="str">
        <f t="shared" si="1"/>
        <v>Delaware-2003</v>
      </c>
      <c r="B103" t="s">
        <v>12</v>
      </c>
      <c r="C103" s="2">
        <v>2003</v>
      </c>
      <c r="D103" s="18">
        <v>48342</v>
      </c>
    </row>
    <row r="104" spans="1:4" x14ac:dyDescent="0.3">
      <c r="A104" t="str">
        <f t="shared" si="1"/>
        <v>Florida-2003</v>
      </c>
      <c r="B104" t="s">
        <v>13</v>
      </c>
      <c r="C104" s="2">
        <v>2003</v>
      </c>
      <c r="D104" s="18">
        <v>30446</v>
      </c>
    </row>
    <row r="105" spans="1:4" x14ac:dyDescent="0.3">
      <c r="A105" t="str">
        <f t="shared" si="1"/>
        <v>Georgia-2003</v>
      </c>
      <c r="B105" t="s">
        <v>14</v>
      </c>
      <c r="C105" s="2">
        <v>2003</v>
      </c>
      <c r="D105" s="18">
        <v>29442</v>
      </c>
    </row>
    <row r="106" spans="1:4" x14ac:dyDescent="0.3">
      <c r="A106" t="str">
        <f t="shared" si="1"/>
        <v>Hawaii-2003</v>
      </c>
      <c r="B106" t="s">
        <v>15</v>
      </c>
      <c r="C106" s="2">
        <v>2003</v>
      </c>
      <c r="D106" s="18">
        <v>30913</v>
      </c>
    </row>
    <row r="107" spans="1:4" x14ac:dyDescent="0.3">
      <c r="A107" t="str">
        <f t="shared" si="1"/>
        <v>Indiana-2003</v>
      </c>
      <c r="B107" t="s">
        <v>18</v>
      </c>
      <c r="C107" s="2">
        <v>2003</v>
      </c>
      <c r="D107" s="18">
        <v>28783</v>
      </c>
    </row>
    <row r="108" spans="1:4" x14ac:dyDescent="0.3">
      <c r="A108" t="str">
        <f t="shared" si="1"/>
        <v>Iowa-2003</v>
      </c>
      <c r="B108" t="s">
        <v>19</v>
      </c>
      <c r="C108" s="2">
        <v>2003</v>
      </c>
      <c r="D108" s="18">
        <v>29043</v>
      </c>
    </row>
    <row r="109" spans="1:4" x14ac:dyDescent="0.3">
      <c r="A109" t="str">
        <f t="shared" si="1"/>
        <v>Kansas-2003</v>
      </c>
      <c r="B109" t="s">
        <v>20</v>
      </c>
      <c r="C109" s="2">
        <v>2003</v>
      </c>
      <c r="D109" s="18">
        <v>29935</v>
      </c>
    </row>
    <row r="110" spans="1:4" x14ac:dyDescent="0.3">
      <c r="A110" t="str">
        <f t="shared" si="1"/>
        <v>Kentucky-2003</v>
      </c>
      <c r="B110" t="s">
        <v>21</v>
      </c>
      <c r="C110" s="2">
        <v>2003</v>
      </c>
      <c r="D110" s="18">
        <v>26252</v>
      </c>
    </row>
    <row r="111" spans="1:4" x14ac:dyDescent="0.3">
      <c r="A111" t="str">
        <f t="shared" si="1"/>
        <v>Louisiana-2003</v>
      </c>
      <c r="B111" t="s">
        <v>22</v>
      </c>
      <c r="C111" s="2">
        <v>2003</v>
      </c>
      <c r="D111" s="18">
        <v>26100</v>
      </c>
    </row>
    <row r="112" spans="1:4" x14ac:dyDescent="0.3">
      <c r="A112" t="str">
        <f t="shared" si="1"/>
        <v>Maine-2003</v>
      </c>
      <c r="B112" t="s">
        <v>23</v>
      </c>
      <c r="C112" s="2">
        <v>2003</v>
      </c>
      <c r="D112" s="18">
        <v>28831</v>
      </c>
    </row>
    <row r="113" spans="1:4" x14ac:dyDescent="0.3">
      <c r="A113" t="str">
        <f t="shared" si="1"/>
        <v>Maryland-2003</v>
      </c>
      <c r="B113" t="s">
        <v>24</v>
      </c>
      <c r="C113" s="2">
        <v>2003</v>
      </c>
      <c r="D113" s="18">
        <v>37331</v>
      </c>
    </row>
    <row r="114" spans="1:4" x14ac:dyDescent="0.3">
      <c r="A114" t="str">
        <f t="shared" si="1"/>
        <v>Massachusetts-2003</v>
      </c>
      <c r="B114" t="s">
        <v>25</v>
      </c>
      <c r="C114" s="2">
        <v>2003</v>
      </c>
      <c r="D114" s="18">
        <v>39815</v>
      </c>
    </row>
    <row r="115" spans="1:4" x14ac:dyDescent="0.3">
      <c r="A115" t="str">
        <f t="shared" si="1"/>
        <v>Michigan-2003</v>
      </c>
      <c r="B115" t="s">
        <v>26</v>
      </c>
      <c r="C115" s="2">
        <v>2003</v>
      </c>
      <c r="D115" s="18">
        <v>30439</v>
      </c>
    </row>
    <row r="116" spans="1:4" x14ac:dyDescent="0.3">
      <c r="A116" t="str">
        <f t="shared" si="1"/>
        <v>Minnesota-2003</v>
      </c>
      <c r="B116" t="s">
        <v>27</v>
      </c>
      <c r="C116" s="2">
        <v>2003</v>
      </c>
      <c r="D116" s="18">
        <v>34443</v>
      </c>
    </row>
    <row r="117" spans="1:4" x14ac:dyDescent="0.3">
      <c r="A117" t="str">
        <f t="shared" si="1"/>
        <v>Mississippi-2003</v>
      </c>
      <c r="B117" t="s">
        <v>28</v>
      </c>
      <c r="C117" s="2">
        <v>2003</v>
      </c>
      <c r="D117" s="18">
        <v>23448</v>
      </c>
    </row>
    <row r="118" spans="1:4" x14ac:dyDescent="0.3">
      <c r="A118" t="str">
        <f t="shared" si="1"/>
        <v>Missouri-2003</v>
      </c>
      <c r="B118" t="s">
        <v>29</v>
      </c>
      <c r="C118" s="2">
        <v>2003</v>
      </c>
      <c r="D118" s="18">
        <v>29252</v>
      </c>
    </row>
    <row r="119" spans="1:4" x14ac:dyDescent="0.3">
      <c r="A119" t="str">
        <f t="shared" si="1"/>
        <v>Montana-2003</v>
      </c>
      <c r="B119" t="s">
        <v>30</v>
      </c>
      <c r="C119" s="2">
        <v>2003</v>
      </c>
      <c r="D119" s="18">
        <v>25920</v>
      </c>
    </row>
    <row r="120" spans="1:4" x14ac:dyDescent="0.3">
      <c r="A120" t="str">
        <f t="shared" si="1"/>
        <v>Nebraska-2003</v>
      </c>
      <c r="B120" t="s">
        <v>31</v>
      </c>
      <c r="C120" s="2">
        <v>2003</v>
      </c>
      <c r="D120" s="18">
        <v>30758</v>
      </c>
    </row>
    <row r="121" spans="1:4" x14ac:dyDescent="0.3">
      <c r="A121" t="str">
        <f t="shared" si="1"/>
        <v>Nevada-2003</v>
      </c>
      <c r="B121" t="s">
        <v>32</v>
      </c>
      <c r="C121" s="2">
        <v>2003</v>
      </c>
      <c r="D121" s="18">
        <v>31266</v>
      </c>
    </row>
    <row r="122" spans="1:4" x14ac:dyDescent="0.3">
      <c r="A122" t="str">
        <f t="shared" si="1"/>
        <v>New Hampshire-2003</v>
      </c>
      <c r="B122" t="s">
        <v>33</v>
      </c>
      <c r="C122" s="2">
        <v>2003</v>
      </c>
      <c r="D122" s="18">
        <v>34702</v>
      </c>
    </row>
    <row r="123" spans="1:4" x14ac:dyDescent="0.3">
      <c r="A123" t="str">
        <f t="shared" si="1"/>
        <v>New Jersey-2003</v>
      </c>
      <c r="B123" t="s">
        <v>34</v>
      </c>
      <c r="C123" s="2">
        <v>2003</v>
      </c>
      <c r="D123" s="18">
        <v>40427</v>
      </c>
    </row>
    <row r="124" spans="1:4" x14ac:dyDescent="0.3">
      <c r="A124" t="str">
        <f t="shared" si="1"/>
        <v>New Mexico-2003</v>
      </c>
      <c r="B124" t="s">
        <v>35</v>
      </c>
      <c r="C124" s="2">
        <v>2003</v>
      </c>
      <c r="D124" s="18">
        <v>25541</v>
      </c>
    </row>
    <row r="125" spans="1:4" x14ac:dyDescent="0.3">
      <c r="A125" t="str">
        <f t="shared" si="1"/>
        <v>New York-2003</v>
      </c>
      <c r="B125" t="s">
        <v>36</v>
      </c>
      <c r="C125" s="2">
        <v>2003</v>
      </c>
      <c r="D125" s="18">
        <v>36574</v>
      </c>
    </row>
    <row r="126" spans="1:4" x14ac:dyDescent="0.3">
      <c r="A126" t="str">
        <f t="shared" si="1"/>
        <v>North Carolina-2003</v>
      </c>
      <c r="B126" t="s">
        <v>37</v>
      </c>
      <c r="C126" s="2">
        <v>2003</v>
      </c>
      <c r="D126" s="18">
        <v>28235</v>
      </c>
    </row>
    <row r="127" spans="1:4" x14ac:dyDescent="0.3">
      <c r="A127" t="str">
        <f t="shared" si="1"/>
        <v>North Dakota-2003</v>
      </c>
      <c r="B127" t="s">
        <v>38</v>
      </c>
      <c r="C127" s="2">
        <v>2003</v>
      </c>
      <c r="D127" s="18">
        <v>29204</v>
      </c>
    </row>
    <row r="128" spans="1:4" x14ac:dyDescent="0.3">
      <c r="A128" t="str">
        <f t="shared" si="1"/>
        <v>Ohio-2003</v>
      </c>
      <c r="B128" t="s">
        <v>39</v>
      </c>
      <c r="C128" s="2">
        <v>2003</v>
      </c>
      <c r="D128" s="18">
        <v>29944</v>
      </c>
    </row>
    <row r="129" spans="1:4" x14ac:dyDescent="0.3">
      <c r="A129" t="str">
        <f t="shared" si="1"/>
        <v>Oklahoma-2003</v>
      </c>
      <c r="B129" t="s">
        <v>40</v>
      </c>
      <c r="C129" s="2">
        <v>2003</v>
      </c>
      <c r="D129" s="18">
        <v>26656</v>
      </c>
    </row>
    <row r="130" spans="1:4" x14ac:dyDescent="0.3">
      <c r="A130" t="str">
        <f t="shared" si="1"/>
        <v>Oregon-2003</v>
      </c>
      <c r="B130" t="s">
        <v>41</v>
      </c>
      <c r="C130" s="2">
        <v>2003</v>
      </c>
      <c r="D130" s="18">
        <v>29340</v>
      </c>
    </row>
    <row r="131" spans="1:4" x14ac:dyDescent="0.3">
      <c r="A131" t="str">
        <f t="shared" ref="A131:A190" si="2">B131&amp;"-"&amp;C131</f>
        <v>Pennsylvania-2003</v>
      </c>
      <c r="B131" t="s">
        <v>42</v>
      </c>
      <c r="C131" s="2">
        <v>2003</v>
      </c>
      <c r="D131" s="18">
        <v>31998</v>
      </c>
    </row>
    <row r="132" spans="1:4" x14ac:dyDescent="0.3">
      <c r="A132" t="str">
        <f t="shared" si="2"/>
        <v>Rhode Island-2003</v>
      </c>
      <c r="B132" t="s">
        <v>43</v>
      </c>
      <c r="C132" s="2">
        <v>2003</v>
      </c>
      <c r="D132" s="18">
        <v>31916</v>
      </c>
    </row>
    <row r="133" spans="1:4" x14ac:dyDescent="0.3">
      <c r="A133" t="str">
        <f t="shared" si="2"/>
        <v>South Carolina-2003</v>
      </c>
      <c r="B133" t="s">
        <v>44</v>
      </c>
      <c r="C133" s="2">
        <v>2003</v>
      </c>
      <c r="D133" s="18">
        <v>26132</v>
      </c>
    </row>
    <row r="134" spans="1:4" x14ac:dyDescent="0.3">
      <c r="A134" t="str">
        <f t="shared" si="2"/>
        <v>South Dakota-2003</v>
      </c>
      <c r="B134" t="s">
        <v>45</v>
      </c>
      <c r="C134" s="2">
        <v>2003</v>
      </c>
      <c r="D134" s="18">
        <v>29234</v>
      </c>
    </row>
    <row r="135" spans="1:4" x14ac:dyDescent="0.3">
      <c r="A135" t="str">
        <f t="shared" si="2"/>
        <v>Tennessee-2003</v>
      </c>
      <c r="B135" t="s">
        <v>46</v>
      </c>
      <c r="C135" s="2">
        <v>2003</v>
      </c>
      <c r="D135" s="18">
        <v>28455</v>
      </c>
    </row>
    <row r="136" spans="1:4" x14ac:dyDescent="0.3">
      <c r="A136" t="str">
        <f t="shared" si="2"/>
        <v>Texas-2003</v>
      </c>
      <c r="B136" t="s">
        <v>47</v>
      </c>
      <c r="C136" s="2">
        <v>2003</v>
      </c>
      <c r="D136" s="18">
        <v>29372</v>
      </c>
    </row>
    <row r="137" spans="1:4" x14ac:dyDescent="0.3">
      <c r="A137" t="str">
        <f t="shared" si="2"/>
        <v>Utah-2003</v>
      </c>
      <c r="B137" t="s">
        <v>48</v>
      </c>
      <c r="C137" s="2">
        <v>2003</v>
      </c>
      <c r="D137" s="18">
        <v>24977</v>
      </c>
    </row>
    <row r="138" spans="1:4" x14ac:dyDescent="0.3">
      <c r="A138" t="str">
        <f t="shared" si="2"/>
        <v>Vermont-2003</v>
      </c>
      <c r="B138" t="s">
        <v>49</v>
      </c>
      <c r="C138" s="2">
        <v>2003</v>
      </c>
      <c r="D138" s="18">
        <v>30740</v>
      </c>
    </row>
    <row r="139" spans="1:4" x14ac:dyDescent="0.3">
      <c r="A139" t="str">
        <f t="shared" si="2"/>
        <v>Virginia-2003</v>
      </c>
      <c r="B139" t="s">
        <v>50</v>
      </c>
      <c r="C139" s="2">
        <v>2003</v>
      </c>
      <c r="D139" s="18">
        <v>33671</v>
      </c>
    </row>
    <row r="140" spans="1:4" x14ac:dyDescent="0.3">
      <c r="A140" t="str">
        <f t="shared" si="2"/>
        <v>Washington-2003</v>
      </c>
      <c r="B140" t="s">
        <v>51</v>
      </c>
      <c r="C140" s="2">
        <v>2003</v>
      </c>
      <c r="D140" s="18">
        <v>33332</v>
      </c>
    </row>
    <row r="141" spans="1:4" x14ac:dyDescent="0.3">
      <c r="A141" t="str">
        <f t="shared" si="2"/>
        <v>West Virginia-2003</v>
      </c>
      <c r="B141" t="s">
        <v>52</v>
      </c>
      <c r="C141" s="2">
        <v>2003</v>
      </c>
      <c r="D141" s="18">
        <v>24379</v>
      </c>
    </row>
    <row r="142" spans="1:4" x14ac:dyDescent="0.3">
      <c r="A142" t="str">
        <f t="shared" si="2"/>
        <v>Wisconsin-2003</v>
      </c>
      <c r="B142" t="s">
        <v>53</v>
      </c>
      <c r="C142" s="2">
        <v>2003</v>
      </c>
      <c r="D142" s="18">
        <v>30898</v>
      </c>
    </row>
    <row r="143" spans="1:4" x14ac:dyDescent="0.3">
      <c r="A143" t="str">
        <f t="shared" si="2"/>
        <v>Wyoming-2003</v>
      </c>
      <c r="B143" t="s">
        <v>54</v>
      </c>
      <c r="C143" s="2">
        <v>2003</v>
      </c>
      <c r="D143" s="18">
        <v>32808</v>
      </c>
    </row>
    <row r="144" spans="1:4" x14ac:dyDescent="0.3">
      <c r="A144" t="str">
        <f t="shared" si="2"/>
        <v>Alabama-2004</v>
      </c>
      <c r="B144" t="s">
        <v>4</v>
      </c>
      <c r="C144" s="2">
        <v>2004</v>
      </c>
      <c r="D144" s="18">
        <v>29136</v>
      </c>
    </row>
    <row r="145" spans="1:4" x14ac:dyDescent="0.3">
      <c r="A145" t="str">
        <f t="shared" si="2"/>
        <v>Alaska-2004</v>
      </c>
      <c r="B145" t="s">
        <v>5</v>
      </c>
      <c r="C145" s="2">
        <v>2004</v>
      </c>
      <c r="D145" s="18">
        <v>35612</v>
      </c>
    </row>
    <row r="146" spans="1:4" x14ac:dyDescent="0.3">
      <c r="A146" t="str">
        <f t="shared" si="2"/>
        <v>Arizona-2004</v>
      </c>
      <c r="B146" t="s">
        <v>6</v>
      </c>
      <c r="C146" s="2">
        <v>2004</v>
      </c>
      <c r="D146" s="18">
        <v>30267</v>
      </c>
    </row>
    <row r="147" spans="1:4" x14ac:dyDescent="0.3">
      <c r="A147" t="str">
        <f t="shared" si="2"/>
        <v>Arkansas-2004</v>
      </c>
      <c r="B147" t="s">
        <v>7</v>
      </c>
      <c r="C147" s="2">
        <v>2004</v>
      </c>
      <c r="D147" s="18">
        <v>26874</v>
      </c>
    </row>
    <row r="148" spans="1:4" x14ac:dyDescent="0.3">
      <c r="A148" t="str">
        <f t="shared" si="2"/>
        <v>California-2004</v>
      </c>
      <c r="B148" t="s">
        <v>8</v>
      </c>
      <c r="C148" s="2">
        <v>2004</v>
      </c>
      <c r="D148" s="18">
        <v>37036</v>
      </c>
    </row>
    <row r="149" spans="1:4" x14ac:dyDescent="0.3">
      <c r="A149" t="str">
        <f t="shared" si="2"/>
        <v>Colorado-2004</v>
      </c>
      <c r="B149" t="s">
        <v>9</v>
      </c>
      <c r="C149" s="2">
        <v>2004</v>
      </c>
      <c r="D149" s="18">
        <v>37946</v>
      </c>
    </row>
    <row r="150" spans="1:4" x14ac:dyDescent="0.3">
      <c r="A150" t="str">
        <f t="shared" si="2"/>
        <v>Connecticut-2004</v>
      </c>
      <c r="B150" t="s">
        <v>10</v>
      </c>
      <c r="C150" s="2">
        <v>2004</v>
      </c>
      <c r="D150" s="18">
        <v>47819</v>
      </c>
    </row>
    <row r="151" spans="1:4" x14ac:dyDescent="0.3">
      <c r="A151" t="str">
        <f t="shared" si="2"/>
        <v>D.C.-2004</v>
      </c>
      <c r="B151" t="s">
        <v>11</v>
      </c>
      <c r="C151" s="2">
        <v>2004</v>
      </c>
      <c r="D151" s="18">
        <v>37065</v>
      </c>
    </row>
    <row r="152" spans="1:4" x14ac:dyDescent="0.3">
      <c r="A152" t="str">
        <f t="shared" si="2"/>
        <v>Delaware-2004</v>
      </c>
      <c r="B152" t="s">
        <v>12</v>
      </c>
      <c r="C152" s="2">
        <v>2004</v>
      </c>
      <c r="D152" s="18">
        <v>54985</v>
      </c>
    </row>
    <row r="153" spans="1:4" x14ac:dyDescent="0.3">
      <c r="A153" t="str">
        <f t="shared" si="2"/>
        <v>Florida-2004</v>
      </c>
      <c r="B153" t="s">
        <v>13</v>
      </c>
      <c r="C153" s="2">
        <v>2004</v>
      </c>
      <c r="D153" s="18">
        <v>33219</v>
      </c>
    </row>
    <row r="154" spans="1:4" x14ac:dyDescent="0.3">
      <c r="A154" t="str">
        <f t="shared" si="2"/>
        <v>Georgia-2004</v>
      </c>
      <c r="B154" t="s">
        <v>14</v>
      </c>
      <c r="C154" s="2">
        <v>2004</v>
      </c>
      <c r="D154" s="18">
        <v>31121</v>
      </c>
    </row>
    <row r="155" spans="1:4" x14ac:dyDescent="0.3">
      <c r="A155" t="str">
        <f t="shared" si="2"/>
        <v>Hawaii-2004</v>
      </c>
      <c r="B155" t="s">
        <v>15</v>
      </c>
      <c r="C155" s="2">
        <v>2004</v>
      </c>
      <c r="D155" s="18">
        <v>34539</v>
      </c>
    </row>
    <row r="156" spans="1:4" x14ac:dyDescent="0.3">
      <c r="A156" t="str">
        <f t="shared" si="2"/>
        <v>Idaho-2004</v>
      </c>
      <c r="B156" t="s">
        <v>16</v>
      </c>
      <c r="C156" s="2">
        <v>2004</v>
      </c>
      <c r="D156" s="18">
        <v>28158</v>
      </c>
    </row>
    <row r="157" spans="1:4" x14ac:dyDescent="0.3">
      <c r="A157" t="str">
        <f t="shared" si="2"/>
        <v>Illinois-2004</v>
      </c>
      <c r="B157" t="s">
        <v>17</v>
      </c>
      <c r="C157" s="2">
        <v>2004</v>
      </c>
      <c r="D157" s="18">
        <v>36120</v>
      </c>
    </row>
    <row r="158" spans="1:4" x14ac:dyDescent="0.3">
      <c r="A158" t="str">
        <f t="shared" si="2"/>
        <v>Indiana-2004</v>
      </c>
      <c r="B158" t="s">
        <v>18</v>
      </c>
      <c r="C158" s="2">
        <v>2004</v>
      </c>
      <c r="D158" s="18">
        <v>31276</v>
      </c>
    </row>
    <row r="159" spans="1:4" x14ac:dyDescent="0.3">
      <c r="A159" t="str">
        <f t="shared" si="2"/>
        <v>Iowa-2004</v>
      </c>
      <c r="B159" t="s">
        <v>19</v>
      </c>
      <c r="C159" s="2">
        <v>2004</v>
      </c>
      <c r="D159" s="18">
        <v>32315</v>
      </c>
    </row>
    <row r="160" spans="1:4" x14ac:dyDescent="0.3">
      <c r="A160" t="str">
        <f t="shared" si="2"/>
        <v>Kansas-2004</v>
      </c>
      <c r="B160" t="s">
        <v>20</v>
      </c>
      <c r="C160" s="2">
        <v>2004</v>
      </c>
      <c r="D160" s="18">
        <v>32836</v>
      </c>
    </row>
    <row r="161" spans="1:4" x14ac:dyDescent="0.3">
      <c r="A161" t="str">
        <f t="shared" si="2"/>
        <v>Kentucky-2004</v>
      </c>
      <c r="B161" t="s">
        <v>21</v>
      </c>
      <c r="C161" s="2">
        <v>2004</v>
      </c>
      <c r="D161" s="18">
        <v>28513</v>
      </c>
    </row>
    <row r="162" spans="1:4" x14ac:dyDescent="0.3">
      <c r="A162" t="str">
        <f t="shared" si="2"/>
        <v>Louisiana-2004</v>
      </c>
      <c r="B162" t="s">
        <v>22</v>
      </c>
      <c r="C162" s="2">
        <v>2004</v>
      </c>
      <c r="D162" s="18">
        <v>24820</v>
      </c>
    </row>
    <row r="163" spans="1:4" x14ac:dyDescent="0.3">
      <c r="A163" t="str">
        <f t="shared" si="2"/>
        <v>Maine-2004</v>
      </c>
      <c r="B163" t="s">
        <v>23</v>
      </c>
      <c r="C163" s="2">
        <v>2004</v>
      </c>
      <c r="D163" s="18">
        <v>31252</v>
      </c>
    </row>
    <row r="164" spans="1:4" x14ac:dyDescent="0.3">
      <c r="A164" t="str">
        <f t="shared" si="2"/>
        <v>Maryland-2004</v>
      </c>
      <c r="B164" t="s">
        <v>24</v>
      </c>
      <c r="C164" s="2">
        <v>2004</v>
      </c>
      <c r="D164" s="18">
        <v>41760</v>
      </c>
    </row>
    <row r="165" spans="1:4" x14ac:dyDescent="0.3">
      <c r="A165" t="str">
        <f t="shared" si="2"/>
        <v>Massachusetts-2004</v>
      </c>
      <c r="B165" t="s">
        <v>25</v>
      </c>
      <c r="C165" s="2">
        <v>2004</v>
      </c>
      <c r="D165" s="18">
        <v>44289</v>
      </c>
    </row>
    <row r="166" spans="1:4" x14ac:dyDescent="0.3">
      <c r="A166" t="str">
        <f t="shared" si="2"/>
        <v>Michigan-2004</v>
      </c>
      <c r="B166" t="s">
        <v>26</v>
      </c>
      <c r="C166" s="2">
        <v>2004</v>
      </c>
      <c r="D166" s="18">
        <v>33116</v>
      </c>
    </row>
    <row r="167" spans="1:4" x14ac:dyDescent="0.3">
      <c r="A167" t="str">
        <f t="shared" si="2"/>
        <v>Minnesota-2004</v>
      </c>
      <c r="B167" t="s">
        <v>27</v>
      </c>
      <c r="C167" s="2">
        <v>2004</v>
      </c>
      <c r="D167" s="18">
        <v>37373</v>
      </c>
    </row>
    <row r="168" spans="1:4" x14ac:dyDescent="0.3">
      <c r="A168" t="str">
        <f t="shared" si="2"/>
        <v>Mississippi-2004</v>
      </c>
      <c r="B168" t="s">
        <v>28</v>
      </c>
      <c r="C168" s="2">
        <v>2004</v>
      </c>
      <c r="D168" s="18">
        <v>25318</v>
      </c>
    </row>
    <row r="169" spans="1:4" x14ac:dyDescent="0.3">
      <c r="A169" t="str">
        <f t="shared" si="2"/>
        <v>Missouri-2004</v>
      </c>
      <c r="B169" t="s">
        <v>29</v>
      </c>
      <c r="C169" s="2">
        <v>2004</v>
      </c>
      <c r="D169" s="18">
        <v>31899</v>
      </c>
    </row>
    <row r="170" spans="1:4" x14ac:dyDescent="0.3">
      <c r="A170" t="str">
        <f t="shared" si="2"/>
        <v>Montana-2004</v>
      </c>
      <c r="B170" t="s">
        <v>30</v>
      </c>
      <c r="C170" s="2">
        <v>2004</v>
      </c>
      <c r="D170" s="18">
        <v>29387</v>
      </c>
    </row>
    <row r="171" spans="1:4" x14ac:dyDescent="0.3">
      <c r="A171" t="str">
        <f t="shared" si="2"/>
        <v>Nebraska-2004</v>
      </c>
      <c r="B171" t="s">
        <v>31</v>
      </c>
      <c r="C171" s="2">
        <v>2004</v>
      </c>
      <c r="D171" s="18">
        <v>33616</v>
      </c>
    </row>
    <row r="172" spans="1:4" x14ac:dyDescent="0.3">
      <c r="A172" t="str">
        <f t="shared" si="2"/>
        <v>New Hampshire-2004</v>
      </c>
      <c r="B172" t="s">
        <v>33</v>
      </c>
      <c r="C172" s="2">
        <v>2004</v>
      </c>
      <c r="D172" s="18">
        <v>38408</v>
      </c>
    </row>
    <row r="173" spans="1:4" x14ac:dyDescent="0.3">
      <c r="A173" t="str">
        <f t="shared" si="2"/>
        <v>New Mexico-2004</v>
      </c>
      <c r="B173" t="s">
        <v>35</v>
      </c>
      <c r="C173" s="2">
        <v>2004</v>
      </c>
      <c r="D173" s="18">
        <v>27644</v>
      </c>
    </row>
    <row r="174" spans="1:4" x14ac:dyDescent="0.3">
      <c r="A174" t="str">
        <f t="shared" si="2"/>
        <v>North Carolina-2004</v>
      </c>
      <c r="B174" t="s">
        <v>37</v>
      </c>
      <c r="C174" s="2">
        <v>2004</v>
      </c>
      <c r="D174" s="18">
        <v>30553</v>
      </c>
    </row>
    <row r="175" spans="1:4" x14ac:dyDescent="0.3">
      <c r="A175" t="str">
        <f t="shared" si="2"/>
        <v>North Dakota-2004</v>
      </c>
      <c r="B175" t="s">
        <v>38</v>
      </c>
      <c r="C175" s="2">
        <v>2004</v>
      </c>
      <c r="D175" s="18">
        <v>31395</v>
      </c>
    </row>
    <row r="176" spans="1:4" x14ac:dyDescent="0.3">
      <c r="A176" t="str">
        <f t="shared" si="2"/>
        <v>Ohio-2004</v>
      </c>
      <c r="B176" t="s">
        <v>39</v>
      </c>
      <c r="C176" s="2">
        <v>2004</v>
      </c>
      <c r="D176" s="18">
        <v>32478</v>
      </c>
    </row>
    <row r="177" spans="1:4" x14ac:dyDescent="0.3">
      <c r="A177" t="str">
        <f t="shared" si="2"/>
        <v>Oklahoma-2004</v>
      </c>
      <c r="B177" t="s">
        <v>40</v>
      </c>
      <c r="C177" s="2">
        <v>2004</v>
      </c>
      <c r="D177" s="18">
        <v>29330</v>
      </c>
    </row>
    <row r="178" spans="1:4" x14ac:dyDescent="0.3">
      <c r="A178" t="str">
        <f t="shared" si="2"/>
        <v>Oregon-2004</v>
      </c>
      <c r="B178" t="s">
        <v>41</v>
      </c>
      <c r="C178" s="2">
        <v>2004</v>
      </c>
      <c r="D178" s="18">
        <v>32103</v>
      </c>
    </row>
    <row r="179" spans="1:4" x14ac:dyDescent="0.3">
      <c r="A179" t="str">
        <f t="shared" si="2"/>
        <v>Pennsylvania-2004</v>
      </c>
      <c r="B179" t="s">
        <v>42</v>
      </c>
      <c r="C179" s="2">
        <v>2004</v>
      </c>
      <c r="D179" s="18">
        <v>34897</v>
      </c>
    </row>
    <row r="180" spans="1:4" x14ac:dyDescent="0.3">
      <c r="A180" t="str">
        <f t="shared" si="2"/>
        <v>Rhode Island-2004</v>
      </c>
      <c r="B180" t="s">
        <v>43</v>
      </c>
      <c r="C180" s="2">
        <v>2004</v>
      </c>
      <c r="D180" s="18">
        <v>36153</v>
      </c>
    </row>
    <row r="181" spans="1:4" x14ac:dyDescent="0.3">
      <c r="A181" t="str">
        <f t="shared" si="2"/>
        <v>South Carolina-2004</v>
      </c>
      <c r="B181" t="s">
        <v>44</v>
      </c>
      <c r="C181" s="2">
        <v>2004</v>
      </c>
      <c r="D181" s="18">
        <v>28352</v>
      </c>
    </row>
    <row r="182" spans="1:4" x14ac:dyDescent="0.3">
      <c r="A182" t="str">
        <f t="shared" si="2"/>
        <v>South Dakota-2004</v>
      </c>
      <c r="B182" t="s">
        <v>45</v>
      </c>
      <c r="C182" s="2">
        <v>2004</v>
      </c>
      <c r="D182" s="18">
        <v>31614</v>
      </c>
    </row>
    <row r="183" spans="1:4" x14ac:dyDescent="0.3">
      <c r="A183" t="str">
        <f t="shared" si="2"/>
        <v>Tennessee-2004</v>
      </c>
      <c r="B183" t="s">
        <v>46</v>
      </c>
      <c r="C183" s="2">
        <v>2004</v>
      </c>
      <c r="D183" s="18">
        <v>31107</v>
      </c>
    </row>
    <row r="184" spans="1:4" x14ac:dyDescent="0.3">
      <c r="A184" t="str">
        <f t="shared" si="2"/>
        <v>Texas-2004</v>
      </c>
      <c r="B184" t="s">
        <v>47</v>
      </c>
      <c r="C184" s="2">
        <v>2004</v>
      </c>
      <c r="D184" s="18">
        <v>32462</v>
      </c>
    </row>
    <row r="185" spans="1:4" x14ac:dyDescent="0.3">
      <c r="A185" t="str">
        <f t="shared" si="2"/>
        <v>Vermont-2004</v>
      </c>
      <c r="B185" t="s">
        <v>49</v>
      </c>
      <c r="C185" s="2">
        <v>2004</v>
      </c>
      <c r="D185" s="18">
        <v>33327</v>
      </c>
    </row>
    <row r="186" spans="1:4" x14ac:dyDescent="0.3">
      <c r="A186" t="str">
        <f t="shared" si="2"/>
        <v>Virginia-2004</v>
      </c>
      <c r="B186" t="s">
        <v>50</v>
      </c>
      <c r="C186" s="2">
        <v>2004</v>
      </c>
      <c r="D186" s="18">
        <v>38390</v>
      </c>
    </row>
    <row r="187" spans="1:4" x14ac:dyDescent="0.3">
      <c r="A187" t="str">
        <f t="shared" si="2"/>
        <v>Washington-2004</v>
      </c>
      <c r="B187" t="s">
        <v>51</v>
      </c>
      <c r="C187" s="2">
        <v>2004</v>
      </c>
      <c r="D187" s="18">
        <v>35409</v>
      </c>
    </row>
    <row r="188" spans="1:4" x14ac:dyDescent="0.3">
      <c r="A188" t="str">
        <f t="shared" si="2"/>
        <v>West Virginia-2004</v>
      </c>
      <c r="B188" t="s">
        <v>52</v>
      </c>
      <c r="C188" s="2">
        <v>2004</v>
      </c>
      <c r="D188" s="18">
        <v>27215</v>
      </c>
    </row>
    <row r="189" spans="1:4" x14ac:dyDescent="0.3">
      <c r="A189" t="str">
        <f t="shared" si="2"/>
        <v>Wisconsin-2004</v>
      </c>
      <c r="B189" t="s">
        <v>53</v>
      </c>
      <c r="C189" s="2">
        <v>2004</v>
      </c>
      <c r="D189" s="18">
        <v>33565</v>
      </c>
    </row>
    <row r="190" spans="1:4" x14ac:dyDescent="0.3">
      <c r="A190" t="str">
        <f t="shared" si="2"/>
        <v>Wyoming-2004</v>
      </c>
      <c r="B190" t="s">
        <v>54</v>
      </c>
      <c r="C190" s="2">
        <v>2004</v>
      </c>
      <c r="D190" s="18">
        <v>36778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2" tint="-0.249977111117893"/>
  </sheetPr>
  <dimension ref="A1:O205"/>
  <sheetViews>
    <sheetView workbookViewId="0">
      <selection activeCell="O17" sqref="O17"/>
    </sheetView>
  </sheetViews>
  <sheetFormatPr defaultColWidth="8.77734375" defaultRowHeight="14.4" x14ac:dyDescent="0.3"/>
  <cols>
    <col min="1" max="1" width="16.77734375" customWidth="1"/>
    <col min="2" max="3" width="12.44140625" style="2" customWidth="1"/>
    <col min="4" max="4" width="15.109375" style="6" customWidth="1"/>
    <col min="5" max="5" width="15" style="6" customWidth="1"/>
    <col min="6" max="6" width="16.33203125" style="2" customWidth="1"/>
    <col min="7" max="7" width="20.44140625" style="8" customWidth="1"/>
  </cols>
  <sheetData>
    <row r="1" spans="1:15" ht="26.4" x14ac:dyDescent="0.3">
      <c r="A1" s="4" t="s">
        <v>224</v>
      </c>
      <c r="B1" s="4" t="s">
        <v>0</v>
      </c>
      <c r="C1" s="4" t="s">
        <v>1</v>
      </c>
      <c r="D1" s="13" t="s">
        <v>2</v>
      </c>
      <c r="E1" s="13" t="s">
        <v>3</v>
      </c>
      <c r="F1" s="14" t="s">
        <v>133</v>
      </c>
      <c r="G1" s="7" t="s">
        <v>134</v>
      </c>
    </row>
    <row r="2" spans="1:15" x14ac:dyDescent="0.3">
      <c r="A2" t="str">
        <f>B2&amp;"-"&amp;C2</f>
        <v>Alabama-2001</v>
      </c>
      <c r="B2" s="2" t="s">
        <v>4</v>
      </c>
      <c r="C2" s="2">
        <v>2001</v>
      </c>
      <c r="D2" s="6">
        <v>4447100</v>
      </c>
      <c r="E2" s="6">
        <v>177884</v>
      </c>
      <c r="F2" s="34" t="str">
        <f>VLOOKUP(B2,'State Abbreviations'!$A$1:$B$52,MATCH($F$1,'State Abbreviations'!$A$1:$B$1,0),FALSE)</f>
        <v>AL</v>
      </c>
      <c r="G2" s="32">
        <f>VLOOKUP('Lookup Functions'!A2,'State Income (2001-2004)'!$A$1:$D$190,MATCH($G$1,'State Income (2001-2004)'!$A$1:$D$1,0),FALSE)</f>
        <v>24477</v>
      </c>
    </row>
    <row r="3" spans="1:15" x14ac:dyDescent="0.3">
      <c r="A3" t="str">
        <f t="shared" ref="A3:A66" si="0">B3&amp;"-"&amp;C3</f>
        <v>Alaska-2001</v>
      </c>
      <c r="B3" s="2" t="s">
        <v>5</v>
      </c>
      <c r="C3" s="2">
        <v>2001</v>
      </c>
      <c r="D3" s="6">
        <v>626932</v>
      </c>
      <c r="E3" s="6">
        <v>12538.64</v>
      </c>
      <c r="F3" s="34" t="str">
        <f>VLOOKUP(B3,'State Abbreviations'!$A$1:$B$52,MATCH($F$1,'State Abbreviations'!$A$1:$B$1,0),FALSE)</f>
        <v>AK</v>
      </c>
      <c r="G3" s="32">
        <f>VLOOKUP('Lookup Functions'!A3,'State Income (2001-2004)'!$A$1:$D$190,MATCH($G$1,'State Income (2001-2004)'!$A$1:$D$1,0),FALSE)</f>
        <v>31027</v>
      </c>
    </row>
    <row r="4" spans="1:15" x14ac:dyDescent="0.3">
      <c r="A4" t="str">
        <f t="shared" si="0"/>
        <v>Arizona-2001</v>
      </c>
      <c r="B4" s="2" t="s">
        <v>6</v>
      </c>
      <c r="C4" s="2">
        <v>2001</v>
      </c>
      <c r="D4" s="6">
        <v>5130632</v>
      </c>
      <c r="E4" s="6">
        <v>102612.64</v>
      </c>
      <c r="F4" s="34" t="str">
        <f>VLOOKUP(B4,'State Abbreviations'!$A$1:$B$52,MATCH($F$1,'State Abbreviations'!$A$1:$B$1,0),FALSE)</f>
        <v>AZ</v>
      </c>
      <c r="G4" s="32">
        <f>VLOOKUP('Lookup Functions'!A4,'State Income (2001-2004)'!$A$1:$D$190,MATCH($G$1,'State Income (2001-2004)'!$A$1:$D$1,0),FALSE)</f>
        <v>25878</v>
      </c>
    </row>
    <row r="5" spans="1:15" x14ac:dyDescent="0.3">
      <c r="A5" t="str">
        <f t="shared" si="0"/>
        <v>Arkansas-2001</v>
      </c>
      <c r="B5" s="2" t="s">
        <v>7</v>
      </c>
      <c r="C5" s="2">
        <v>2001</v>
      </c>
      <c r="D5" s="6">
        <v>2673400</v>
      </c>
      <c r="E5" s="6">
        <v>53468</v>
      </c>
      <c r="F5" s="34" t="str">
        <f>VLOOKUP(B5,'State Abbreviations'!$A$1:$B$52,MATCH($F$1,'State Abbreviations'!$A$1:$B$1,0),FALSE)</f>
        <v>AR</v>
      </c>
      <c r="G5" s="32">
        <f>VLOOKUP('Lookup Functions'!A5,'State Income (2001-2004)'!$A$1:$D$190,MATCH($G$1,'State Income (2001-2004)'!$A$1:$D$1,0),FALSE)</f>
        <v>22750</v>
      </c>
    </row>
    <row r="6" spans="1:15" x14ac:dyDescent="0.3">
      <c r="A6" t="str">
        <f t="shared" si="0"/>
        <v>California-2001</v>
      </c>
      <c r="B6" s="2" t="s">
        <v>8</v>
      </c>
      <c r="C6" s="2">
        <v>2001</v>
      </c>
      <c r="D6" s="6">
        <v>33871648</v>
      </c>
      <c r="E6" s="6">
        <v>1016149.44</v>
      </c>
      <c r="F6" s="34" t="str">
        <f>VLOOKUP(B6,'State Abbreviations'!$A$1:$B$52,MATCH($F$1,'State Abbreviations'!$A$1:$B$1,0),FALSE)</f>
        <v>CA</v>
      </c>
      <c r="G6" s="32">
        <f>VLOOKUP('Lookup Functions'!A6,'State Income (2001-2004)'!$A$1:$D$190,MATCH($G$1,'State Income (2001-2004)'!$A$1:$D$1,0),FALSE)</f>
        <v>32655</v>
      </c>
    </row>
    <row r="7" spans="1:15" x14ac:dyDescent="0.3">
      <c r="A7" t="str">
        <f t="shared" si="0"/>
        <v>Colorado-2001</v>
      </c>
      <c r="B7" s="2" t="s">
        <v>9</v>
      </c>
      <c r="C7" s="2">
        <v>2001</v>
      </c>
      <c r="D7" s="6">
        <v>4301261</v>
      </c>
      <c r="E7" s="6">
        <v>172050.44</v>
      </c>
      <c r="F7" s="34" t="str">
        <f>VLOOKUP(B7,'State Abbreviations'!$A$1:$B$52,MATCH($F$1,'State Abbreviations'!$A$1:$B$1,0),FALSE)</f>
        <v>CO</v>
      </c>
      <c r="G7" s="32">
        <f>VLOOKUP('Lookup Functions'!A7,'State Income (2001-2004)'!$A$1:$D$190,MATCH($G$1,'State Income (2001-2004)'!$A$1:$D$1,0),FALSE)</f>
        <v>33455</v>
      </c>
    </row>
    <row r="8" spans="1:15" x14ac:dyDescent="0.3">
      <c r="A8" t="str">
        <f t="shared" si="0"/>
        <v>Connecticut-2001</v>
      </c>
      <c r="B8" s="2" t="s">
        <v>10</v>
      </c>
      <c r="C8" s="2">
        <v>2001</v>
      </c>
      <c r="D8" s="6">
        <v>3405565</v>
      </c>
      <c r="E8" s="6">
        <v>102166.95</v>
      </c>
      <c r="F8" s="34" t="str">
        <f>VLOOKUP(B8,'State Abbreviations'!$A$1:$B$52,MATCH($F$1,'State Abbreviations'!$A$1:$B$1,0),FALSE)</f>
        <v>CT</v>
      </c>
      <c r="G8" s="32" t="s">
        <v>3548</v>
      </c>
    </row>
    <row r="9" spans="1:15" x14ac:dyDescent="0.3">
      <c r="A9" t="str">
        <f t="shared" si="0"/>
        <v>D.C.-2001</v>
      </c>
      <c r="B9" s="2" t="s">
        <v>11</v>
      </c>
      <c r="C9" s="2">
        <v>2001</v>
      </c>
      <c r="D9" s="6">
        <v>783600</v>
      </c>
      <c r="E9" s="6">
        <v>23508</v>
      </c>
      <c r="F9" s="34" t="str">
        <f>VLOOKUP(B9,'State Abbreviations'!$A$1:$B$52,MATCH($F$1,'State Abbreviations'!$A$1:$B$1,0),FALSE)</f>
        <v>DC</v>
      </c>
      <c r="G9" s="32">
        <f>VLOOKUP('Lookup Functions'!A9,'State Income (2001-2004)'!$A$1:$D$190,MATCH($G$1,'State Income (2001-2004)'!$A$1:$D$1,0),FALSE)</f>
        <v>32166</v>
      </c>
    </row>
    <row r="10" spans="1:15" x14ac:dyDescent="0.3">
      <c r="A10" t="str">
        <f t="shared" si="0"/>
        <v>Delaware-2001</v>
      </c>
      <c r="B10" s="2" t="s">
        <v>12</v>
      </c>
      <c r="C10" s="2">
        <v>2001</v>
      </c>
      <c r="D10" s="6">
        <v>572059</v>
      </c>
      <c r="E10" s="6">
        <v>17161.77</v>
      </c>
      <c r="F10" s="34" t="str">
        <f>VLOOKUP(B10,'State Abbreviations'!$A$1:$B$52,MATCH($F$1,'State Abbreviations'!$A$1:$B$1,0),FALSE)</f>
        <v>DE</v>
      </c>
      <c r="G10" s="32">
        <f>VLOOKUP('Lookup Functions'!A10,'State Income (2001-2004)'!$A$1:$D$190,MATCH($G$1,'State Income (2001-2004)'!$A$1:$D$1,0),FALSE)</f>
        <v>40539</v>
      </c>
    </row>
    <row r="11" spans="1:15" x14ac:dyDescent="0.3">
      <c r="A11" t="str">
        <f t="shared" si="0"/>
        <v>Florida-2001</v>
      </c>
      <c r="B11" s="2" t="s">
        <v>13</v>
      </c>
      <c r="C11" s="2">
        <v>2001</v>
      </c>
      <c r="D11" s="6">
        <v>15982378</v>
      </c>
      <c r="E11" s="6">
        <v>319647.56</v>
      </c>
      <c r="F11" s="34" t="str">
        <f>VLOOKUP(B11,'State Abbreviations'!$A$1:$B$52,MATCH($F$1,'State Abbreviations'!$A$1:$B$1,0),FALSE)</f>
        <v>FL</v>
      </c>
      <c r="G11" s="32">
        <f>VLOOKUP('Lookup Functions'!A11,'State Income (2001-2004)'!$A$1:$D$190,MATCH($G$1,'State Income (2001-2004)'!$A$1:$D$1,0),FALSE)</f>
        <v>29048</v>
      </c>
    </row>
    <row r="12" spans="1:15" x14ac:dyDescent="0.3">
      <c r="A12" t="str">
        <f t="shared" si="0"/>
        <v>Georgia-2001</v>
      </c>
      <c r="B12" s="2" t="s">
        <v>14</v>
      </c>
      <c r="C12" s="2">
        <v>2001</v>
      </c>
      <c r="D12" s="6">
        <v>8186453</v>
      </c>
      <c r="E12" s="6">
        <v>245593.59</v>
      </c>
      <c r="F12" s="34" t="str">
        <f>VLOOKUP(B12,'State Abbreviations'!$A$1:$B$52,MATCH($F$1,'State Abbreviations'!$A$1:$B$1,0),FALSE)</f>
        <v>GA</v>
      </c>
      <c r="G12" s="32">
        <f>VLOOKUP('Lookup Functions'!A12,'State Income (2001-2004)'!$A$1:$D$190,MATCH($G$1,'State Income (2001-2004)'!$A$1:$D$1,0),FALSE)</f>
        <v>28523</v>
      </c>
    </row>
    <row r="13" spans="1:15" x14ac:dyDescent="0.3">
      <c r="A13" t="str">
        <f t="shared" si="0"/>
        <v>Hawaii-2001</v>
      </c>
      <c r="B13" s="2" t="s">
        <v>15</v>
      </c>
      <c r="C13" s="2">
        <v>2001</v>
      </c>
      <c r="D13" s="6">
        <v>1211537</v>
      </c>
      <c r="E13" s="6">
        <v>48461.48</v>
      </c>
      <c r="F13" s="34" t="str">
        <f>VLOOKUP(B13,'State Abbreviations'!$A$1:$B$52,MATCH($F$1,'State Abbreviations'!$A$1:$B$1,0),FALSE)</f>
        <v>HI</v>
      </c>
      <c r="G13" s="32">
        <f>VLOOKUP('Lookup Functions'!A13,'State Income (2001-2004)'!$A$1:$D$190,MATCH($G$1,'State Income (2001-2004)'!$A$1:$D$1,0),FALSE)</f>
        <v>29034</v>
      </c>
    </row>
    <row r="14" spans="1:15" x14ac:dyDescent="0.3">
      <c r="A14" t="str">
        <f t="shared" si="0"/>
        <v>Idaho-2001</v>
      </c>
      <c r="B14" s="2" t="s">
        <v>16</v>
      </c>
      <c r="C14" s="2">
        <v>2001</v>
      </c>
      <c r="D14" s="6">
        <v>1293953</v>
      </c>
      <c r="E14" s="6">
        <v>38818.589999999997</v>
      </c>
      <c r="F14" s="34" t="str">
        <f>VLOOKUP(B14,'State Abbreviations'!$A$1:$B$52,MATCH($F$1,'State Abbreviations'!$A$1:$B$1,0),FALSE)</f>
        <v>ID</v>
      </c>
      <c r="G14" s="32">
        <f>VLOOKUP('Lookup Functions'!A14,'State Income (2001-2004)'!$A$1:$D$190,MATCH($G$1,'State Income (2001-2004)'!$A$1:$D$1,0),FALSE)</f>
        <v>24506</v>
      </c>
    </row>
    <row r="15" spans="1:15" x14ac:dyDescent="0.3">
      <c r="A15" t="str">
        <f t="shared" si="0"/>
        <v>Illinois-2001</v>
      </c>
      <c r="B15" s="2" t="s">
        <v>17</v>
      </c>
      <c r="C15" s="2">
        <v>2001</v>
      </c>
      <c r="D15" s="6">
        <v>12419293</v>
      </c>
      <c r="E15" s="6">
        <v>496771.72000000003</v>
      </c>
      <c r="F15" s="34" t="str">
        <f>VLOOKUP(B15,'State Abbreviations'!$A$1:$B$52,MATCH($F$1,'State Abbreviations'!$A$1:$B$1,0),FALSE)</f>
        <v>IL</v>
      </c>
      <c r="G15" s="32" t="s">
        <v>3548</v>
      </c>
    </row>
    <row r="16" spans="1:15" x14ac:dyDescent="0.3">
      <c r="A16" t="str">
        <f t="shared" si="0"/>
        <v>Indiana-2001</v>
      </c>
      <c r="B16" s="2" t="s">
        <v>18</v>
      </c>
      <c r="C16" s="2">
        <v>2001</v>
      </c>
      <c r="D16" s="6">
        <v>6080485</v>
      </c>
      <c r="E16" s="6">
        <v>243219.4</v>
      </c>
      <c r="F16" s="34" t="str">
        <f>VLOOKUP(B16,'State Abbreviations'!$A$1:$B$52,MATCH($F$1,'State Abbreviations'!$A$1:$B$1,0),FALSE)</f>
        <v>IN</v>
      </c>
      <c r="G16" s="32">
        <f>VLOOKUP('Lookup Functions'!A16,'State Income (2001-2004)'!$A$1:$D$190,MATCH($G$1,'State Income (2001-2004)'!$A$1:$D$1,0),FALSE)</f>
        <v>27522</v>
      </c>
      <c r="J16" t="s">
        <v>3549</v>
      </c>
      <c r="M16" t="s">
        <v>3550</v>
      </c>
      <c r="O16" t="s">
        <v>3551</v>
      </c>
    </row>
    <row r="17" spans="1:7" x14ac:dyDescent="0.3">
      <c r="A17" t="str">
        <f t="shared" si="0"/>
        <v>Iowa-2001</v>
      </c>
      <c r="B17" s="2" t="s">
        <v>19</v>
      </c>
      <c r="C17" s="2">
        <v>2001</v>
      </c>
      <c r="D17" s="6">
        <v>2926324</v>
      </c>
      <c r="E17" s="6">
        <v>58526.48</v>
      </c>
      <c r="F17" s="34" t="str">
        <f>VLOOKUP(B17,'State Abbreviations'!$A$1:$B$52,MATCH($F$1,'State Abbreviations'!$A$1:$B$1,0),FALSE)</f>
        <v>IA</v>
      </c>
      <c r="G17" s="32">
        <f>VLOOKUP('Lookup Functions'!A17,'State Income (2001-2004)'!$A$1:$D$190,MATCH($G$1,'State Income (2001-2004)'!$A$1:$D$1,0),FALSE)</f>
        <v>27225</v>
      </c>
    </row>
    <row r="18" spans="1:7" x14ac:dyDescent="0.3">
      <c r="A18" t="str">
        <f t="shared" si="0"/>
        <v>Kansas-2001</v>
      </c>
      <c r="B18" s="2" t="s">
        <v>20</v>
      </c>
      <c r="C18" s="2">
        <v>2001</v>
      </c>
      <c r="D18" s="6">
        <v>2688418</v>
      </c>
      <c r="E18" s="6">
        <v>107536.72</v>
      </c>
      <c r="F18" s="34" t="str">
        <f>VLOOKUP(B18,'State Abbreviations'!$A$1:$B$52,MATCH($F$1,'State Abbreviations'!$A$1:$B$1,0),FALSE)</f>
        <v>KS</v>
      </c>
      <c r="G18" s="32">
        <f>VLOOKUP('Lookup Functions'!A18,'State Income (2001-2004)'!$A$1:$D$190,MATCH($G$1,'State Income (2001-2004)'!$A$1:$D$1,0),FALSE)</f>
        <v>28432</v>
      </c>
    </row>
    <row r="19" spans="1:7" x14ac:dyDescent="0.3">
      <c r="A19" t="str">
        <f t="shared" si="0"/>
        <v>Kentucky-2001</v>
      </c>
      <c r="B19" s="2" t="s">
        <v>21</v>
      </c>
      <c r="C19" s="2">
        <v>2001</v>
      </c>
      <c r="D19" s="6">
        <v>4041769</v>
      </c>
      <c r="E19" s="6">
        <v>161670.76</v>
      </c>
      <c r="F19" s="34" t="str">
        <f>VLOOKUP(B19,'State Abbreviations'!$A$1:$B$52,MATCH($F$1,'State Abbreviations'!$A$1:$B$1,0),FALSE)</f>
        <v>KY</v>
      </c>
      <c r="G19" s="32" t="s">
        <v>3548</v>
      </c>
    </row>
    <row r="20" spans="1:7" x14ac:dyDescent="0.3">
      <c r="A20" t="str">
        <f t="shared" si="0"/>
        <v>Louisiana-2001</v>
      </c>
      <c r="B20" s="2" t="s">
        <v>22</v>
      </c>
      <c r="C20" s="2">
        <v>2001</v>
      </c>
      <c r="D20" s="6">
        <v>4468976</v>
      </c>
      <c r="E20" s="6">
        <v>89379.520000000004</v>
      </c>
      <c r="F20" s="34" t="str">
        <f>VLOOKUP(B20,'State Abbreviations'!$A$1:$B$52,MATCH($F$1,'State Abbreviations'!$A$1:$B$1,0),FALSE)</f>
        <v>LA</v>
      </c>
      <c r="G20" s="32" t="s">
        <v>3548</v>
      </c>
    </row>
    <row r="21" spans="1:7" x14ac:dyDescent="0.3">
      <c r="A21" t="str">
        <f t="shared" si="0"/>
        <v>Maine-2001</v>
      </c>
      <c r="B21" s="2" t="s">
        <v>23</v>
      </c>
      <c r="C21" s="2">
        <v>2001</v>
      </c>
      <c r="D21" s="6">
        <v>1274923</v>
      </c>
      <c r="E21" s="6">
        <v>38247.689999999995</v>
      </c>
      <c r="F21" s="34" t="str">
        <f>VLOOKUP(B21,'State Abbreviations'!$A$1:$B$52,MATCH($F$1,'State Abbreviations'!$A$1:$B$1,0),FALSE)</f>
        <v>ME</v>
      </c>
      <c r="G21" s="32" t="s">
        <v>3548</v>
      </c>
    </row>
    <row r="22" spans="1:7" x14ac:dyDescent="0.3">
      <c r="A22" t="str">
        <f t="shared" si="0"/>
        <v>Maryland-2001</v>
      </c>
      <c r="B22" s="2" t="s">
        <v>24</v>
      </c>
      <c r="C22" s="2">
        <v>2001</v>
      </c>
      <c r="D22" s="6">
        <v>5296486</v>
      </c>
      <c r="E22" s="6">
        <v>158894.57999999999</v>
      </c>
      <c r="F22" s="34" t="str">
        <f>VLOOKUP(B22,'State Abbreviations'!$A$1:$B$52,MATCH($F$1,'State Abbreviations'!$A$1:$B$1,0),FALSE)</f>
        <v>MD</v>
      </c>
      <c r="G22" s="32">
        <f>VLOOKUP('Lookup Functions'!A22,'State Income (2001-2004)'!$A$1:$D$190,MATCH($G$1,'State Income (2001-2004)'!$A$1:$D$1,0),FALSE)</f>
        <v>35279</v>
      </c>
    </row>
    <row r="23" spans="1:7" x14ac:dyDescent="0.3">
      <c r="A23" t="str">
        <f t="shared" si="0"/>
        <v>Massachusetts-2001</v>
      </c>
      <c r="B23" s="2" t="s">
        <v>25</v>
      </c>
      <c r="C23" s="2">
        <v>2001</v>
      </c>
      <c r="D23" s="6">
        <v>6349097</v>
      </c>
      <c r="E23" s="6">
        <v>253963.88</v>
      </c>
      <c r="F23" s="34" t="str">
        <f>VLOOKUP(B23,'State Abbreviations'!$A$1:$B$52,MATCH($F$1,'State Abbreviations'!$A$1:$B$1,0),FALSE)</f>
        <v>MA</v>
      </c>
      <c r="G23" s="32">
        <f>VLOOKUP('Lookup Functions'!A23,'State Income (2001-2004)'!$A$1:$D$190,MATCH($G$1,'State Income (2001-2004)'!$A$1:$D$1,0),FALSE)</f>
        <v>38864</v>
      </c>
    </row>
    <row r="24" spans="1:7" x14ac:dyDescent="0.3">
      <c r="A24" t="str">
        <f t="shared" si="0"/>
        <v>Michigan-2001</v>
      </c>
      <c r="B24" s="2" t="s">
        <v>26</v>
      </c>
      <c r="C24" s="2">
        <v>2001</v>
      </c>
      <c r="D24" s="6">
        <v>9938444</v>
      </c>
      <c r="E24" s="6">
        <v>198768.88</v>
      </c>
      <c r="F24" s="34" t="str">
        <f>VLOOKUP(B24,'State Abbreviations'!$A$1:$B$52,MATCH($F$1,'State Abbreviations'!$A$1:$B$1,0),FALSE)</f>
        <v>MI</v>
      </c>
      <c r="G24" s="32">
        <f>VLOOKUP('Lookup Functions'!A24,'State Income (2001-2004)'!$A$1:$D$190,MATCH($G$1,'State Income (2001-2004)'!$A$1:$D$1,0),FALSE)</f>
        <v>29629</v>
      </c>
    </row>
    <row r="25" spans="1:7" x14ac:dyDescent="0.3">
      <c r="A25" t="str">
        <f t="shared" si="0"/>
        <v>Minnesota-2001</v>
      </c>
      <c r="B25" s="2" t="s">
        <v>27</v>
      </c>
      <c r="C25" s="2">
        <v>2001</v>
      </c>
      <c r="D25" s="6">
        <v>4919479</v>
      </c>
      <c r="E25" s="6">
        <v>196779.16</v>
      </c>
      <c r="F25" s="34" t="str">
        <f>VLOOKUP(B25,'State Abbreviations'!$A$1:$B$52,MATCH($F$1,'State Abbreviations'!$A$1:$B$1,0),FALSE)</f>
        <v>MN</v>
      </c>
      <c r="G25" s="32">
        <f>VLOOKUP('Lookup Functions'!A25,'State Income (2001-2004)'!$A$1:$D$190,MATCH($G$1,'State Income (2001-2004)'!$A$1:$D$1,0),FALSE)</f>
        <v>33059</v>
      </c>
    </row>
    <row r="26" spans="1:7" x14ac:dyDescent="0.3">
      <c r="A26" t="str">
        <f t="shared" si="0"/>
        <v>Mississippi-2001</v>
      </c>
      <c r="B26" s="2" t="s">
        <v>28</v>
      </c>
      <c r="C26" s="2">
        <v>2001</v>
      </c>
      <c r="D26" s="6">
        <v>2844658</v>
      </c>
      <c r="E26" s="6">
        <v>85339.739999999991</v>
      </c>
      <c r="F26" s="34" t="str">
        <f>VLOOKUP(B26,'State Abbreviations'!$A$1:$B$52,MATCH($F$1,'State Abbreviations'!$A$1:$B$1,0),FALSE)</f>
        <v>MS</v>
      </c>
      <c r="G26" s="32">
        <f>VLOOKUP('Lookup Functions'!A26,'State Income (2001-2004)'!$A$1:$D$190,MATCH($G$1,'State Income (2001-2004)'!$A$1:$D$1,0),FALSE)</f>
        <v>21653</v>
      </c>
    </row>
    <row r="27" spans="1:7" x14ac:dyDescent="0.3">
      <c r="A27" t="str">
        <f t="shared" si="0"/>
        <v>Missouri-2001</v>
      </c>
      <c r="B27" s="2" t="s">
        <v>29</v>
      </c>
      <c r="C27" s="2">
        <v>2001</v>
      </c>
      <c r="D27" s="6">
        <v>5595211</v>
      </c>
      <c r="E27" s="6">
        <v>111904.22</v>
      </c>
      <c r="F27" s="34" t="str">
        <f>VLOOKUP(B27,'State Abbreviations'!$A$1:$B$52,MATCH($F$1,'State Abbreviations'!$A$1:$B$1,0),FALSE)</f>
        <v>MO</v>
      </c>
      <c r="G27" s="32">
        <f>VLOOKUP('Lookup Functions'!A27,'State Income (2001-2004)'!$A$1:$D$190,MATCH($G$1,'State Income (2001-2004)'!$A$1:$D$1,0),FALSE)</f>
        <v>28221</v>
      </c>
    </row>
    <row r="28" spans="1:7" x14ac:dyDescent="0.3">
      <c r="A28" t="str">
        <f t="shared" si="0"/>
        <v>Montana-2001</v>
      </c>
      <c r="B28" s="2" t="s">
        <v>30</v>
      </c>
      <c r="C28" s="2">
        <v>2001</v>
      </c>
      <c r="D28" s="6">
        <v>902195</v>
      </c>
      <c r="E28" s="6">
        <v>36087.800000000003</v>
      </c>
      <c r="F28" s="34" t="str">
        <f>VLOOKUP(B28,'State Abbreviations'!$A$1:$B$52,MATCH($F$1,'State Abbreviations'!$A$1:$B$1,0),FALSE)</f>
        <v>MT</v>
      </c>
      <c r="G28" s="32">
        <f>VLOOKUP('Lookup Functions'!A28,'State Income (2001-2004)'!$A$1:$D$190,MATCH($G$1,'State Income (2001-2004)'!$A$1:$D$1,0),FALSE)</f>
        <v>24044</v>
      </c>
    </row>
    <row r="29" spans="1:7" x14ac:dyDescent="0.3">
      <c r="A29" t="str">
        <f t="shared" si="0"/>
        <v>Nebraska-2001</v>
      </c>
      <c r="B29" s="2" t="s">
        <v>31</v>
      </c>
      <c r="C29" s="2">
        <v>2001</v>
      </c>
      <c r="D29" s="6">
        <v>1711263</v>
      </c>
      <c r="E29" s="6">
        <v>51337.89</v>
      </c>
      <c r="F29" s="34" t="str">
        <f>VLOOKUP(B29,'State Abbreviations'!$A$1:$B$52,MATCH($F$1,'State Abbreviations'!$A$1:$B$1,0),FALSE)</f>
        <v>NE</v>
      </c>
      <c r="G29" s="32">
        <f>VLOOKUP('Lookup Functions'!A29,'State Income (2001-2004)'!$A$1:$D$190,MATCH($G$1,'State Income (2001-2004)'!$A$1:$D$1,0),FALSE)</f>
        <v>28861</v>
      </c>
    </row>
    <row r="30" spans="1:7" x14ac:dyDescent="0.3">
      <c r="A30" t="str">
        <f t="shared" si="0"/>
        <v>Nevada-2001</v>
      </c>
      <c r="B30" s="2" t="s">
        <v>32</v>
      </c>
      <c r="C30" s="2">
        <v>2001</v>
      </c>
      <c r="D30" s="6">
        <v>1998257</v>
      </c>
      <c r="E30" s="6">
        <v>79930.28</v>
      </c>
      <c r="F30" s="34" t="str">
        <f>VLOOKUP(B30,'State Abbreviations'!$A$1:$B$52,MATCH($F$1,'State Abbreviations'!$A$1:$B$1,0),FALSE)</f>
        <v>NV</v>
      </c>
      <c r="G30" s="32">
        <f>VLOOKUP('Lookup Functions'!A30,'State Income (2001-2004)'!$A$1:$D$190,MATCH($G$1,'State Income (2001-2004)'!$A$1:$D$1,0),FALSE)</f>
        <v>30128</v>
      </c>
    </row>
    <row r="31" spans="1:7" x14ac:dyDescent="0.3">
      <c r="A31" t="str">
        <f t="shared" si="0"/>
        <v>New Hampshire-2001</v>
      </c>
      <c r="B31" s="2" t="s">
        <v>33</v>
      </c>
      <c r="C31" s="2">
        <v>2001</v>
      </c>
      <c r="D31" s="6">
        <v>1235786</v>
      </c>
      <c r="E31" s="6">
        <v>37073.58</v>
      </c>
      <c r="F31" s="34" t="str">
        <f>VLOOKUP(B31,'State Abbreviations'!$A$1:$B$52,MATCH($F$1,'State Abbreviations'!$A$1:$B$1,0),FALSE)</f>
        <v>NH</v>
      </c>
      <c r="G31" s="32">
        <f>VLOOKUP('Lookup Functions'!A31,'State Income (2001-2004)'!$A$1:$D$190,MATCH($G$1,'State Income (2001-2004)'!$A$1:$D$1,0),FALSE)</f>
        <v>33969</v>
      </c>
    </row>
    <row r="32" spans="1:7" x14ac:dyDescent="0.3">
      <c r="A32" t="str">
        <f t="shared" si="0"/>
        <v>New Jersey-2001</v>
      </c>
      <c r="B32" s="2" t="s">
        <v>34</v>
      </c>
      <c r="C32" s="2">
        <v>2001</v>
      </c>
      <c r="D32" s="6">
        <v>8414350</v>
      </c>
      <c r="E32" s="6">
        <v>336574</v>
      </c>
      <c r="F32" s="34" t="str">
        <f>VLOOKUP(B32,'State Abbreviations'!$A$1:$B$52,MATCH($F$1,'State Abbreviations'!$A$1:$B$1,0),FALSE)</f>
        <v>NJ</v>
      </c>
      <c r="G32" s="32">
        <f>VLOOKUP('Lookup Functions'!A32,'State Income (2001-2004)'!$A$1:$D$190,MATCH($G$1,'State Income (2001-2004)'!$A$1:$D$1,0),FALSE)</f>
        <v>38625</v>
      </c>
    </row>
    <row r="33" spans="1:7" x14ac:dyDescent="0.3">
      <c r="A33" t="str">
        <f t="shared" si="0"/>
        <v>New Mexico-2001</v>
      </c>
      <c r="B33" s="2" t="s">
        <v>35</v>
      </c>
      <c r="C33" s="2">
        <v>2001</v>
      </c>
      <c r="D33" s="6">
        <v>1819046</v>
      </c>
      <c r="E33" s="6">
        <v>54571.38</v>
      </c>
      <c r="F33" s="34" t="str">
        <f>VLOOKUP(B33,'State Abbreviations'!$A$1:$B$52,MATCH($F$1,'State Abbreviations'!$A$1:$B$1,0),FALSE)</f>
        <v>NM</v>
      </c>
      <c r="G33" s="32">
        <f>VLOOKUP('Lookup Functions'!A33,'State Income (2001-2004)'!$A$1:$D$190,MATCH($G$1,'State Income (2001-2004)'!$A$1:$D$1,0),FALSE)</f>
        <v>23081</v>
      </c>
    </row>
    <row r="34" spans="1:7" x14ac:dyDescent="0.3">
      <c r="A34" t="str">
        <f t="shared" si="0"/>
        <v>New York-2001</v>
      </c>
      <c r="B34" s="2" t="s">
        <v>36</v>
      </c>
      <c r="C34" s="2">
        <v>2001</v>
      </c>
      <c r="D34" s="6">
        <v>18976457</v>
      </c>
      <c r="E34" s="6">
        <v>759058.28</v>
      </c>
      <c r="F34" s="34" t="str">
        <f>VLOOKUP(B34,'State Abbreviations'!$A$1:$B$52,MATCH($F$1,'State Abbreviations'!$A$1:$B$1,0),FALSE)</f>
        <v>NY</v>
      </c>
      <c r="G34" s="32">
        <f>VLOOKUP('Lookup Functions'!A34,'State Income (2001-2004)'!$A$1:$D$190,MATCH($G$1,'State Income (2001-2004)'!$A$1:$D$1,0),FALSE)</f>
        <v>35878</v>
      </c>
    </row>
    <row r="35" spans="1:7" x14ac:dyDescent="0.3">
      <c r="A35" t="str">
        <f t="shared" si="0"/>
        <v>North Carolina-2001</v>
      </c>
      <c r="B35" s="2" t="s">
        <v>37</v>
      </c>
      <c r="C35" s="2">
        <v>2001</v>
      </c>
      <c r="D35" s="6">
        <v>8049313</v>
      </c>
      <c r="E35" s="6">
        <v>241479.38999999998</v>
      </c>
      <c r="F35" s="34" t="str">
        <f>VLOOKUP(B35,'State Abbreviations'!$A$1:$B$52,MATCH($F$1,'State Abbreviations'!$A$1:$B$1,0),FALSE)</f>
        <v>NC</v>
      </c>
      <c r="G35" s="32">
        <f>VLOOKUP('Lookup Functions'!A35,'State Income (2001-2004)'!$A$1:$D$190,MATCH($G$1,'State Income (2001-2004)'!$A$1:$D$1,0),FALSE)</f>
        <v>27308</v>
      </c>
    </row>
    <row r="36" spans="1:7" x14ac:dyDescent="0.3">
      <c r="A36" t="str">
        <f t="shared" si="0"/>
        <v>North Dakota-2001</v>
      </c>
      <c r="B36" s="2" t="s">
        <v>38</v>
      </c>
      <c r="C36" s="2">
        <v>2001</v>
      </c>
      <c r="D36" s="6">
        <v>642200</v>
      </c>
      <c r="E36" s="6">
        <v>25688</v>
      </c>
      <c r="F36" s="34" t="str">
        <f>VLOOKUP(B36,'State Abbreviations'!$A$1:$B$52,MATCH($F$1,'State Abbreviations'!$A$1:$B$1,0),FALSE)</f>
        <v>ND</v>
      </c>
      <c r="G36" s="32">
        <f>VLOOKUP('Lookup Functions'!A36,'State Income (2001-2004)'!$A$1:$D$190,MATCH($G$1,'State Income (2001-2004)'!$A$1:$D$1,0),FALSE)</f>
        <v>25798</v>
      </c>
    </row>
    <row r="37" spans="1:7" x14ac:dyDescent="0.3">
      <c r="A37" t="str">
        <f t="shared" si="0"/>
        <v>Ohio-2001</v>
      </c>
      <c r="B37" s="2" t="s">
        <v>39</v>
      </c>
      <c r="C37" s="2">
        <v>2001</v>
      </c>
      <c r="D37" s="6">
        <v>11353140</v>
      </c>
      <c r="E37" s="6">
        <v>227062.80000000002</v>
      </c>
      <c r="F37" s="34" t="str">
        <f>VLOOKUP(B37,'State Abbreviations'!$A$1:$B$52,MATCH($F$1,'State Abbreviations'!$A$1:$B$1,0),FALSE)</f>
        <v>OH</v>
      </c>
      <c r="G37" s="32">
        <f>VLOOKUP('Lookup Functions'!A37,'State Income (2001-2004)'!$A$1:$D$190,MATCH($G$1,'State Income (2001-2004)'!$A$1:$D$1,0),FALSE)</f>
        <v>28699</v>
      </c>
    </row>
    <row r="38" spans="1:7" x14ac:dyDescent="0.3">
      <c r="A38" t="str">
        <f t="shared" si="0"/>
        <v>Oklahoma-2001</v>
      </c>
      <c r="B38" s="2" t="s">
        <v>40</v>
      </c>
      <c r="C38" s="2">
        <v>2001</v>
      </c>
      <c r="D38" s="6">
        <v>3450654</v>
      </c>
      <c r="E38" s="6">
        <v>69013.08</v>
      </c>
      <c r="F38" s="34" t="str">
        <f>VLOOKUP(B38,'State Abbreviations'!$A$1:$B$52,MATCH($F$1,'State Abbreviations'!$A$1:$B$1,0),FALSE)</f>
        <v>OK</v>
      </c>
      <c r="G38" s="32">
        <f>VLOOKUP('Lookup Functions'!A38,'State Income (2001-2004)'!$A$1:$D$190,MATCH($G$1,'State Income (2001-2004)'!$A$1:$D$1,0),FALSE)</f>
        <v>24945</v>
      </c>
    </row>
    <row r="39" spans="1:7" x14ac:dyDescent="0.3">
      <c r="A39" t="str">
        <f t="shared" si="0"/>
        <v>Oregon-2001</v>
      </c>
      <c r="B39" s="2" t="s">
        <v>41</v>
      </c>
      <c r="C39" s="2">
        <v>2001</v>
      </c>
      <c r="D39" s="6">
        <v>3421399</v>
      </c>
      <c r="E39" s="6">
        <v>68427.98</v>
      </c>
      <c r="F39" s="34" t="str">
        <f>VLOOKUP(B39,'State Abbreviations'!$A$1:$B$52,MATCH($F$1,'State Abbreviations'!$A$1:$B$1,0),FALSE)</f>
        <v>OR</v>
      </c>
      <c r="G39" s="32">
        <f>VLOOKUP('Lookup Functions'!A39,'State Income (2001-2004)'!$A$1:$D$190,MATCH($G$1,'State Income (2001-2004)'!$A$1:$D$1,0),FALSE)</f>
        <v>28222</v>
      </c>
    </row>
    <row r="40" spans="1:7" x14ac:dyDescent="0.3">
      <c r="A40" t="str">
        <f t="shared" si="0"/>
        <v>Pennsylvania-2001</v>
      </c>
      <c r="B40" s="2" t="s">
        <v>42</v>
      </c>
      <c r="C40" s="2">
        <v>2001</v>
      </c>
      <c r="D40" s="6">
        <v>12281054</v>
      </c>
      <c r="E40" s="6">
        <v>245621.08000000002</v>
      </c>
      <c r="F40" s="34" t="str">
        <f>VLOOKUP(B40,'State Abbreviations'!$A$1:$B$52,MATCH($F$1,'State Abbreviations'!$A$1:$B$1,0),FALSE)</f>
        <v>PA</v>
      </c>
      <c r="G40" s="32">
        <f>VLOOKUP('Lookup Functions'!A40,'State Income (2001-2004)'!$A$1:$D$190,MATCH($G$1,'State Income (2001-2004)'!$A$1:$D$1,0),FALSE)</f>
        <v>30752</v>
      </c>
    </row>
    <row r="41" spans="1:7" x14ac:dyDescent="0.3">
      <c r="A41" t="str">
        <f t="shared" si="0"/>
        <v>Rhode Island-2001</v>
      </c>
      <c r="B41" s="2" t="s">
        <v>43</v>
      </c>
      <c r="C41" s="2">
        <v>2001</v>
      </c>
      <c r="D41" s="6">
        <v>1048319</v>
      </c>
      <c r="E41" s="6">
        <v>41932.76</v>
      </c>
      <c r="F41" s="34" t="str">
        <f>VLOOKUP(B41,'State Abbreviations'!$A$1:$B$52,MATCH($F$1,'State Abbreviations'!$A$1:$B$1,0),FALSE)</f>
        <v>RI</v>
      </c>
      <c r="G41" s="32">
        <f>VLOOKUP('Lookup Functions'!A41,'State Income (2001-2004)'!$A$1:$D$190,MATCH($G$1,'State Income (2001-2004)'!$A$1:$D$1,0),FALSE)</f>
        <v>30256</v>
      </c>
    </row>
    <row r="42" spans="1:7" x14ac:dyDescent="0.3">
      <c r="A42" t="str">
        <f t="shared" si="0"/>
        <v>South Carolina-2001</v>
      </c>
      <c r="B42" s="2" t="s">
        <v>44</v>
      </c>
      <c r="C42" s="2">
        <v>2001</v>
      </c>
      <c r="D42" s="6">
        <v>4012012</v>
      </c>
      <c r="E42" s="6">
        <v>160480.48000000001</v>
      </c>
      <c r="F42" s="34" t="str">
        <f>VLOOKUP(B42,'State Abbreviations'!$A$1:$B$52,MATCH($F$1,'State Abbreviations'!$A$1:$B$1,0),FALSE)</f>
        <v>SC</v>
      </c>
      <c r="G42" s="32">
        <f>VLOOKUP('Lookup Functions'!A42,'State Income (2001-2004)'!$A$1:$D$190,MATCH($G$1,'State Income (2001-2004)'!$A$1:$D$1,0),FALSE)</f>
        <v>24840</v>
      </c>
    </row>
    <row r="43" spans="1:7" x14ac:dyDescent="0.3">
      <c r="A43" t="str">
        <f t="shared" si="0"/>
        <v>South Dakota-2001</v>
      </c>
      <c r="B43" s="2" t="s">
        <v>45</v>
      </c>
      <c r="C43" s="2">
        <v>2001</v>
      </c>
      <c r="D43" s="6">
        <v>754844</v>
      </c>
      <c r="E43" s="6">
        <v>30193.760000000002</v>
      </c>
      <c r="F43" s="34" t="str">
        <f>VLOOKUP(B43,'State Abbreviations'!$A$1:$B$52,MATCH($F$1,'State Abbreviations'!$A$1:$B$1,0),FALSE)</f>
        <v>SD</v>
      </c>
      <c r="G43" s="32">
        <f>VLOOKUP('Lookup Functions'!A43,'State Income (2001-2004)'!$A$1:$D$190,MATCH($G$1,'State Income (2001-2004)'!$A$1:$D$1,0),FALSE)</f>
        <v>26566</v>
      </c>
    </row>
    <row r="44" spans="1:7" x14ac:dyDescent="0.3">
      <c r="A44" t="str">
        <f t="shared" si="0"/>
        <v>Tennessee-2001</v>
      </c>
      <c r="B44" s="2" t="s">
        <v>46</v>
      </c>
      <c r="C44" s="2">
        <v>2001</v>
      </c>
      <c r="D44" s="6">
        <v>5689283</v>
      </c>
      <c r="E44" s="6">
        <v>170678.49</v>
      </c>
      <c r="F44" s="34" t="str">
        <f>VLOOKUP(B44,'State Abbreviations'!$A$1:$B$52,MATCH($F$1,'State Abbreviations'!$A$1:$B$1,0),FALSE)</f>
        <v>TN</v>
      </c>
      <c r="G44" s="32">
        <f>VLOOKUP('Lookup Functions'!A44,'State Income (2001-2004)'!$A$1:$D$190,MATCH($G$1,'State Income (2001-2004)'!$A$1:$D$1,0),FALSE)</f>
        <v>26808</v>
      </c>
    </row>
    <row r="45" spans="1:7" x14ac:dyDescent="0.3">
      <c r="A45" t="str">
        <f t="shared" si="0"/>
        <v>Texas-2001</v>
      </c>
      <c r="B45" s="2" t="s">
        <v>47</v>
      </c>
      <c r="C45" s="2">
        <v>2001</v>
      </c>
      <c r="D45" s="6">
        <v>20851820</v>
      </c>
      <c r="E45" s="6">
        <v>417036.4</v>
      </c>
      <c r="F45" s="34" t="str">
        <f>VLOOKUP(B45,'State Abbreviations'!$A$1:$B$52,MATCH($F$1,'State Abbreviations'!$A$1:$B$1,0),FALSE)</f>
        <v>TX</v>
      </c>
      <c r="G45" s="32">
        <f>VLOOKUP('Lookup Functions'!A45,'State Income (2001-2004)'!$A$1:$D$190,MATCH($G$1,'State Income (2001-2004)'!$A$1:$D$1,0),FALSE)</f>
        <v>28472</v>
      </c>
    </row>
    <row r="46" spans="1:7" x14ac:dyDescent="0.3">
      <c r="A46" t="str">
        <f t="shared" si="0"/>
        <v>Utah-2001</v>
      </c>
      <c r="B46" s="2" t="s">
        <v>48</v>
      </c>
      <c r="C46" s="2">
        <v>2001</v>
      </c>
      <c r="D46" s="6">
        <v>2233169</v>
      </c>
      <c r="E46" s="6">
        <v>66995.069999999992</v>
      </c>
      <c r="F46" s="34" t="str">
        <f>VLOOKUP(B46,'State Abbreviations'!$A$1:$B$52,MATCH($F$1,'State Abbreviations'!$A$1:$B$1,0),FALSE)</f>
        <v>UT</v>
      </c>
      <c r="G46" s="32">
        <f>VLOOKUP('Lookup Functions'!A46,'State Income (2001-2004)'!$A$1:$D$190,MATCH($G$1,'State Income (2001-2004)'!$A$1:$D$1,0),FALSE)</f>
        <v>24033</v>
      </c>
    </row>
    <row r="47" spans="1:7" x14ac:dyDescent="0.3">
      <c r="A47" t="str">
        <f t="shared" si="0"/>
        <v>Vermont-2001</v>
      </c>
      <c r="B47" s="2" t="s">
        <v>49</v>
      </c>
      <c r="C47" s="2">
        <v>2001</v>
      </c>
      <c r="D47" s="6">
        <v>608827</v>
      </c>
      <c r="E47" s="6">
        <v>18264.809999999998</v>
      </c>
      <c r="F47" s="34" t="str">
        <f>VLOOKUP(B47,'State Abbreviations'!$A$1:$B$52,MATCH($F$1,'State Abbreviations'!$A$1:$B$1,0),FALSE)</f>
        <v>VT</v>
      </c>
      <c r="G47" s="32">
        <f>VLOOKUP('Lookup Functions'!A47,'State Income (2001-2004)'!$A$1:$D$190,MATCH($G$1,'State Income (2001-2004)'!$A$1:$D$1,0),FALSE)</f>
        <v>28756</v>
      </c>
    </row>
    <row r="48" spans="1:7" x14ac:dyDescent="0.3">
      <c r="A48" t="str">
        <f t="shared" si="0"/>
        <v>Virginia-2001</v>
      </c>
      <c r="B48" s="2" t="s">
        <v>50</v>
      </c>
      <c r="C48" s="2">
        <v>2001</v>
      </c>
      <c r="D48" s="6">
        <v>7078515</v>
      </c>
      <c r="E48" s="6">
        <v>212355.44999999998</v>
      </c>
      <c r="F48" s="34" t="str">
        <f>VLOOKUP(B48,'State Abbreviations'!$A$1:$B$52,MATCH($F$1,'State Abbreviations'!$A$1:$B$1,0),FALSE)</f>
        <v>VA</v>
      </c>
      <c r="G48" s="32">
        <f>VLOOKUP('Lookup Functions'!A48,'State Income (2001-2004)'!$A$1:$D$190,MATCH($G$1,'State Income (2001-2004)'!$A$1:$D$1,0),FALSE)</f>
        <v>32338</v>
      </c>
    </row>
    <row r="49" spans="1:7" x14ac:dyDescent="0.3">
      <c r="A49" t="str">
        <f t="shared" si="0"/>
        <v>Washington-2001</v>
      </c>
      <c r="B49" s="2" t="s">
        <v>51</v>
      </c>
      <c r="C49" s="2">
        <v>2001</v>
      </c>
      <c r="D49" s="6">
        <v>5894121</v>
      </c>
      <c r="E49" s="6">
        <v>176823.63</v>
      </c>
      <c r="F49" s="34" t="str">
        <f>VLOOKUP(B49,'State Abbreviations'!$A$1:$B$52,MATCH($F$1,'State Abbreviations'!$A$1:$B$1,0),FALSE)</f>
        <v>WA</v>
      </c>
      <c r="G49" s="32">
        <f>VLOOKUP('Lookup Functions'!A49,'State Income (2001-2004)'!$A$1:$D$190,MATCH($G$1,'State Income (2001-2004)'!$A$1:$D$1,0),FALSE)</f>
        <v>31976</v>
      </c>
    </row>
    <row r="50" spans="1:7" x14ac:dyDescent="0.3">
      <c r="A50" t="str">
        <f t="shared" si="0"/>
        <v>West Virginia-2001</v>
      </c>
      <c r="B50" s="2" t="s">
        <v>52</v>
      </c>
      <c r="C50" s="2">
        <v>2001</v>
      </c>
      <c r="D50" s="6">
        <v>1808344</v>
      </c>
      <c r="E50" s="6">
        <v>72333.759999999995</v>
      </c>
      <c r="F50" s="34" t="str">
        <f>VLOOKUP(B50,'State Abbreviations'!$A$1:$B$52,MATCH($F$1,'State Abbreviations'!$A$1:$B$1,0),FALSE)</f>
        <v>WV</v>
      </c>
      <c r="G50" s="32">
        <f>VLOOKUP('Lookup Functions'!A50,'State Income (2001-2004)'!$A$1:$D$190,MATCH($G$1,'State Income (2001-2004)'!$A$1:$D$1,0),FALSE)</f>
        <v>22862</v>
      </c>
    </row>
    <row r="51" spans="1:7" x14ac:dyDescent="0.3">
      <c r="A51" t="str">
        <f t="shared" si="0"/>
        <v>Wisconsin-2001</v>
      </c>
      <c r="B51" s="2" t="s">
        <v>53</v>
      </c>
      <c r="C51" s="2">
        <v>2001</v>
      </c>
      <c r="D51" s="6">
        <v>5363675</v>
      </c>
      <c r="E51" s="6">
        <v>214547</v>
      </c>
      <c r="F51" s="34" t="str">
        <f>VLOOKUP(B51,'State Abbreviations'!$A$1:$B$52,MATCH($F$1,'State Abbreviations'!$A$1:$B$1,0),FALSE)</f>
        <v>WI</v>
      </c>
      <c r="G51" s="32">
        <f>VLOOKUP('Lookup Functions'!A51,'State Income (2001-2004)'!$A$1:$D$190,MATCH($G$1,'State Income (2001-2004)'!$A$1:$D$1,0),FALSE)</f>
        <v>29196</v>
      </c>
    </row>
    <row r="52" spans="1:7" x14ac:dyDescent="0.3">
      <c r="A52" t="str">
        <f t="shared" si="0"/>
        <v>Wyoming-2001</v>
      </c>
      <c r="B52" s="2" t="s">
        <v>54</v>
      </c>
      <c r="C52" s="2">
        <v>2001</v>
      </c>
      <c r="D52" s="6">
        <v>493782</v>
      </c>
      <c r="E52" s="6">
        <v>19751.28</v>
      </c>
      <c r="F52" s="34" t="str">
        <f>VLOOKUP(B52,'State Abbreviations'!$A$1:$B$52,MATCH($F$1,'State Abbreviations'!$A$1:$B$1,0),FALSE)</f>
        <v>WY</v>
      </c>
      <c r="G52" s="32">
        <f>VLOOKUP('Lookup Functions'!A52,'State Income (2001-2004)'!$A$1:$D$190,MATCH($G$1,'State Income (2001-2004)'!$A$1:$D$1,0),FALSE)</f>
        <v>29587</v>
      </c>
    </row>
    <row r="53" spans="1:7" x14ac:dyDescent="0.3">
      <c r="A53" t="str">
        <f t="shared" si="0"/>
        <v>Alabama-2002</v>
      </c>
      <c r="B53" s="2" t="s">
        <v>4</v>
      </c>
      <c r="C53" s="2">
        <v>2002</v>
      </c>
      <c r="D53" s="6">
        <v>4530182</v>
      </c>
      <c r="E53" s="6">
        <v>135905.46</v>
      </c>
      <c r="F53" s="34" t="str">
        <f>VLOOKUP(B53,'State Abbreviations'!$A$1:$B$52,MATCH($F$1,'State Abbreviations'!$A$1:$B$1,0),FALSE)</f>
        <v>AL</v>
      </c>
      <c r="G53" s="32">
        <f>VLOOKUP('Lookup Functions'!A53,'State Income (2001-2004)'!$A$1:$D$190,MATCH($G$1,'State Income (2001-2004)'!$A$1:$D$1,0),FALSE)</f>
        <v>25128</v>
      </c>
    </row>
    <row r="54" spans="1:7" x14ac:dyDescent="0.3">
      <c r="A54" t="str">
        <f t="shared" si="0"/>
        <v>Alaska-2002</v>
      </c>
      <c r="B54" s="2" t="s">
        <v>5</v>
      </c>
      <c r="C54" s="2">
        <v>2002</v>
      </c>
      <c r="D54" s="6">
        <v>655435</v>
      </c>
      <c r="E54" s="6">
        <v>19663.05</v>
      </c>
      <c r="F54" s="34" t="str">
        <f>VLOOKUP(B54,'State Abbreviations'!$A$1:$B$52,MATCH($F$1,'State Abbreviations'!$A$1:$B$1,0),FALSE)</f>
        <v>AK</v>
      </c>
      <c r="G54" s="32">
        <f>VLOOKUP('Lookup Functions'!A54,'State Income (2001-2004)'!$A$1:$D$190,MATCH($G$1,'State Income (2001-2004)'!$A$1:$D$1,0),FALSE)</f>
        <v>32151</v>
      </c>
    </row>
    <row r="55" spans="1:7" x14ac:dyDescent="0.3">
      <c r="A55" t="str">
        <f t="shared" si="0"/>
        <v>Arizona-2002</v>
      </c>
      <c r="B55" s="2" t="s">
        <v>6</v>
      </c>
      <c r="C55" s="2">
        <v>2002</v>
      </c>
      <c r="D55" s="6">
        <v>5743834</v>
      </c>
      <c r="E55" s="6">
        <v>114876.68000000001</v>
      </c>
      <c r="F55" s="34" t="str">
        <f>VLOOKUP(B55,'State Abbreviations'!$A$1:$B$52,MATCH($F$1,'State Abbreviations'!$A$1:$B$1,0),FALSE)</f>
        <v>AZ</v>
      </c>
      <c r="G55" s="32">
        <f>VLOOKUP('Lookup Functions'!A55,'State Income (2001-2004)'!$A$1:$D$190,MATCH($G$1,'State Income (2001-2004)'!$A$1:$D$1,0),FALSE)</f>
        <v>26183</v>
      </c>
    </row>
    <row r="56" spans="1:7" x14ac:dyDescent="0.3">
      <c r="A56" t="str">
        <f t="shared" si="0"/>
        <v>Arkansas-2002</v>
      </c>
      <c r="B56" s="2" t="s">
        <v>7</v>
      </c>
      <c r="C56" s="2">
        <v>2002</v>
      </c>
      <c r="D56" s="6">
        <v>2752629</v>
      </c>
      <c r="E56" s="6">
        <v>110105.16</v>
      </c>
      <c r="F56" s="34" t="str">
        <f>VLOOKUP(B56,'State Abbreviations'!$A$1:$B$52,MATCH($F$1,'State Abbreviations'!$A$1:$B$1,0),FALSE)</f>
        <v>AR</v>
      </c>
      <c r="G56" s="32">
        <f>VLOOKUP('Lookup Functions'!A56,'State Income (2001-2004)'!$A$1:$D$190,MATCH($G$1,'State Income (2001-2004)'!$A$1:$D$1,0),FALSE)</f>
        <v>23512</v>
      </c>
    </row>
    <row r="57" spans="1:7" x14ac:dyDescent="0.3">
      <c r="A57" t="str">
        <f t="shared" si="0"/>
        <v>California-2002</v>
      </c>
      <c r="B57" s="2" t="s">
        <v>8</v>
      </c>
      <c r="C57" s="2">
        <v>2002</v>
      </c>
      <c r="D57" s="6">
        <v>35893799</v>
      </c>
      <c r="E57" s="6">
        <v>1076813.97</v>
      </c>
      <c r="F57" s="34" t="str">
        <f>VLOOKUP(B57,'State Abbreviations'!$A$1:$B$52,MATCH($F$1,'State Abbreviations'!$A$1:$B$1,0),FALSE)</f>
        <v>CA</v>
      </c>
      <c r="G57" s="32">
        <f>VLOOKUP('Lookup Functions'!A57,'State Income (2001-2004)'!$A$1:$D$190,MATCH($G$1,'State Income (2001-2004)'!$A$1:$D$1,0),FALSE)</f>
        <v>32996</v>
      </c>
    </row>
    <row r="58" spans="1:7" x14ac:dyDescent="0.3">
      <c r="A58" t="str">
        <f t="shared" si="0"/>
        <v>Colorado-2002</v>
      </c>
      <c r="B58" s="2" t="s">
        <v>9</v>
      </c>
      <c r="C58" s="2">
        <v>2002</v>
      </c>
      <c r="D58" s="6">
        <v>4601403</v>
      </c>
      <c r="E58" s="6">
        <v>138042.09</v>
      </c>
      <c r="F58" s="34" t="str">
        <f>VLOOKUP(B58,'State Abbreviations'!$A$1:$B$52,MATCH($F$1,'State Abbreviations'!$A$1:$B$1,0),FALSE)</f>
        <v>CO</v>
      </c>
      <c r="G58" s="32">
        <f>VLOOKUP('Lookup Functions'!A58,'State Income (2001-2004)'!$A$1:$D$190,MATCH($G$1,'State Income (2001-2004)'!$A$1:$D$1,0),FALSE)</f>
        <v>33276</v>
      </c>
    </row>
    <row r="59" spans="1:7" x14ac:dyDescent="0.3">
      <c r="A59" t="str">
        <f t="shared" si="0"/>
        <v>Connecticut-2002</v>
      </c>
      <c r="B59" s="2" t="s">
        <v>10</v>
      </c>
      <c r="C59" s="2">
        <v>2002</v>
      </c>
      <c r="D59" s="6">
        <v>3503604</v>
      </c>
      <c r="E59" s="6">
        <v>140144.16</v>
      </c>
      <c r="F59" s="34" t="str">
        <f>VLOOKUP(B59,'State Abbreviations'!$A$1:$B$52,MATCH($F$1,'State Abbreviations'!$A$1:$B$1,0),FALSE)</f>
        <v>CT</v>
      </c>
      <c r="G59" s="32">
        <f>VLOOKUP('Lookup Functions'!A59,'State Income (2001-2004)'!$A$1:$D$190,MATCH($G$1,'State Income (2001-2004)'!$A$1:$D$1,0),FALSE)</f>
        <v>42706</v>
      </c>
    </row>
    <row r="60" spans="1:7" x14ac:dyDescent="0.3">
      <c r="A60" t="str">
        <f t="shared" si="0"/>
        <v>D.C.-2002</v>
      </c>
      <c r="B60" s="2" t="s">
        <v>11</v>
      </c>
      <c r="C60" s="2">
        <v>2002</v>
      </c>
      <c r="D60" s="6">
        <v>830364</v>
      </c>
      <c r="E60" s="6">
        <v>33214.559999999998</v>
      </c>
      <c r="F60" s="34" t="str">
        <f>VLOOKUP(B60,'State Abbreviations'!$A$1:$B$52,MATCH($F$1,'State Abbreviations'!$A$1:$B$1,0),FALSE)</f>
        <v>DC</v>
      </c>
      <c r="G60" s="32" t="s">
        <v>3548</v>
      </c>
    </row>
    <row r="61" spans="1:7" x14ac:dyDescent="0.3">
      <c r="A61" t="str">
        <f t="shared" si="0"/>
        <v>Delaware-2002</v>
      </c>
      <c r="B61" s="2" t="s">
        <v>12</v>
      </c>
      <c r="C61" s="2">
        <v>2002</v>
      </c>
      <c r="D61" s="6">
        <v>553523</v>
      </c>
      <c r="E61" s="6">
        <v>16605.689999999999</v>
      </c>
      <c r="F61" s="34" t="str">
        <f>VLOOKUP(B61,'State Abbreviations'!$A$1:$B$52,MATCH($F$1,'State Abbreviations'!$A$1:$B$1,0),FALSE)</f>
        <v>DE</v>
      </c>
      <c r="G61" s="32">
        <f>VLOOKUP('Lookup Functions'!A61,'State Income (2001-2004)'!$A$1:$D$190,MATCH($G$1,'State Income (2001-2004)'!$A$1:$D$1,0),FALSE)</f>
        <v>42120</v>
      </c>
    </row>
    <row r="62" spans="1:7" x14ac:dyDescent="0.3">
      <c r="A62" t="str">
        <f t="shared" si="0"/>
        <v>Florida-2002</v>
      </c>
      <c r="B62" s="2" t="s">
        <v>13</v>
      </c>
      <c r="C62" s="2">
        <v>2002</v>
      </c>
      <c r="D62" s="6">
        <v>17397161</v>
      </c>
      <c r="E62" s="6">
        <v>695886.44000000006</v>
      </c>
      <c r="F62" s="34" t="str">
        <f>VLOOKUP(B62,'State Abbreviations'!$A$1:$B$52,MATCH($F$1,'State Abbreviations'!$A$1:$B$1,0),FALSE)</f>
        <v>FL</v>
      </c>
      <c r="G62" s="32">
        <f>VLOOKUP('Lookup Functions'!A62,'State Income (2001-2004)'!$A$1:$D$190,MATCH($G$1,'State Income (2001-2004)'!$A$1:$D$1,0),FALSE)</f>
        <v>29596</v>
      </c>
    </row>
    <row r="63" spans="1:7" x14ac:dyDescent="0.3">
      <c r="A63" t="str">
        <f t="shared" si="0"/>
        <v>Georgia-2002</v>
      </c>
      <c r="B63" s="2" t="s">
        <v>14</v>
      </c>
      <c r="C63" s="2">
        <v>2002</v>
      </c>
      <c r="D63" s="6">
        <v>8829383</v>
      </c>
      <c r="E63" s="6">
        <v>176587.66</v>
      </c>
      <c r="F63" s="34" t="str">
        <f>VLOOKUP(B63,'State Abbreviations'!$A$1:$B$52,MATCH($F$1,'State Abbreviations'!$A$1:$B$1,0),FALSE)</f>
        <v>GA</v>
      </c>
      <c r="G63" s="32">
        <f>VLOOKUP('Lookup Functions'!A63,'State Income (2001-2004)'!$A$1:$D$190,MATCH($G$1,'State Income (2001-2004)'!$A$1:$D$1,0),FALSE)</f>
        <v>28821</v>
      </c>
    </row>
    <row r="64" spans="1:7" x14ac:dyDescent="0.3">
      <c r="A64" t="str">
        <f t="shared" si="0"/>
        <v>Hawaii-2002</v>
      </c>
      <c r="B64" s="2" t="s">
        <v>15</v>
      </c>
      <c r="C64" s="2">
        <v>2002</v>
      </c>
      <c r="D64" s="6">
        <v>1262840</v>
      </c>
      <c r="E64" s="6">
        <v>50513.599999999999</v>
      </c>
      <c r="F64" s="34" t="str">
        <f>VLOOKUP(B64,'State Abbreviations'!$A$1:$B$52,MATCH($F$1,'State Abbreviations'!$A$1:$B$1,0),FALSE)</f>
        <v>HI</v>
      </c>
      <c r="G64" s="32">
        <f>VLOOKUP('Lookup Functions'!A64,'State Income (2001-2004)'!$A$1:$D$190,MATCH($G$1,'State Income (2001-2004)'!$A$1:$D$1,0),FALSE)</f>
        <v>30001</v>
      </c>
    </row>
    <row r="65" spans="1:7" x14ac:dyDescent="0.3">
      <c r="A65" t="str">
        <f t="shared" si="0"/>
        <v>Idaho-2002</v>
      </c>
      <c r="B65" s="2" t="s">
        <v>16</v>
      </c>
      <c r="C65" s="2">
        <v>2002</v>
      </c>
      <c r="D65" s="6">
        <v>1393262</v>
      </c>
      <c r="E65" s="6">
        <v>55730.48</v>
      </c>
      <c r="F65" s="34" t="str">
        <f>VLOOKUP(B65,'State Abbreviations'!$A$1:$B$52,MATCH($F$1,'State Abbreviations'!$A$1:$B$1,0),FALSE)</f>
        <v>ID</v>
      </c>
      <c r="G65" s="32">
        <f>VLOOKUP('Lookup Functions'!A65,'State Income (2001-2004)'!$A$1:$D$190,MATCH($G$1,'State Income (2001-2004)'!$A$1:$D$1,0),FALSE)</f>
        <v>25057</v>
      </c>
    </row>
    <row r="66" spans="1:7" x14ac:dyDescent="0.3">
      <c r="A66" t="str">
        <f t="shared" si="0"/>
        <v>Illinois-2002</v>
      </c>
      <c r="B66" s="2" t="s">
        <v>17</v>
      </c>
      <c r="C66" s="2">
        <v>2002</v>
      </c>
      <c r="D66" s="6">
        <v>12713634</v>
      </c>
      <c r="E66" s="6">
        <v>381409.01999999996</v>
      </c>
      <c r="F66" s="34" t="str">
        <f>VLOOKUP(B66,'State Abbreviations'!$A$1:$B$52,MATCH($F$1,'State Abbreviations'!$A$1:$B$1,0),FALSE)</f>
        <v>IL</v>
      </c>
      <c r="G66" s="32">
        <f>VLOOKUP('Lookup Functions'!A66,'State Income (2001-2004)'!$A$1:$D$190,MATCH($G$1,'State Income (2001-2004)'!$A$1:$D$1,0),FALSE)</f>
        <v>33404</v>
      </c>
    </row>
    <row r="67" spans="1:7" x14ac:dyDescent="0.3">
      <c r="A67" t="str">
        <f t="shared" ref="A67:A130" si="1">B67&amp;"-"&amp;C67</f>
        <v>Indiana-2002</v>
      </c>
      <c r="B67" s="2" t="s">
        <v>18</v>
      </c>
      <c r="C67" s="2">
        <v>2002</v>
      </c>
      <c r="D67" s="6">
        <v>6237569</v>
      </c>
      <c r="E67" s="6">
        <v>187127.07</v>
      </c>
      <c r="F67" s="34" t="str">
        <f>VLOOKUP(B67,'State Abbreviations'!$A$1:$B$52,MATCH($F$1,'State Abbreviations'!$A$1:$B$1,0),FALSE)</f>
        <v>IN</v>
      </c>
      <c r="G67" s="32">
        <f>VLOOKUP('Lookup Functions'!A67,'State Income (2001-2004)'!$A$1:$D$190,MATCH($G$1,'State Income (2001-2004)'!$A$1:$D$1,0),FALSE)</f>
        <v>28240</v>
      </c>
    </row>
    <row r="68" spans="1:7" x14ac:dyDescent="0.3">
      <c r="A68" t="str">
        <f t="shared" si="1"/>
        <v>Iowa-2002</v>
      </c>
      <c r="B68" s="2" t="s">
        <v>19</v>
      </c>
      <c r="C68" s="2">
        <v>2002</v>
      </c>
      <c r="D68" s="6">
        <v>2954451</v>
      </c>
      <c r="E68" s="6">
        <v>59089.020000000004</v>
      </c>
      <c r="F68" s="34" t="str">
        <f>VLOOKUP(B68,'State Abbreviations'!$A$1:$B$52,MATCH($F$1,'State Abbreviations'!$A$1:$B$1,0),FALSE)</f>
        <v>IA</v>
      </c>
      <c r="G68" s="32">
        <f>VLOOKUP('Lookup Functions'!A68,'State Income (2001-2004)'!$A$1:$D$190,MATCH($G$1,'State Income (2001-2004)'!$A$1:$D$1,0),FALSE)</f>
        <v>28280</v>
      </c>
    </row>
    <row r="69" spans="1:7" x14ac:dyDescent="0.3">
      <c r="A69" t="str">
        <f t="shared" si="1"/>
        <v>Kansas-2002</v>
      </c>
      <c r="B69" s="2" t="s">
        <v>20</v>
      </c>
      <c r="C69" s="2">
        <v>2002</v>
      </c>
      <c r="D69" s="6">
        <v>2735502</v>
      </c>
      <c r="E69" s="6">
        <v>109420.08</v>
      </c>
      <c r="F69" s="34" t="str">
        <f>VLOOKUP(B69,'State Abbreviations'!$A$1:$B$52,MATCH($F$1,'State Abbreviations'!$A$1:$B$1,0),FALSE)</f>
        <v>KS</v>
      </c>
      <c r="G69" s="32">
        <f>VLOOKUP('Lookup Functions'!A69,'State Income (2001-2004)'!$A$1:$D$190,MATCH($G$1,'State Income (2001-2004)'!$A$1:$D$1,0),FALSE)</f>
        <v>29141</v>
      </c>
    </row>
    <row r="70" spans="1:7" x14ac:dyDescent="0.3">
      <c r="A70" t="str">
        <f t="shared" si="1"/>
        <v>Kentucky-2002</v>
      </c>
      <c r="B70" s="2" t="s">
        <v>21</v>
      </c>
      <c r="C70" s="2">
        <v>2002</v>
      </c>
      <c r="D70" s="6">
        <v>4145922</v>
      </c>
      <c r="E70" s="6">
        <v>124377.65999999999</v>
      </c>
      <c r="F70" s="34" t="str">
        <f>VLOOKUP(B70,'State Abbreviations'!$A$1:$B$52,MATCH($F$1,'State Abbreviations'!$A$1:$B$1,0),FALSE)</f>
        <v>KY</v>
      </c>
      <c r="G70" s="32" t="s">
        <v>3548</v>
      </c>
    </row>
    <row r="71" spans="1:7" x14ac:dyDescent="0.3">
      <c r="A71" t="str">
        <f t="shared" si="1"/>
        <v>Louisiana-2002</v>
      </c>
      <c r="B71" s="2" t="s">
        <v>22</v>
      </c>
      <c r="C71" s="2">
        <v>2002</v>
      </c>
      <c r="D71" s="6">
        <v>4515770</v>
      </c>
      <c r="E71" s="6">
        <v>180630.80000000002</v>
      </c>
      <c r="F71" s="34" t="str">
        <f>VLOOKUP(B71,'State Abbreviations'!$A$1:$B$52,MATCH($F$1,'State Abbreviations'!$A$1:$B$1,0),FALSE)</f>
        <v>LA</v>
      </c>
      <c r="G71" s="32">
        <f>VLOOKUP('Lookup Functions'!A71,'State Income (2001-2004)'!$A$1:$D$190,MATCH($G$1,'State Income (2001-2004)'!$A$1:$D$1,0),FALSE)</f>
        <v>25446</v>
      </c>
    </row>
    <row r="72" spans="1:7" x14ac:dyDescent="0.3">
      <c r="A72" t="str">
        <f t="shared" si="1"/>
        <v>Maine-2002</v>
      </c>
      <c r="B72" s="2" t="s">
        <v>23</v>
      </c>
      <c r="C72" s="2">
        <v>2002</v>
      </c>
      <c r="D72" s="6">
        <v>1317253</v>
      </c>
      <c r="E72" s="6">
        <v>52690.12</v>
      </c>
      <c r="F72" s="34" t="str">
        <f>VLOOKUP(B72,'State Abbreviations'!$A$1:$B$52,MATCH($F$1,'State Abbreviations'!$A$1:$B$1,0),FALSE)</f>
        <v>ME</v>
      </c>
      <c r="G72" s="32">
        <f>VLOOKUP('Lookup Functions'!A72,'State Income (2001-2004)'!$A$1:$D$190,MATCH($G$1,'State Income (2001-2004)'!$A$1:$D$1,0),FALSE)</f>
        <v>27744</v>
      </c>
    </row>
    <row r="73" spans="1:7" x14ac:dyDescent="0.3">
      <c r="A73" t="str">
        <f t="shared" si="1"/>
        <v>Maryland-2002</v>
      </c>
      <c r="B73" s="2" t="s">
        <v>24</v>
      </c>
      <c r="C73" s="2">
        <v>2002</v>
      </c>
      <c r="D73" s="6">
        <v>5558058</v>
      </c>
      <c r="E73" s="6">
        <v>111161.16</v>
      </c>
      <c r="F73" s="34" t="str">
        <f>VLOOKUP(B73,'State Abbreviations'!$A$1:$B$52,MATCH($F$1,'State Abbreviations'!$A$1:$B$1,0),FALSE)</f>
        <v>MD</v>
      </c>
      <c r="G73" s="32" t="s">
        <v>3548</v>
      </c>
    </row>
    <row r="74" spans="1:7" x14ac:dyDescent="0.3">
      <c r="A74" t="str">
        <f t="shared" si="1"/>
        <v>Massachusetts-2002</v>
      </c>
      <c r="B74" s="2" t="s">
        <v>25</v>
      </c>
      <c r="C74" s="2">
        <v>2002</v>
      </c>
      <c r="D74" s="6">
        <v>6416505</v>
      </c>
      <c r="E74" s="6">
        <v>192495.15</v>
      </c>
      <c r="F74" s="34" t="str">
        <f>VLOOKUP(B74,'State Abbreviations'!$A$1:$B$52,MATCH($F$1,'State Abbreviations'!$A$1:$B$1,0),FALSE)</f>
        <v>MA</v>
      </c>
      <c r="G74" s="32">
        <f>VLOOKUP('Lookup Functions'!A74,'State Income (2001-2004)'!$A$1:$D$190,MATCH($G$1,'State Income (2001-2004)'!$A$1:$D$1,0),FALSE)</f>
        <v>39244</v>
      </c>
    </row>
    <row r="75" spans="1:7" x14ac:dyDescent="0.3">
      <c r="A75" t="str">
        <f t="shared" si="1"/>
        <v>Michigan-2002</v>
      </c>
      <c r="B75" s="2" t="s">
        <v>26</v>
      </c>
      <c r="C75" s="2">
        <v>2002</v>
      </c>
      <c r="D75" s="6">
        <v>10112620</v>
      </c>
      <c r="E75" s="6">
        <v>202252.4</v>
      </c>
      <c r="F75" s="34" t="str">
        <f>VLOOKUP(B75,'State Abbreviations'!$A$1:$B$52,MATCH($F$1,'State Abbreviations'!$A$1:$B$1,0),FALSE)</f>
        <v>MI</v>
      </c>
      <c r="G75" s="32">
        <f>VLOOKUP('Lookup Functions'!A75,'State Income (2001-2004)'!$A$1:$D$190,MATCH($G$1,'State Income (2001-2004)'!$A$1:$D$1,0),FALSE)</f>
        <v>30296</v>
      </c>
    </row>
    <row r="76" spans="1:7" x14ac:dyDescent="0.3">
      <c r="A76" t="str">
        <f t="shared" si="1"/>
        <v>Minnesota-2002</v>
      </c>
      <c r="B76" s="2" t="s">
        <v>27</v>
      </c>
      <c r="C76" s="2">
        <v>2002</v>
      </c>
      <c r="D76" s="6">
        <v>5100958</v>
      </c>
      <c r="E76" s="6">
        <v>102019.16</v>
      </c>
      <c r="F76" s="34" t="str">
        <f>VLOOKUP(B76,'State Abbreviations'!$A$1:$B$52,MATCH($F$1,'State Abbreviations'!$A$1:$B$1,0),FALSE)</f>
        <v>MN</v>
      </c>
      <c r="G76" s="32">
        <f>VLOOKUP('Lookup Functions'!A76,'State Income (2001-2004)'!$A$1:$D$190,MATCH($G$1,'State Income (2001-2004)'!$A$1:$D$1,0),FALSE)</f>
        <v>34071</v>
      </c>
    </row>
    <row r="77" spans="1:7" x14ac:dyDescent="0.3">
      <c r="A77" t="str">
        <f t="shared" si="1"/>
        <v>Mississippi-2002</v>
      </c>
      <c r="B77" s="2" t="s">
        <v>28</v>
      </c>
      <c r="C77" s="2">
        <v>2002</v>
      </c>
      <c r="D77" s="6">
        <v>2902966</v>
      </c>
      <c r="E77" s="6">
        <v>58059.32</v>
      </c>
      <c r="F77" s="34" t="str">
        <f>VLOOKUP(B77,'State Abbreviations'!$A$1:$B$52,MATCH($F$1,'State Abbreviations'!$A$1:$B$1,0),FALSE)</f>
        <v>MS</v>
      </c>
      <c r="G77" s="32">
        <f>VLOOKUP('Lookup Functions'!A77,'State Income (2001-2004)'!$A$1:$D$190,MATCH($G$1,'State Income (2001-2004)'!$A$1:$D$1,0),FALSE)</f>
        <v>22372</v>
      </c>
    </row>
    <row r="78" spans="1:7" x14ac:dyDescent="0.3">
      <c r="A78" t="str">
        <f t="shared" si="1"/>
        <v>Missouri-2002</v>
      </c>
      <c r="B78" s="2" t="s">
        <v>29</v>
      </c>
      <c r="C78" s="2">
        <v>2002</v>
      </c>
      <c r="D78" s="6">
        <v>5754618</v>
      </c>
      <c r="E78" s="6">
        <v>115092.36</v>
      </c>
      <c r="F78" s="34" t="str">
        <f>VLOOKUP(B78,'State Abbreviations'!$A$1:$B$52,MATCH($F$1,'State Abbreviations'!$A$1:$B$1,0),FALSE)</f>
        <v>MO</v>
      </c>
      <c r="G78" s="32">
        <f>VLOOKUP('Lookup Functions'!A78,'State Income (2001-2004)'!$A$1:$D$190,MATCH($G$1,'State Income (2001-2004)'!$A$1:$D$1,0),FALSE)</f>
        <v>28936</v>
      </c>
    </row>
    <row r="79" spans="1:7" x14ac:dyDescent="0.3">
      <c r="A79" t="str">
        <f t="shared" si="1"/>
        <v>Montana-2002</v>
      </c>
      <c r="B79" s="2" t="s">
        <v>30</v>
      </c>
      <c r="C79" s="2">
        <v>2002</v>
      </c>
      <c r="D79" s="6">
        <v>926865</v>
      </c>
      <c r="E79" s="6">
        <v>27805.95</v>
      </c>
      <c r="F79" s="34" t="str">
        <f>VLOOKUP(B79,'State Abbreviations'!$A$1:$B$52,MATCH($F$1,'State Abbreviations'!$A$1:$B$1,0),FALSE)</f>
        <v>MT</v>
      </c>
      <c r="G79" s="32">
        <f>VLOOKUP('Lookup Functions'!A79,'State Income (2001-2004)'!$A$1:$D$190,MATCH($G$1,'State Income (2001-2004)'!$A$1:$D$1,0),FALSE)</f>
        <v>25020</v>
      </c>
    </row>
    <row r="80" spans="1:7" x14ac:dyDescent="0.3">
      <c r="A80" t="str">
        <f t="shared" si="1"/>
        <v>Nebraska-2002</v>
      </c>
      <c r="B80" s="2" t="s">
        <v>31</v>
      </c>
      <c r="C80" s="2">
        <v>2002</v>
      </c>
      <c r="D80" s="6">
        <v>1747214</v>
      </c>
      <c r="E80" s="6">
        <v>69888.56</v>
      </c>
      <c r="F80" s="34" t="str">
        <f>VLOOKUP(B80,'State Abbreviations'!$A$1:$B$52,MATCH($F$1,'State Abbreviations'!$A$1:$B$1,0),FALSE)</f>
        <v>NE</v>
      </c>
      <c r="G80" s="32">
        <f>VLOOKUP('Lookup Functions'!A80,'State Income (2001-2004)'!$A$1:$D$190,MATCH($G$1,'State Income (2001-2004)'!$A$1:$D$1,0),FALSE)</f>
        <v>29771</v>
      </c>
    </row>
    <row r="81" spans="1:7" x14ac:dyDescent="0.3">
      <c r="A81" t="str">
        <f t="shared" si="1"/>
        <v>Nevada-2002</v>
      </c>
      <c r="B81" s="2" t="s">
        <v>32</v>
      </c>
      <c r="C81" s="2">
        <v>2002</v>
      </c>
      <c r="D81" s="6">
        <v>2334771</v>
      </c>
      <c r="E81" s="6">
        <v>93390.84</v>
      </c>
      <c r="F81" s="34" t="str">
        <f>VLOOKUP(B81,'State Abbreviations'!$A$1:$B$52,MATCH($F$1,'State Abbreviations'!$A$1:$B$1,0),FALSE)</f>
        <v>NV</v>
      </c>
      <c r="G81" s="32">
        <f>VLOOKUP('Lookup Functions'!A81,'State Income (2001-2004)'!$A$1:$D$190,MATCH($G$1,'State Income (2001-2004)'!$A$1:$D$1,0),FALSE)</f>
        <v>30180</v>
      </c>
    </row>
    <row r="82" spans="1:7" x14ac:dyDescent="0.3">
      <c r="A82" t="str">
        <f t="shared" si="1"/>
        <v>New Hampshire-2002</v>
      </c>
      <c r="B82" s="2" t="s">
        <v>33</v>
      </c>
      <c r="C82" s="2">
        <v>2002</v>
      </c>
      <c r="D82" s="6">
        <v>1299500</v>
      </c>
      <c r="E82" s="6">
        <v>51980</v>
      </c>
      <c r="F82" s="34" t="str">
        <f>VLOOKUP(B82,'State Abbreviations'!$A$1:$B$52,MATCH($F$1,'State Abbreviations'!$A$1:$B$1,0),FALSE)</f>
        <v>NH</v>
      </c>
      <c r="G82" s="32">
        <f>VLOOKUP('Lookup Functions'!A82,'State Income (2001-2004)'!$A$1:$D$190,MATCH($G$1,'State Income (2001-2004)'!$A$1:$D$1,0),FALSE)</f>
        <v>34334</v>
      </c>
    </row>
    <row r="83" spans="1:7" x14ac:dyDescent="0.3">
      <c r="A83" t="str">
        <f t="shared" si="1"/>
        <v>New Jersey-2002</v>
      </c>
      <c r="B83" s="2" t="s">
        <v>34</v>
      </c>
      <c r="C83" s="2">
        <v>2002</v>
      </c>
      <c r="D83" s="6">
        <v>8698879</v>
      </c>
      <c r="E83" s="6">
        <v>260966.37</v>
      </c>
      <c r="F83" s="34" t="str">
        <f>VLOOKUP(B83,'State Abbreviations'!$A$1:$B$52,MATCH($F$1,'State Abbreviations'!$A$1:$B$1,0),FALSE)</f>
        <v>NJ</v>
      </c>
      <c r="G83" s="32">
        <f>VLOOKUP('Lookup Functions'!A83,'State Income (2001-2004)'!$A$1:$D$190,MATCH($G$1,'State Income (2001-2004)'!$A$1:$D$1,0),FALSE)</f>
        <v>39453</v>
      </c>
    </row>
    <row r="84" spans="1:7" x14ac:dyDescent="0.3">
      <c r="A84" t="str">
        <f t="shared" si="1"/>
        <v>New Mexico-2002</v>
      </c>
      <c r="B84" s="2" t="s">
        <v>35</v>
      </c>
      <c r="C84" s="2">
        <v>2002</v>
      </c>
      <c r="D84" s="6">
        <v>1903289</v>
      </c>
      <c r="E84" s="6">
        <v>76131.56</v>
      </c>
      <c r="F84" s="34" t="str">
        <f>VLOOKUP(B84,'State Abbreviations'!$A$1:$B$52,MATCH($F$1,'State Abbreviations'!$A$1:$B$1,0),FALSE)</f>
        <v>NM</v>
      </c>
      <c r="G84" s="32">
        <f>VLOOKUP('Lookup Functions'!A84,'State Income (2001-2004)'!$A$1:$D$190,MATCH($G$1,'State Income (2001-2004)'!$A$1:$D$1,0),FALSE)</f>
        <v>23941</v>
      </c>
    </row>
    <row r="85" spans="1:7" x14ac:dyDescent="0.3">
      <c r="A85" t="str">
        <f t="shared" si="1"/>
        <v>New York-2002</v>
      </c>
      <c r="B85" s="2" t="s">
        <v>36</v>
      </c>
      <c r="C85" s="2">
        <v>2002</v>
      </c>
      <c r="D85" s="6">
        <v>19227088</v>
      </c>
      <c r="E85" s="6">
        <v>576812.64</v>
      </c>
      <c r="F85" s="34" t="str">
        <f>VLOOKUP(B85,'State Abbreviations'!$A$1:$B$52,MATCH($F$1,'State Abbreviations'!$A$1:$B$1,0),FALSE)</f>
        <v>NY</v>
      </c>
      <c r="G85" s="32">
        <f>VLOOKUP('Lookup Functions'!A85,'State Income (2001-2004)'!$A$1:$D$190,MATCH($G$1,'State Income (2001-2004)'!$A$1:$D$1,0),FALSE)</f>
        <v>36043</v>
      </c>
    </row>
    <row r="86" spans="1:7" x14ac:dyDescent="0.3">
      <c r="A86" t="str">
        <f t="shared" si="1"/>
        <v>North Carolina-2002</v>
      </c>
      <c r="B86" s="2" t="s">
        <v>37</v>
      </c>
      <c r="C86" s="2">
        <v>2002</v>
      </c>
      <c r="D86" s="6">
        <v>8541221</v>
      </c>
      <c r="E86" s="6">
        <v>341648.84</v>
      </c>
      <c r="F86" s="34" t="str">
        <f>VLOOKUP(B86,'State Abbreviations'!$A$1:$B$52,MATCH($F$1,'State Abbreviations'!$A$1:$B$1,0),FALSE)</f>
        <v>NC</v>
      </c>
      <c r="G86" s="32">
        <f>VLOOKUP('Lookup Functions'!A86,'State Income (2001-2004)'!$A$1:$D$190,MATCH($G$1,'State Income (2001-2004)'!$A$1:$D$1,0),FALSE)</f>
        <v>27711</v>
      </c>
    </row>
    <row r="87" spans="1:7" x14ac:dyDescent="0.3">
      <c r="A87" t="str">
        <f t="shared" si="1"/>
        <v>North Dakota-2002</v>
      </c>
      <c r="B87" s="2" t="s">
        <v>38</v>
      </c>
      <c r="C87" s="2">
        <v>2002</v>
      </c>
      <c r="D87" s="6">
        <v>634366</v>
      </c>
      <c r="E87" s="6">
        <v>19030.98</v>
      </c>
      <c r="F87" s="34" t="str">
        <f>VLOOKUP(B87,'State Abbreviations'!$A$1:$B$52,MATCH($F$1,'State Abbreviations'!$A$1:$B$1,0),FALSE)</f>
        <v>ND</v>
      </c>
      <c r="G87" s="32">
        <f>VLOOKUP('Lookup Functions'!A87,'State Income (2001-2004)'!$A$1:$D$190,MATCH($G$1,'State Income (2001-2004)'!$A$1:$D$1,0),FALSE)</f>
        <v>26982</v>
      </c>
    </row>
    <row r="88" spans="1:7" x14ac:dyDescent="0.3">
      <c r="A88" t="str">
        <f t="shared" si="1"/>
        <v>Ohio-2002</v>
      </c>
      <c r="B88" s="2" t="s">
        <v>39</v>
      </c>
      <c r="C88" s="2">
        <v>2002</v>
      </c>
      <c r="D88" s="6">
        <v>11459011</v>
      </c>
      <c r="E88" s="6">
        <v>343770.33</v>
      </c>
      <c r="F88" s="34" t="str">
        <f>VLOOKUP(B88,'State Abbreviations'!$A$1:$B$52,MATCH($F$1,'State Abbreviations'!$A$1:$B$1,0),FALSE)</f>
        <v>OH</v>
      </c>
      <c r="G88" s="32">
        <f>VLOOKUP('Lookup Functions'!A88,'State Income (2001-2004)'!$A$1:$D$190,MATCH($G$1,'State Income (2001-2004)'!$A$1:$D$1,0),FALSE)</f>
        <v>29405</v>
      </c>
    </row>
    <row r="89" spans="1:7" x14ac:dyDescent="0.3">
      <c r="A89" t="str">
        <f t="shared" si="1"/>
        <v>Oklahoma-2002</v>
      </c>
      <c r="B89" s="2" t="s">
        <v>40</v>
      </c>
      <c r="C89" s="2">
        <v>2002</v>
      </c>
      <c r="D89" s="6">
        <v>3523553</v>
      </c>
      <c r="E89" s="6">
        <v>140942.12</v>
      </c>
      <c r="F89" s="34" t="str">
        <f>VLOOKUP(B89,'State Abbreviations'!$A$1:$B$52,MATCH($F$1,'State Abbreviations'!$A$1:$B$1,0),FALSE)</f>
        <v>OK</v>
      </c>
      <c r="G89" s="32">
        <f>VLOOKUP('Lookup Functions'!A89,'State Income (2001-2004)'!$A$1:$D$190,MATCH($G$1,'State Income (2001-2004)'!$A$1:$D$1,0),FALSE)</f>
        <v>25575</v>
      </c>
    </row>
    <row r="90" spans="1:7" x14ac:dyDescent="0.3">
      <c r="A90" t="str">
        <f t="shared" si="1"/>
        <v>Oregon-2002</v>
      </c>
      <c r="B90" s="2" t="s">
        <v>41</v>
      </c>
      <c r="C90" s="2">
        <v>2002</v>
      </c>
      <c r="D90" s="6">
        <v>3594586</v>
      </c>
      <c r="E90" s="6">
        <v>143783.44</v>
      </c>
      <c r="F90" s="34" t="str">
        <f>VLOOKUP(B90,'State Abbreviations'!$A$1:$B$52,MATCH($F$1,'State Abbreviations'!$A$1:$B$1,0),FALSE)</f>
        <v>OR</v>
      </c>
      <c r="G90" s="32">
        <f>VLOOKUP('Lookup Functions'!A90,'State Income (2001-2004)'!$A$1:$D$190,MATCH($G$1,'State Income (2001-2004)'!$A$1:$D$1,0),FALSE)</f>
        <v>28731</v>
      </c>
    </row>
    <row r="91" spans="1:7" x14ac:dyDescent="0.3">
      <c r="A91" t="str">
        <f t="shared" si="1"/>
        <v>Pennsylvania-2002</v>
      </c>
      <c r="B91" s="2" t="s">
        <v>42</v>
      </c>
      <c r="C91" s="2">
        <v>2002</v>
      </c>
      <c r="D91" s="6">
        <v>12406292</v>
      </c>
      <c r="E91" s="6">
        <v>496251.68</v>
      </c>
      <c r="F91" s="34" t="str">
        <f>VLOOKUP(B91,'State Abbreviations'!$A$1:$B$52,MATCH($F$1,'State Abbreviations'!$A$1:$B$1,0),FALSE)</f>
        <v>PA</v>
      </c>
      <c r="G91" s="32">
        <f>VLOOKUP('Lookup Functions'!A91,'State Income (2001-2004)'!$A$1:$D$190,MATCH($G$1,'State Income (2001-2004)'!$A$1:$D$1,0),FALSE)</f>
        <v>31727</v>
      </c>
    </row>
    <row r="92" spans="1:7" x14ac:dyDescent="0.3">
      <c r="A92" t="str">
        <f t="shared" si="1"/>
        <v>Rhode Island-2002</v>
      </c>
      <c r="B92" s="2" t="s">
        <v>43</v>
      </c>
      <c r="C92" s="2">
        <v>2002</v>
      </c>
      <c r="D92" s="6">
        <v>1080632</v>
      </c>
      <c r="E92" s="6">
        <v>43225.279999999999</v>
      </c>
      <c r="F92" s="34" t="str">
        <f>VLOOKUP(B92,'State Abbreviations'!$A$1:$B$52,MATCH($F$1,'State Abbreviations'!$A$1:$B$1,0),FALSE)</f>
        <v>RI</v>
      </c>
      <c r="G92" s="32">
        <f>VLOOKUP('Lookup Functions'!A92,'State Income (2001-2004)'!$A$1:$D$190,MATCH($G$1,'State Income (2001-2004)'!$A$1:$D$1,0),FALSE)</f>
        <v>31319</v>
      </c>
    </row>
    <row r="93" spans="1:7" x14ac:dyDescent="0.3">
      <c r="A93" t="str">
        <f t="shared" si="1"/>
        <v>South Carolina-2002</v>
      </c>
      <c r="B93" s="2" t="s">
        <v>44</v>
      </c>
      <c r="C93" s="2">
        <v>2002</v>
      </c>
      <c r="D93" s="6">
        <v>4198068</v>
      </c>
      <c r="E93" s="6">
        <v>83961.36</v>
      </c>
      <c r="F93" s="34" t="str">
        <f>VLOOKUP(B93,'State Abbreviations'!$A$1:$B$52,MATCH($F$1,'State Abbreviations'!$A$1:$B$1,0),FALSE)</f>
        <v>SC</v>
      </c>
      <c r="G93" s="32">
        <f>VLOOKUP('Lookup Functions'!A93,'State Income (2001-2004)'!$A$1:$D$190,MATCH($G$1,'State Income (2001-2004)'!$A$1:$D$1,0),FALSE)</f>
        <v>25400</v>
      </c>
    </row>
    <row r="94" spans="1:7" x14ac:dyDescent="0.3">
      <c r="A94" t="str">
        <f t="shared" si="1"/>
        <v>South Dakota-2002</v>
      </c>
      <c r="B94" s="2" t="s">
        <v>45</v>
      </c>
      <c r="C94" s="2">
        <v>2002</v>
      </c>
      <c r="D94" s="6">
        <v>770883</v>
      </c>
      <c r="E94" s="6">
        <v>23126.489999999998</v>
      </c>
      <c r="F94" s="34" t="str">
        <f>VLOOKUP(B94,'State Abbreviations'!$A$1:$B$52,MATCH($F$1,'State Abbreviations'!$A$1:$B$1,0),FALSE)</f>
        <v>SD</v>
      </c>
      <c r="G94" s="32">
        <f>VLOOKUP('Lookup Functions'!A94,'State Income (2001-2004)'!$A$1:$D$190,MATCH($G$1,'State Income (2001-2004)'!$A$1:$D$1,0),FALSE)</f>
        <v>26894</v>
      </c>
    </row>
    <row r="95" spans="1:7" x14ac:dyDescent="0.3">
      <c r="A95" t="str">
        <f t="shared" si="1"/>
        <v>Tennessee-2002</v>
      </c>
      <c r="B95" s="2" t="s">
        <v>46</v>
      </c>
      <c r="C95" s="2">
        <v>2002</v>
      </c>
      <c r="D95" s="6">
        <v>5900962</v>
      </c>
      <c r="E95" s="6">
        <v>118019.24</v>
      </c>
      <c r="F95" s="34" t="str">
        <f>VLOOKUP(B95,'State Abbreviations'!$A$1:$B$52,MATCH($F$1,'State Abbreviations'!$A$1:$B$1,0),FALSE)</f>
        <v>TN</v>
      </c>
      <c r="G95" s="32">
        <f>VLOOKUP('Lookup Functions'!A95,'State Income (2001-2004)'!$A$1:$D$190,MATCH($G$1,'State Income (2001-2004)'!$A$1:$D$1,0),FALSE)</f>
        <v>27671</v>
      </c>
    </row>
    <row r="96" spans="1:7" x14ac:dyDescent="0.3">
      <c r="A96" t="str">
        <f t="shared" si="1"/>
        <v>Texas-2002</v>
      </c>
      <c r="B96" s="2" t="s">
        <v>47</v>
      </c>
      <c r="C96" s="2">
        <v>2002</v>
      </c>
      <c r="D96" s="6">
        <v>23764231</v>
      </c>
      <c r="E96" s="6">
        <v>950569.24</v>
      </c>
      <c r="F96" s="34" t="str">
        <f>VLOOKUP(B96,'State Abbreviations'!$A$1:$B$52,MATCH($F$1,'State Abbreviations'!$A$1:$B$1,0),FALSE)</f>
        <v>TX</v>
      </c>
      <c r="G96" s="32">
        <f>VLOOKUP('Lookup Functions'!A96,'State Income (2001-2004)'!$A$1:$D$190,MATCH($G$1,'State Income (2001-2004)'!$A$1:$D$1,0),FALSE)</f>
        <v>28551</v>
      </c>
    </row>
    <row r="97" spans="1:7" x14ac:dyDescent="0.3">
      <c r="A97" t="str">
        <f t="shared" si="1"/>
        <v>Utah-2002</v>
      </c>
      <c r="B97" s="2" t="s">
        <v>48</v>
      </c>
      <c r="C97" s="2">
        <v>2002</v>
      </c>
      <c r="D97" s="6">
        <v>2389039</v>
      </c>
      <c r="E97" s="6">
        <v>47780.78</v>
      </c>
      <c r="F97" s="34" t="str">
        <f>VLOOKUP(B97,'State Abbreviations'!$A$1:$B$52,MATCH($F$1,'State Abbreviations'!$A$1:$B$1,0),FALSE)</f>
        <v>UT</v>
      </c>
      <c r="G97" s="32">
        <f>VLOOKUP('Lookup Functions'!A97,'State Income (2001-2004)'!$A$1:$D$190,MATCH($G$1,'State Income (2001-2004)'!$A$1:$D$1,0),FALSE)</f>
        <v>24306</v>
      </c>
    </row>
    <row r="98" spans="1:7" x14ac:dyDescent="0.3">
      <c r="A98" t="str">
        <f t="shared" si="1"/>
        <v>Vermont-2002</v>
      </c>
      <c r="B98" s="2" t="s">
        <v>49</v>
      </c>
      <c r="C98" s="2">
        <v>2002</v>
      </c>
      <c r="D98" s="6">
        <v>621394</v>
      </c>
      <c r="E98" s="6">
        <v>12427.880000000001</v>
      </c>
      <c r="F98" s="34" t="str">
        <f>VLOOKUP(B98,'State Abbreviations'!$A$1:$B$52,MATCH($F$1,'State Abbreviations'!$A$1:$B$1,0),FALSE)</f>
        <v>VT</v>
      </c>
      <c r="G98" s="32">
        <f>VLOOKUP('Lookup Functions'!A98,'State Income (2001-2004)'!$A$1:$D$190,MATCH($G$1,'State Income (2001-2004)'!$A$1:$D$1,0),FALSE)</f>
        <v>29567</v>
      </c>
    </row>
    <row r="99" spans="1:7" x14ac:dyDescent="0.3">
      <c r="A99" t="str">
        <f t="shared" si="1"/>
        <v>Virginia-2002</v>
      </c>
      <c r="B99" s="2" t="s">
        <v>50</v>
      </c>
      <c r="C99" s="2">
        <v>2002</v>
      </c>
      <c r="D99" s="6">
        <v>7459827</v>
      </c>
      <c r="E99" s="6">
        <v>298393.08</v>
      </c>
      <c r="F99" s="34" t="str">
        <f>VLOOKUP(B99,'State Abbreviations'!$A$1:$B$52,MATCH($F$1,'State Abbreviations'!$A$1:$B$1,0),FALSE)</f>
        <v>VA</v>
      </c>
      <c r="G99" s="32">
        <f>VLOOKUP('Lookup Functions'!A99,'State Income (2001-2004)'!$A$1:$D$190,MATCH($G$1,'State Income (2001-2004)'!$A$1:$D$1,0),FALSE)</f>
        <v>32922</v>
      </c>
    </row>
    <row r="100" spans="1:7" x14ac:dyDescent="0.3">
      <c r="A100" t="str">
        <f t="shared" si="1"/>
        <v>Washington-2002</v>
      </c>
      <c r="B100" s="2" t="s">
        <v>51</v>
      </c>
      <c r="C100" s="2">
        <v>2002</v>
      </c>
      <c r="D100" s="6">
        <v>6203788</v>
      </c>
      <c r="E100" s="6">
        <v>124075.76000000001</v>
      </c>
      <c r="F100" s="34" t="str">
        <f>VLOOKUP(B100,'State Abbreviations'!$A$1:$B$52,MATCH($F$1,'State Abbreviations'!$A$1:$B$1,0),FALSE)</f>
        <v>WA</v>
      </c>
      <c r="G100" s="32">
        <f>VLOOKUP('Lookup Functions'!A100,'State Income (2001-2004)'!$A$1:$D$190,MATCH($G$1,'State Income (2001-2004)'!$A$1:$D$1,0),FALSE)</f>
        <v>32677</v>
      </c>
    </row>
    <row r="101" spans="1:7" x14ac:dyDescent="0.3">
      <c r="A101" t="str">
        <f t="shared" si="1"/>
        <v>West Virginia-2002</v>
      </c>
      <c r="B101" s="2" t="s">
        <v>52</v>
      </c>
      <c r="C101" s="2">
        <v>2002</v>
      </c>
      <c r="D101" s="6">
        <v>1815354</v>
      </c>
      <c r="E101" s="6">
        <v>36307.08</v>
      </c>
      <c r="F101" s="34" t="str">
        <f>VLOOKUP(B101,'State Abbreviations'!$A$1:$B$52,MATCH($F$1,'State Abbreviations'!$A$1:$B$1,0),FALSE)</f>
        <v>WV</v>
      </c>
      <c r="G101" s="32">
        <f>VLOOKUP('Lookup Functions'!A101,'State Income (2001-2004)'!$A$1:$D$190,MATCH($G$1,'State Income (2001-2004)'!$A$1:$D$1,0),FALSE)</f>
        <v>23688</v>
      </c>
    </row>
    <row r="102" spans="1:7" x14ac:dyDescent="0.3">
      <c r="A102" t="str">
        <f t="shared" si="1"/>
        <v>Wisconsin-2002</v>
      </c>
      <c r="B102" s="2" t="s">
        <v>53</v>
      </c>
      <c r="C102" s="2">
        <v>2002</v>
      </c>
      <c r="D102" s="6">
        <v>5509026</v>
      </c>
      <c r="E102" s="6">
        <v>220361.04</v>
      </c>
      <c r="F102" s="34" t="str">
        <f>VLOOKUP(B102,'State Abbreviations'!$A$1:$B$52,MATCH($F$1,'State Abbreviations'!$A$1:$B$1,0),FALSE)</f>
        <v>WI</v>
      </c>
      <c r="G102" s="32">
        <f>VLOOKUP('Lookup Functions'!A102,'State Income (2001-2004)'!$A$1:$D$190,MATCH($G$1,'State Income (2001-2004)'!$A$1:$D$1,0),FALSE)</f>
        <v>29923</v>
      </c>
    </row>
    <row r="103" spans="1:7" x14ac:dyDescent="0.3">
      <c r="A103" t="str">
        <f t="shared" si="1"/>
        <v>Wyoming-2002</v>
      </c>
      <c r="B103" s="2" t="s">
        <v>54</v>
      </c>
      <c r="C103" s="2">
        <v>2002</v>
      </c>
      <c r="D103" s="6">
        <v>506529</v>
      </c>
      <c r="E103" s="6">
        <v>15195.869999999999</v>
      </c>
      <c r="F103" s="34" t="str">
        <f>VLOOKUP(B103,'State Abbreviations'!$A$1:$B$52,MATCH($F$1,'State Abbreviations'!$A$1:$B$1,0),FALSE)</f>
        <v>WY</v>
      </c>
      <c r="G103" s="32">
        <f>VLOOKUP('Lookup Functions'!A103,'State Income (2001-2004)'!$A$1:$D$190,MATCH($G$1,'State Income (2001-2004)'!$A$1:$D$1,0),FALSE)</f>
        <v>30578</v>
      </c>
    </row>
    <row r="104" spans="1:7" x14ac:dyDescent="0.3">
      <c r="A104" t="str">
        <f t="shared" si="1"/>
        <v>Alabama-2003</v>
      </c>
      <c r="B104" s="2" t="s">
        <v>4</v>
      </c>
      <c r="C104" s="2">
        <v>2003</v>
      </c>
      <c r="D104" s="6">
        <v>4779735</v>
      </c>
      <c r="E104" s="6">
        <v>143392.04999999999</v>
      </c>
      <c r="F104" s="34" t="str">
        <f>VLOOKUP(B104,'State Abbreviations'!$A$1:$B$52,MATCH($F$1,'State Abbreviations'!$A$1:$B$1,0),FALSE)</f>
        <v>AL</v>
      </c>
      <c r="G104" s="32">
        <f>VLOOKUP('Lookup Functions'!A104,'State Income (2001-2004)'!$A$1:$D$190,MATCH($G$1,'State Income (2001-2004)'!$A$1:$D$1,0),FALSE)</f>
        <v>26338</v>
      </c>
    </row>
    <row r="105" spans="1:7" x14ac:dyDescent="0.3">
      <c r="A105" t="str">
        <f t="shared" si="1"/>
        <v>Alaska-2003</v>
      </c>
      <c r="B105" s="2" t="s">
        <v>5</v>
      </c>
      <c r="C105" s="2">
        <v>2003</v>
      </c>
      <c r="D105" s="6">
        <v>710231</v>
      </c>
      <c r="E105" s="6">
        <v>14204.62</v>
      </c>
      <c r="F105" s="34" t="str">
        <f>VLOOKUP(B105,'State Abbreviations'!$A$1:$B$52,MATCH($F$1,'State Abbreviations'!$A$1:$B$1,0),FALSE)</f>
        <v>AK</v>
      </c>
      <c r="G105" s="32">
        <f>VLOOKUP('Lookup Functions'!A105,'State Income (2001-2004)'!$A$1:$D$190,MATCH($G$1,'State Income (2001-2004)'!$A$1:$D$1,0),FALSE)</f>
        <v>33568</v>
      </c>
    </row>
    <row r="106" spans="1:7" x14ac:dyDescent="0.3">
      <c r="A106" t="str">
        <f t="shared" si="1"/>
        <v>Arizona-2003</v>
      </c>
      <c r="B106" s="2" t="s">
        <v>6</v>
      </c>
      <c r="C106" s="2">
        <v>2003</v>
      </c>
      <c r="D106" s="6">
        <v>6329013</v>
      </c>
      <c r="E106" s="6">
        <v>126580.26000000001</v>
      </c>
      <c r="F106" s="34" t="str">
        <f>VLOOKUP(B106,'State Abbreviations'!$A$1:$B$52,MATCH($F$1,'State Abbreviations'!$A$1:$B$1,0),FALSE)</f>
        <v>AZ</v>
      </c>
      <c r="G106" s="32">
        <f>VLOOKUP('Lookup Functions'!A106,'State Income (2001-2004)'!$A$1:$D$190,MATCH($G$1,'State Income (2001-2004)'!$A$1:$D$1,0),FALSE)</f>
        <v>26838</v>
      </c>
    </row>
    <row r="107" spans="1:7" x14ac:dyDescent="0.3">
      <c r="A107" t="str">
        <f t="shared" si="1"/>
        <v>Arkansas-2003</v>
      </c>
      <c r="B107" s="2" t="s">
        <v>7</v>
      </c>
      <c r="C107" s="2">
        <v>2003</v>
      </c>
      <c r="D107" s="6">
        <v>2915921</v>
      </c>
      <c r="E107" s="6">
        <v>58318.42</v>
      </c>
      <c r="F107" s="34" t="str">
        <f>VLOOKUP(B107,'State Abbreviations'!$A$1:$B$52,MATCH($F$1,'State Abbreviations'!$A$1:$B$1,0),FALSE)</f>
        <v>AR</v>
      </c>
      <c r="G107" s="32">
        <f>VLOOKUP('Lookup Functions'!A107,'State Income (2001-2004)'!$A$1:$D$190,MATCH($G$1,'State Income (2001-2004)'!$A$1:$D$1,0),FALSE)</f>
        <v>24289</v>
      </c>
    </row>
    <row r="108" spans="1:7" x14ac:dyDescent="0.3">
      <c r="A108" t="str">
        <f t="shared" si="1"/>
        <v>California-2003</v>
      </c>
      <c r="B108" s="2" t="s">
        <v>8</v>
      </c>
      <c r="C108" s="2">
        <v>2003</v>
      </c>
      <c r="D108" s="6">
        <v>37253956</v>
      </c>
      <c r="E108" s="6">
        <v>745079.12</v>
      </c>
      <c r="F108" s="34" t="str">
        <f>VLOOKUP(B108,'State Abbreviations'!$A$1:$B$52,MATCH($F$1,'State Abbreviations'!$A$1:$B$1,0),FALSE)</f>
        <v>CA</v>
      </c>
      <c r="G108" s="32">
        <f>VLOOKUP('Lookup Functions'!A108,'State Income (2001-2004)'!$A$1:$D$190,MATCH($G$1,'State Income (2001-2004)'!$A$1:$D$1,0),FALSE)</f>
        <v>33749</v>
      </c>
    </row>
    <row r="109" spans="1:7" x14ac:dyDescent="0.3">
      <c r="A109" t="str">
        <f t="shared" si="1"/>
        <v>Colorado-2003</v>
      </c>
      <c r="B109" s="2" t="s">
        <v>9</v>
      </c>
      <c r="C109" s="2">
        <v>2003</v>
      </c>
      <c r="D109" s="6">
        <v>5029196</v>
      </c>
      <c r="E109" s="6">
        <v>201167.84</v>
      </c>
      <c r="F109" s="34" t="str">
        <f>VLOOKUP(B109,'State Abbreviations'!$A$1:$B$52,MATCH($F$1,'State Abbreviations'!$A$1:$B$1,0),FALSE)</f>
        <v>CO</v>
      </c>
      <c r="G109" s="32">
        <f>VLOOKUP('Lookup Functions'!A109,'State Income (2001-2004)'!$A$1:$D$190,MATCH($G$1,'State Income (2001-2004)'!$A$1:$D$1,0),FALSE)</f>
        <v>34283</v>
      </c>
    </row>
    <row r="110" spans="1:7" x14ac:dyDescent="0.3">
      <c r="A110" t="str">
        <f t="shared" si="1"/>
        <v>Connecticut-2003</v>
      </c>
      <c r="B110" s="2" t="s">
        <v>10</v>
      </c>
      <c r="C110" s="2">
        <v>2003</v>
      </c>
      <c r="D110" s="6">
        <v>3574097</v>
      </c>
      <c r="E110" s="6">
        <v>142963.88</v>
      </c>
      <c r="F110" s="34" t="str">
        <f>VLOOKUP(B110,'State Abbreviations'!$A$1:$B$52,MATCH($F$1,'State Abbreviations'!$A$1:$B$1,0),FALSE)</f>
        <v>CT</v>
      </c>
      <c r="G110" s="32">
        <f>VLOOKUP('Lookup Functions'!A110,'State Income (2001-2004)'!$A$1:$D$190,MATCH($G$1,'State Income (2001-2004)'!$A$1:$D$1,0),FALSE)</f>
        <v>43173</v>
      </c>
    </row>
    <row r="111" spans="1:7" x14ac:dyDescent="0.3">
      <c r="A111" t="str">
        <f t="shared" si="1"/>
        <v>D.C.-2003</v>
      </c>
      <c r="B111" s="2" t="s">
        <v>11</v>
      </c>
      <c r="C111" s="2">
        <v>2003</v>
      </c>
      <c r="D111" s="6">
        <v>897934</v>
      </c>
      <c r="E111" s="6">
        <v>26938.02</v>
      </c>
      <c r="F111" s="34" t="str">
        <f>VLOOKUP(B111,'State Abbreviations'!$A$1:$B$52,MATCH($F$1,'State Abbreviations'!$A$1:$B$1,0),FALSE)</f>
        <v>DC</v>
      </c>
      <c r="G111" s="32" t="s">
        <v>3548</v>
      </c>
    </row>
    <row r="112" spans="1:7" x14ac:dyDescent="0.3">
      <c r="A112" t="str">
        <f t="shared" si="1"/>
        <v>Delaware-2003</v>
      </c>
      <c r="B112" s="2" t="s">
        <v>12</v>
      </c>
      <c r="C112" s="2">
        <v>2003</v>
      </c>
      <c r="D112" s="6">
        <v>601723</v>
      </c>
      <c r="E112" s="6">
        <v>18051.689999999999</v>
      </c>
      <c r="F112" s="34" t="str">
        <f>VLOOKUP(B112,'State Abbreviations'!$A$1:$B$52,MATCH($F$1,'State Abbreviations'!$A$1:$B$1,0),FALSE)</f>
        <v>DE</v>
      </c>
      <c r="G112" s="32">
        <f>VLOOKUP('Lookup Functions'!A112,'State Income (2001-2004)'!$A$1:$D$190,MATCH($G$1,'State Income (2001-2004)'!$A$1:$D$1,0),FALSE)</f>
        <v>48342</v>
      </c>
    </row>
    <row r="113" spans="1:7" x14ac:dyDescent="0.3">
      <c r="A113" t="str">
        <f t="shared" si="1"/>
        <v>Florida-2003</v>
      </c>
      <c r="B113" s="2" t="s">
        <v>13</v>
      </c>
      <c r="C113" s="2">
        <v>2003</v>
      </c>
      <c r="D113" s="6">
        <v>18801311</v>
      </c>
      <c r="E113" s="6">
        <v>752052.44000000006</v>
      </c>
      <c r="F113" s="34" t="str">
        <f>VLOOKUP(B113,'State Abbreviations'!$A$1:$B$52,MATCH($F$1,'State Abbreviations'!$A$1:$B$1,0),FALSE)</f>
        <v>FL</v>
      </c>
      <c r="G113" s="32">
        <f>VLOOKUP('Lookup Functions'!A113,'State Income (2001-2004)'!$A$1:$D$190,MATCH($G$1,'State Income (2001-2004)'!$A$1:$D$1,0),FALSE)</f>
        <v>30446</v>
      </c>
    </row>
    <row r="114" spans="1:7" x14ac:dyDescent="0.3">
      <c r="A114" t="str">
        <f t="shared" si="1"/>
        <v>Georgia-2003</v>
      </c>
      <c r="B114" s="2" t="s">
        <v>14</v>
      </c>
      <c r="C114" s="2">
        <v>2003</v>
      </c>
      <c r="D114" s="6">
        <v>9687653</v>
      </c>
      <c r="E114" s="6">
        <v>193753.06</v>
      </c>
      <c r="F114" s="34" t="str">
        <f>VLOOKUP(B114,'State Abbreviations'!$A$1:$B$52,MATCH($F$1,'State Abbreviations'!$A$1:$B$1,0),FALSE)</f>
        <v>GA</v>
      </c>
      <c r="G114" s="32">
        <f>VLOOKUP('Lookup Functions'!A114,'State Income (2001-2004)'!$A$1:$D$190,MATCH($G$1,'State Income (2001-2004)'!$A$1:$D$1,0),FALSE)</f>
        <v>29442</v>
      </c>
    </row>
    <row r="115" spans="1:7" x14ac:dyDescent="0.3">
      <c r="A115" t="str">
        <f t="shared" si="1"/>
        <v>Hawaii-2003</v>
      </c>
      <c r="B115" s="2" t="s">
        <v>15</v>
      </c>
      <c r="C115" s="2">
        <v>2003</v>
      </c>
      <c r="D115" s="6">
        <v>1360301</v>
      </c>
      <c r="E115" s="6">
        <v>54412.04</v>
      </c>
      <c r="F115" s="34" t="str">
        <f>VLOOKUP(B115,'State Abbreviations'!$A$1:$B$52,MATCH($F$1,'State Abbreviations'!$A$1:$B$1,0),FALSE)</f>
        <v>HI</v>
      </c>
      <c r="G115" s="32">
        <f>VLOOKUP('Lookup Functions'!A115,'State Income (2001-2004)'!$A$1:$D$190,MATCH($G$1,'State Income (2001-2004)'!$A$1:$D$1,0),FALSE)</f>
        <v>30913</v>
      </c>
    </row>
    <row r="116" spans="1:7" x14ac:dyDescent="0.3">
      <c r="A116" t="str">
        <f t="shared" si="1"/>
        <v>Idaho-2003</v>
      </c>
      <c r="B116" s="2" t="s">
        <v>16</v>
      </c>
      <c r="C116" s="2">
        <v>2003</v>
      </c>
      <c r="D116" s="6">
        <v>1567582</v>
      </c>
      <c r="E116" s="6">
        <v>47027.46</v>
      </c>
      <c r="F116" s="34" t="str">
        <f>VLOOKUP(B116,'State Abbreviations'!$A$1:$B$52,MATCH($F$1,'State Abbreviations'!$A$1:$B$1,0),FALSE)</f>
        <v>ID</v>
      </c>
      <c r="G116" s="32" t="s">
        <v>3548</v>
      </c>
    </row>
    <row r="117" spans="1:7" x14ac:dyDescent="0.3">
      <c r="A117" t="str">
        <f t="shared" si="1"/>
        <v>Illinois-2003</v>
      </c>
      <c r="B117" s="2" t="s">
        <v>17</v>
      </c>
      <c r="C117" s="2">
        <v>2003</v>
      </c>
      <c r="D117" s="6">
        <v>12830632</v>
      </c>
      <c r="E117" s="6">
        <v>256612.64</v>
      </c>
      <c r="F117" s="34" t="str">
        <f>VLOOKUP(B117,'State Abbreviations'!$A$1:$B$52,MATCH($F$1,'State Abbreviations'!$A$1:$B$1,0),FALSE)</f>
        <v>IL</v>
      </c>
      <c r="G117" s="32" t="s">
        <v>3548</v>
      </c>
    </row>
    <row r="118" spans="1:7" x14ac:dyDescent="0.3">
      <c r="A118" t="str">
        <f t="shared" si="1"/>
        <v>Indiana-2003</v>
      </c>
      <c r="B118" s="2" t="s">
        <v>18</v>
      </c>
      <c r="C118" s="2">
        <v>2003</v>
      </c>
      <c r="D118" s="6">
        <v>6483800</v>
      </c>
      <c r="E118" s="6">
        <v>259352</v>
      </c>
      <c r="F118" s="34" t="str">
        <f>VLOOKUP(B118,'State Abbreviations'!$A$1:$B$52,MATCH($F$1,'State Abbreviations'!$A$1:$B$1,0),FALSE)</f>
        <v>IN</v>
      </c>
      <c r="G118" s="32">
        <f>VLOOKUP('Lookup Functions'!A118,'State Income (2001-2004)'!$A$1:$D$190,MATCH($G$1,'State Income (2001-2004)'!$A$1:$D$1,0),FALSE)</f>
        <v>28783</v>
      </c>
    </row>
    <row r="119" spans="1:7" x14ac:dyDescent="0.3">
      <c r="A119" t="str">
        <f t="shared" si="1"/>
        <v>Iowa-2003</v>
      </c>
      <c r="B119" s="2" t="s">
        <v>19</v>
      </c>
      <c r="C119" s="2">
        <v>2003</v>
      </c>
      <c r="D119" s="6">
        <v>3046350</v>
      </c>
      <c r="E119" s="6">
        <v>60927</v>
      </c>
      <c r="F119" s="34" t="str">
        <f>VLOOKUP(B119,'State Abbreviations'!$A$1:$B$52,MATCH($F$1,'State Abbreviations'!$A$1:$B$1,0),FALSE)</f>
        <v>IA</v>
      </c>
      <c r="G119" s="32">
        <f>VLOOKUP('Lookup Functions'!A119,'State Income (2001-2004)'!$A$1:$D$190,MATCH($G$1,'State Income (2001-2004)'!$A$1:$D$1,0),FALSE)</f>
        <v>29043</v>
      </c>
    </row>
    <row r="120" spans="1:7" x14ac:dyDescent="0.3">
      <c r="A120" t="str">
        <f t="shared" si="1"/>
        <v>Kansas-2003</v>
      </c>
      <c r="B120" s="2" t="s">
        <v>20</v>
      </c>
      <c r="C120" s="2">
        <v>2003</v>
      </c>
      <c r="D120" s="6">
        <v>2853118</v>
      </c>
      <c r="E120" s="6">
        <v>85593.54</v>
      </c>
      <c r="F120" s="34" t="str">
        <f>VLOOKUP(B120,'State Abbreviations'!$A$1:$B$52,MATCH($F$1,'State Abbreviations'!$A$1:$B$1,0),FALSE)</f>
        <v>KS</v>
      </c>
      <c r="G120" s="32">
        <f>VLOOKUP('Lookup Functions'!A120,'State Income (2001-2004)'!$A$1:$D$190,MATCH($G$1,'State Income (2001-2004)'!$A$1:$D$1,0),FALSE)</f>
        <v>29935</v>
      </c>
    </row>
    <row r="121" spans="1:7" x14ac:dyDescent="0.3">
      <c r="A121" t="str">
        <f t="shared" si="1"/>
        <v>Kentucky-2003</v>
      </c>
      <c r="B121" s="2" t="s">
        <v>21</v>
      </c>
      <c r="C121" s="2">
        <v>2003</v>
      </c>
      <c r="D121" s="6">
        <v>4339362</v>
      </c>
      <c r="E121" s="6">
        <v>130180.86</v>
      </c>
      <c r="F121" s="34" t="str">
        <f>VLOOKUP(B121,'State Abbreviations'!$A$1:$B$52,MATCH($F$1,'State Abbreviations'!$A$1:$B$1,0),FALSE)</f>
        <v>KY</v>
      </c>
      <c r="G121" s="32">
        <f>VLOOKUP('Lookup Functions'!A121,'State Income (2001-2004)'!$A$1:$D$190,MATCH($G$1,'State Income (2001-2004)'!$A$1:$D$1,0),FALSE)</f>
        <v>26252</v>
      </c>
    </row>
    <row r="122" spans="1:7" x14ac:dyDescent="0.3">
      <c r="A122" t="str">
        <f t="shared" si="1"/>
        <v>Louisiana-2003</v>
      </c>
      <c r="B122" s="2" t="s">
        <v>22</v>
      </c>
      <c r="C122" s="2">
        <v>2003</v>
      </c>
      <c r="D122" s="6">
        <v>4533372</v>
      </c>
      <c r="E122" s="6">
        <v>136001.16</v>
      </c>
      <c r="F122" s="34" t="str">
        <f>VLOOKUP(B122,'State Abbreviations'!$A$1:$B$52,MATCH($F$1,'State Abbreviations'!$A$1:$B$1,0),FALSE)</f>
        <v>LA</v>
      </c>
      <c r="G122" s="32">
        <f>VLOOKUP('Lookup Functions'!A122,'State Income (2001-2004)'!$A$1:$D$190,MATCH($G$1,'State Income (2001-2004)'!$A$1:$D$1,0),FALSE)</f>
        <v>26100</v>
      </c>
    </row>
    <row r="123" spans="1:7" x14ac:dyDescent="0.3">
      <c r="A123" t="str">
        <f t="shared" si="1"/>
        <v>Maine-2003</v>
      </c>
      <c r="B123" s="2" t="s">
        <v>23</v>
      </c>
      <c r="C123" s="2">
        <v>2003</v>
      </c>
      <c r="D123" s="6">
        <v>1328361</v>
      </c>
      <c r="E123" s="6">
        <v>26567.22</v>
      </c>
      <c r="F123" s="34" t="str">
        <f>VLOOKUP(B123,'State Abbreviations'!$A$1:$B$52,MATCH($F$1,'State Abbreviations'!$A$1:$B$1,0),FALSE)</f>
        <v>ME</v>
      </c>
      <c r="G123" s="32">
        <f>VLOOKUP('Lookup Functions'!A123,'State Income (2001-2004)'!$A$1:$D$190,MATCH($G$1,'State Income (2001-2004)'!$A$1:$D$1,0),FALSE)</f>
        <v>28831</v>
      </c>
    </row>
    <row r="124" spans="1:7" x14ac:dyDescent="0.3">
      <c r="A124" t="str">
        <f t="shared" si="1"/>
        <v>Maryland-2003</v>
      </c>
      <c r="B124" s="2" t="s">
        <v>24</v>
      </c>
      <c r="C124" s="2">
        <v>2003</v>
      </c>
      <c r="D124" s="6">
        <v>5773552</v>
      </c>
      <c r="E124" s="6">
        <v>230942.08000000002</v>
      </c>
      <c r="F124" s="34" t="str">
        <f>VLOOKUP(B124,'State Abbreviations'!$A$1:$B$52,MATCH($F$1,'State Abbreviations'!$A$1:$B$1,0),FALSE)</f>
        <v>MD</v>
      </c>
      <c r="G124" s="32">
        <f>VLOOKUP('Lookup Functions'!A124,'State Income (2001-2004)'!$A$1:$D$190,MATCH($G$1,'State Income (2001-2004)'!$A$1:$D$1,0),FALSE)</f>
        <v>37331</v>
      </c>
    </row>
    <row r="125" spans="1:7" x14ac:dyDescent="0.3">
      <c r="A125" t="str">
        <f t="shared" si="1"/>
        <v>Massachusetts-2003</v>
      </c>
      <c r="B125" s="2" t="s">
        <v>25</v>
      </c>
      <c r="C125" s="2">
        <v>2003</v>
      </c>
      <c r="D125" s="6">
        <v>6547629</v>
      </c>
      <c r="E125" s="6">
        <v>130952.58</v>
      </c>
      <c r="F125" s="34" t="str">
        <f>VLOOKUP(B125,'State Abbreviations'!$A$1:$B$52,MATCH($F$1,'State Abbreviations'!$A$1:$B$1,0),FALSE)</f>
        <v>MA</v>
      </c>
      <c r="G125" s="32">
        <f>VLOOKUP('Lookup Functions'!A125,'State Income (2001-2004)'!$A$1:$D$190,MATCH($G$1,'State Income (2001-2004)'!$A$1:$D$1,0),FALSE)</f>
        <v>39815</v>
      </c>
    </row>
    <row r="126" spans="1:7" x14ac:dyDescent="0.3">
      <c r="A126" t="str">
        <f t="shared" si="1"/>
        <v>Michigan-2003</v>
      </c>
      <c r="B126" s="2" t="s">
        <v>26</v>
      </c>
      <c r="C126" s="2">
        <v>2003</v>
      </c>
      <c r="D126" s="6">
        <v>9883635</v>
      </c>
      <c r="E126" s="6">
        <v>197672.7</v>
      </c>
      <c r="F126" s="34" t="str">
        <f>VLOOKUP(B126,'State Abbreviations'!$A$1:$B$52,MATCH($F$1,'State Abbreviations'!$A$1:$B$1,0),FALSE)</f>
        <v>MI</v>
      </c>
      <c r="G126" s="32">
        <f>VLOOKUP('Lookup Functions'!A126,'State Income (2001-2004)'!$A$1:$D$190,MATCH($G$1,'State Income (2001-2004)'!$A$1:$D$1,0),FALSE)</f>
        <v>30439</v>
      </c>
    </row>
    <row r="127" spans="1:7" x14ac:dyDescent="0.3">
      <c r="A127" t="str">
        <f t="shared" si="1"/>
        <v>Minnesota-2003</v>
      </c>
      <c r="B127" s="2" t="s">
        <v>27</v>
      </c>
      <c r="C127" s="2">
        <v>2003</v>
      </c>
      <c r="D127" s="6">
        <v>5303925</v>
      </c>
      <c r="E127" s="6">
        <v>106078.5</v>
      </c>
      <c r="F127" s="34" t="str">
        <f>VLOOKUP(B127,'State Abbreviations'!$A$1:$B$52,MATCH($F$1,'State Abbreviations'!$A$1:$B$1,0),FALSE)</f>
        <v>MN</v>
      </c>
      <c r="G127" s="32">
        <f>VLOOKUP('Lookup Functions'!A127,'State Income (2001-2004)'!$A$1:$D$190,MATCH($G$1,'State Income (2001-2004)'!$A$1:$D$1,0),FALSE)</f>
        <v>34443</v>
      </c>
    </row>
    <row r="128" spans="1:7" x14ac:dyDescent="0.3">
      <c r="A128" t="str">
        <f t="shared" si="1"/>
        <v>Mississippi-2003</v>
      </c>
      <c r="B128" s="2" t="s">
        <v>28</v>
      </c>
      <c r="C128" s="2">
        <v>2003</v>
      </c>
      <c r="D128" s="6">
        <v>2967297</v>
      </c>
      <c r="E128" s="6">
        <v>89018.91</v>
      </c>
      <c r="F128" s="34" t="str">
        <f>VLOOKUP(B128,'State Abbreviations'!$A$1:$B$52,MATCH($F$1,'State Abbreviations'!$A$1:$B$1,0),FALSE)</f>
        <v>MS</v>
      </c>
      <c r="G128" s="32">
        <f>VLOOKUP('Lookup Functions'!A128,'State Income (2001-2004)'!$A$1:$D$190,MATCH($G$1,'State Income (2001-2004)'!$A$1:$D$1,0),FALSE)</f>
        <v>23448</v>
      </c>
    </row>
    <row r="129" spans="1:7" x14ac:dyDescent="0.3">
      <c r="A129" t="str">
        <f t="shared" si="1"/>
        <v>Missouri-2003</v>
      </c>
      <c r="B129" s="2" t="s">
        <v>29</v>
      </c>
      <c r="C129" s="2">
        <v>2003</v>
      </c>
      <c r="D129" s="6">
        <v>5988927</v>
      </c>
      <c r="E129" s="6">
        <v>119778.54000000001</v>
      </c>
      <c r="F129" s="34" t="str">
        <f>VLOOKUP(B129,'State Abbreviations'!$A$1:$B$52,MATCH($F$1,'State Abbreviations'!$A$1:$B$1,0),FALSE)</f>
        <v>MO</v>
      </c>
      <c r="G129" s="32">
        <f>VLOOKUP('Lookup Functions'!A129,'State Income (2001-2004)'!$A$1:$D$190,MATCH($G$1,'State Income (2001-2004)'!$A$1:$D$1,0),FALSE)</f>
        <v>29252</v>
      </c>
    </row>
    <row r="130" spans="1:7" x14ac:dyDescent="0.3">
      <c r="A130" t="str">
        <f t="shared" si="1"/>
        <v>Montana-2003</v>
      </c>
      <c r="B130" s="2" t="s">
        <v>30</v>
      </c>
      <c r="C130" s="2">
        <v>2003</v>
      </c>
      <c r="D130" s="6">
        <v>989415</v>
      </c>
      <c r="E130" s="6">
        <v>29682.449999999997</v>
      </c>
      <c r="F130" s="34" t="str">
        <f>VLOOKUP(B130,'State Abbreviations'!$A$1:$B$52,MATCH($F$1,'State Abbreviations'!$A$1:$B$1,0),FALSE)</f>
        <v>MT</v>
      </c>
      <c r="G130" s="32">
        <f>VLOOKUP('Lookup Functions'!A130,'State Income (2001-2004)'!$A$1:$D$190,MATCH($G$1,'State Income (2001-2004)'!$A$1:$D$1,0),FALSE)</f>
        <v>25920</v>
      </c>
    </row>
    <row r="131" spans="1:7" x14ac:dyDescent="0.3">
      <c r="A131" t="str">
        <f t="shared" ref="A131:A194" si="2">B131&amp;"-"&amp;C131</f>
        <v>Nebraska-2003</v>
      </c>
      <c r="B131" s="2" t="s">
        <v>31</v>
      </c>
      <c r="C131" s="2">
        <v>2003</v>
      </c>
      <c r="D131" s="6">
        <v>1826341</v>
      </c>
      <c r="E131" s="6">
        <v>36526.82</v>
      </c>
      <c r="F131" s="34" t="str">
        <f>VLOOKUP(B131,'State Abbreviations'!$A$1:$B$52,MATCH($F$1,'State Abbreviations'!$A$1:$B$1,0),FALSE)</f>
        <v>NE</v>
      </c>
      <c r="G131" s="32">
        <f>VLOOKUP('Lookup Functions'!A131,'State Income (2001-2004)'!$A$1:$D$190,MATCH($G$1,'State Income (2001-2004)'!$A$1:$D$1,0),FALSE)</f>
        <v>30758</v>
      </c>
    </row>
    <row r="132" spans="1:7" x14ac:dyDescent="0.3">
      <c r="A132" t="str">
        <f t="shared" si="2"/>
        <v>Nevada-2003</v>
      </c>
      <c r="B132" s="2" t="s">
        <v>32</v>
      </c>
      <c r="C132" s="2">
        <v>2003</v>
      </c>
      <c r="D132" s="6">
        <v>2700551</v>
      </c>
      <c r="E132" s="6">
        <v>81016.53</v>
      </c>
      <c r="F132" s="34" t="str">
        <f>VLOOKUP(B132,'State Abbreviations'!$A$1:$B$52,MATCH($F$1,'State Abbreviations'!$A$1:$B$1,0),FALSE)</f>
        <v>NV</v>
      </c>
      <c r="G132" s="32">
        <f>VLOOKUP('Lookup Functions'!A132,'State Income (2001-2004)'!$A$1:$D$190,MATCH($G$1,'State Income (2001-2004)'!$A$1:$D$1,0),FALSE)</f>
        <v>31266</v>
      </c>
    </row>
    <row r="133" spans="1:7" x14ac:dyDescent="0.3">
      <c r="A133" t="str">
        <f t="shared" si="2"/>
        <v>New Hampshire-2003</v>
      </c>
      <c r="B133" s="2" t="s">
        <v>33</v>
      </c>
      <c r="C133" s="2">
        <v>2003</v>
      </c>
      <c r="D133" s="6">
        <v>1316472</v>
      </c>
      <c r="E133" s="6">
        <v>26329.440000000002</v>
      </c>
      <c r="F133" s="34" t="str">
        <f>VLOOKUP(B133,'State Abbreviations'!$A$1:$B$52,MATCH($F$1,'State Abbreviations'!$A$1:$B$1,0),FALSE)</f>
        <v>NH</v>
      </c>
      <c r="G133" s="32">
        <f>VLOOKUP('Lookup Functions'!A133,'State Income (2001-2004)'!$A$1:$D$190,MATCH($G$1,'State Income (2001-2004)'!$A$1:$D$1,0),FALSE)</f>
        <v>34702</v>
      </c>
    </row>
    <row r="134" spans="1:7" x14ac:dyDescent="0.3">
      <c r="A134" t="str">
        <f t="shared" si="2"/>
        <v>New Jersey-2003</v>
      </c>
      <c r="B134" s="2" t="s">
        <v>34</v>
      </c>
      <c r="C134" s="2">
        <v>2003</v>
      </c>
      <c r="D134" s="6">
        <v>8791894</v>
      </c>
      <c r="E134" s="6">
        <v>263756.82</v>
      </c>
      <c r="F134" s="34" t="str">
        <f>VLOOKUP(B134,'State Abbreviations'!$A$1:$B$52,MATCH($F$1,'State Abbreviations'!$A$1:$B$1,0),FALSE)</f>
        <v>NJ</v>
      </c>
      <c r="G134" s="32">
        <f>VLOOKUP('Lookup Functions'!A134,'State Income (2001-2004)'!$A$1:$D$190,MATCH($G$1,'State Income (2001-2004)'!$A$1:$D$1,0),FALSE)</f>
        <v>40427</v>
      </c>
    </row>
    <row r="135" spans="1:7" x14ac:dyDescent="0.3">
      <c r="A135" t="str">
        <f t="shared" si="2"/>
        <v>New Mexico-2003</v>
      </c>
      <c r="B135" s="2" t="s">
        <v>35</v>
      </c>
      <c r="C135" s="2">
        <v>2003</v>
      </c>
      <c r="D135" s="6">
        <v>2059180</v>
      </c>
      <c r="E135" s="6">
        <v>61775.399999999994</v>
      </c>
      <c r="F135" s="34" t="str">
        <f>VLOOKUP(B135,'State Abbreviations'!$A$1:$B$52,MATCH($F$1,'State Abbreviations'!$A$1:$B$1,0),FALSE)</f>
        <v>NM</v>
      </c>
      <c r="G135" s="32">
        <f>VLOOKUP('Lookup Functions'!A135,'State Income (2001-2004)'!$A$1:$D$190,MATCH($G$1,'State Income (2001-2004)'!$A$1:$D$1,0),FALSE)</f>
        <v>25541</v>
      </c>
    </row>
    <row r="136" spans="1:7" x14ac:dyDescent="0.3">
      <c r="A136" t="str">
        <f t="shared" si="2"/>
        <v>New York-2003</v>
      </c>
      <c r="B136" s="2" t="s">
        <v>36</v>
      </c>
      <c r="C136" s="2">
        <v>2003</v>
      </c>
      <c r="D136" s="6">
        <v>19378104</v>
      </c>
      <c r="E136" s="6">
        <v>387562.08</v>
      </c>
      <c r="F136" s="34" t="str">
        <f>VLOOKUP(B136,'State Abbreviations'!$A$1:$B$52,MATCH($F$1,'State Abbreviations'!$A$1:$B$1,0),FALSE)</f>
        <v>NY</v>
      </c>
      <c r="G136" s="32">
        <f>VLOOKUP('Lookup Functions'!A136,'State Income (2001-2004)'!$A$1:$D$190,MATCH($G$1,'State Income (2001-2004)'!$A$1:$D$1,0),FALSE)</f>
        <v>36574</v>
      </c>
    </row>
    <row r="137" spans="1:7" x14ac:dyDescent="0.3">
      <c r="A137" t="str">
        <f t="shared" si="2"/>
        <v>North Carolina-2003</v>
      </c>
      <c r="B137" s="2" t="s">
        <v>37</v>
      </c>
      <c r="C137" s="2">
        <v>2003</v>
      </c>
      <c r="D137" s="6">
        <v>9535475</v>
      </c>
      <c r="E137" s="6">
        <v>190709.5</v>
      </c>
      <c r="F137" s="34" t="str">
        <f>VLOOKUP(B137,'State Abbreviations'!$A$1:$B$52,MATCH($F$1,'State Abbreviations'!$A$1:$B$1,0),FALSE)</f>
        <v>NC</v>
      </c>
      <c r="G137" s="32">
        <f>VLOOKUP('Lookup Functions'!A137,'State Income (2001-2004)'!$A$1:$D$190,MATCH($G$1,'State Income (2001-2004)'!$A$1:$D$1,0),FALSE)</f>
        <v>28235</v>
      </c>
    </row>
    <row r="138" spans="1:7" x14ac:dyDescent="0.3">
      <c r="A138" t="str">
        <f t="shared" si="2"/>
        <v>North Dakota-2003</v>
      </c>
      <c r="B138" s="2" t="s">
        <v>38</v>
      </c>
      <c r="C138" s="2">
        <v>2003</v>
      </c>
      <c r="D138" s="6">
        <v>672591</v>
      </c>
      <c r="E138" s="6">
        <v>20177.73</v>
      </c>
      <c r="F138" s="34" t="str">
        <f>VLOOKUP(B138,'State Abbreviations'!$A$1:$B$52,MATCH($F$1,'State Abbreviations'!$A$1:$B$1,0),FALSE)</f>
        <v>ND</v>
      </c>
      <c r="G138" s="32">
        <f>VLOOKUP('Lookup Functions'!A138,'State Income (2001-2004)'!$A$1:$D$190,MATCH($G$1,'State Income (2001-2004)'!$A$1:$D$1,0),FALSE)</f>
        <v>29204</v>
      </c>
    </row>
    <row r="139" spans="1:7" x14ac:dyDescent="0.3">
      <c r="A139" t="str">
        <f t="shared" si="2"/>
        <v>Ohio-2003</v>
      </c>
      <c r="B139" s="2" t="s">
        <v>39</v>
      </c>
      <c r="C139" s="2">
        <v>2003</v>
      </c>
      <c r="D139" s="6">
        <v>11536502</v>
      </c>
      <c r="E139" s="6">
        <v>346095.06</v>
      </c>
      <c r="F139" s="34" t="str">
        <f>VLOOKUP(B139,'State Abbreviations'!$A$1:$B$52,MATCH($F$1,'State Abbreviations'!$A$1:$B$1,0),FALSE)</f>
        <v>OH</v>
      </c>
      <c r="G139" s="32">
        <f>VLOOKUP('Lookup Functions'!A139,'State Income (2001-2004)'!$A$1:$D$190,MATCH($G$1,'State Income (2001-2004)'!$A$1:$D$1,0),FALSE)</f>
        <v>29944</v>
      </c>
    </row>
    <row r="140" spans="1:7" x14ac:dyDescent="0.3">
      <c r="A140" t="str">
        <f t="shared" si="2"/>
        <v>Oklahoma-2003</v>
      </c>
      <c r="B140" s="2" t="s">
        <v>40</v>
      </c>
      <c r="C140" s="2">
        <v>2003</v>
      </c>
      <c r="D140" s="6">
        <v>3751354</v>
      </c>
      <c r="E140" s="6">
        <v>112540.62</v>
      </c>
      <c r="F140" s="34" t="str">
        <f>VLOOKUP(B140,'State Abbreviations'!$A$1:$B$52,MATCH($F$1,'State Abbreviations'!$A$1:$B$1,0),FALSE)</f>
        <v>OK</v>
      </c>
      <c r="G140" s="32">
        <f>VLOOKUP('Lookup Functions'!A140,'State Income (2001-2004)'!$A$1:$D$190,MATCH($G$1,'State Income (2001-2004)'!$A$1:$D$1,0),FALSE)</f>
        <v>26656</v>
      </c>
    </row>
    <row r="141" spans="1:7" x14ac:dyDescent="0.3">
      <c r="A141" t="str">
        <f t="shared" si="2"/>
        <v>Oregon-2003</v>
      </c>
      <c r="B141" s="2" t="s">
        <v>41</v>
      </c>
      <c r="C141" s="2">
        <v>2003</v>
      </c>
      <c r="D141" s="6">
        <v>3831074</v>
      </c>
      <c r="E141" s="6">
        <v>114932.22</v>
      </c>
      <c r="F141" s="34" t="str">
        <f>VLOOKUP(B141,'State Abbreviations'!$A$1:$B$52,MATCH($F$1,'State Abbreviations'!$A$1:$B$1,0),FALSE)</f>
        <v>OR</v>
      </c>
      <c r="G141" s="32">
        <f>VLOOKUP('Lookup Functions'!A141,'State Income (2001-2004)'!$A$1:$D$190,MATCH($G$1,'State Income (2001-2004)'!$A$1:$D$1,0),FALSE)</f>
        <v>29340</v>
      </c>
    </row>
    <row r="142" spans="1:7" x14ac:dyDescent="0.3">
      <c r="A142" t="str">
        <f t="shared" si="2"/>
        <v>Pennsylvania-2003</v>
      </c>
      <c r="B142" s="2" t="s">
        <v>42</v>
      </c>
      <c r="C142" s="2">
        <v>2003</v>
      </c>
      <c r="D142" s="6">
        <v>12702379</v>
      </c>
      <c r="E142" s="6">
        <v>254047.58000000002</v>
      </c>
      <c r="F142" s="34" t="str">
        <f>VLOOKUP(B142,'State Abbreviations'!$A$1:$B$52,MATCH($F$1,'State Abbreviations'!$A$1:$B$1,0),FALSE)</f>
        <v>PA</v>
      </c>
      <c r="G142" s="32">
        <f>VLOOKUP('Lookup Functions'!A142,'State Income (2001-2004)'!$A$1:$D$190,MATCH($G$1,'State Income (2001-2004)'!$A$1:$D$1,0),FALSE)</f>
        <v>31998</v>
      </c>
    </row>
    <row r="143" spans="1:7" x14ac:dyDescent="0.3">
      <c r="A143" t="str">
        <f t="shared" si="2"/>
        <v>Rhode Island-2003</v>
      </c>
      <c r="B143" s="2" t="s">
        <v>43</v>
      </c>
      <c r="C143" s="2">
        <v>2003</v>
      </c>
      <c r="D143" s="6">
        <v>1052567</v>
      </c>
      <c r="E143" s="6">
        <v>42102.68</v>
      </c>
      <c r="F143" s="34" t="str">
        <f>VLOOKUP(B143,'State Abbreviations'!$A$1:$B$52,MATCH($F$1,'State Abbreviations'!$A$1:$B$1,0),FALSE)</f>
        <v>RI</v>
      </c>
      <c r="G143" s="32">
        <f>VLOOKUP('Lookup Functions'!A143,'State Income (2001-2004)'!$A$1:$D$190,MATCH($G$1,'State Income (2001-2004)'!$A$1:$D$1,0),FALSE)</f>
        <v>31916</v>
      </c>
    </row>
    <row r="144" spans="1:7" x14ac:dyDescent="0.3">
      <c r="A144" t="str">
        <f t="shared" si="2"/>
        <v>South Carolina-2003</v>
      </c>
      <c r="B144" s="2" t="s">
        <v>44</v>
      </c>
      <c r="C144" s="2">
        <v>2003</v>
      </c>
      <c r="D144" s="6">
        <v>4625364</v>
      </c>
      <c r="E144" s="6">
        <v>138760.91999999998</v>
      </c>
      <c r="F144" s="34" t="str">
        <f>VLOOKUP(B144,'State Abbreviations'!$A$1:$B$52,MATCH($F$1,'State Abbreviations'!$A$1:$B$1,0),FALSE)</f>
        <v>SC</v>
      </c>
      <c r="G144" s="32">
        <f>VLOOKUP('Lookup Functions'!A144,'State Income (2001-2004)'!$A$1:$D$190,MATCH($G$1,'State Income (2001-2004)'!$A$1:$D$1,0),FALSE)</f>
        <v>26132</v>
      </c>
    </row>
    <row r="145" spans="1:7" x14ac:dyDescent="0.3">
      <c r="A145" t="str">
        <f t="shared" si="2"/>
        <v>South Dakota-2003</v>
      </c>
      <c r="B145" s="2" t="s">
        <v>45</v>
      </c>
      <c r="C145" s="2">
        <v>2003</v>
      </c>
      <c r="D145" s="6">
        <v>814180</v>
      </c>
      <c r="E145" s="6">
        <v>24425.399999999998</v>
      </c>
      <c r="F145" s="34" t="str">
        <f>VLOOKUP(B145,'State Abbreviations'!$A$1:$B$52,MATCH($F$1,'State Abbreviations'!$A$1:$B$1,0),FALSE)</f>
        <v>SD</v>
      </c>
      <c r="G145" s="32">
        <f>VLOOKUP('Lookup Functions'!A145,'State Income (2001-2004)'!$A$1:$D$190,MATCH($G$1,'State Income (2001-2004)'!$A$1:$D$1,0),FALSE)</f>
        <v>29234</v>
      </c>
    </row>
    <row r="146" spans="1:7" x14ac:dyDescent="0.3">
      <c r="A146" t="str">
        <f t="shared" si="2"/>
        <v>Tennessee-2003</v>
      </c>
      <c r="B146" s="2" t="s">
        <v>46</v>
      </c>
      <c r="C146" s="2">
        <v>2003</v>
      </c>
      <c r="D146" s="6">
        <v>6346110</v>
      </c>
      <c r="E146" s="6">
        <v>253844.4</v>
      </c>
      <c r="F146" s="34" t="str">
        <f>VLOOKUP(B146,'State Abbreviations'!$A$1:$B$52,MATCH($F$1,'State Abbreviations'!$A$1:$B$1,0),FALSE)</f>
        <v>TN</v>
      </c>
      <c r="G146" s="32">
        <f>VLOOKUP('Lookup Functions'!A146,'State Income (2001-2004)'!$A$1:$D$190,MATCH($G$1,'State Income (2001-2004)'!$A$1:$D$1,0),FALSE)</f>
        <v>28455</v>
      </c>
    </row>
    <row r="147" spans="1:7" x14ac:dyDescent="0.3">
      <c r="A147" t="str">
        <f t="shared" si="2"/>
        <v>Texas-2003</v>
      </c>
      <c r="B147" s="2" t="s">
        <v>47</v>
      </c>
      <c r="C147" s="2">
        <v>2003</v>
      </c>
      <c r="D147" s="6">
        <v>25145561</v>
      </c>
      <c r="E147" s="6">
        <v>754366.83</v>
      </c>
      <c r="F147" s="34" t="str">
        <f>VLOOKUP(B147,'State Abbreviations'!$A$1:$B$52,MATCH($F$1,'State Abbreviations'!$A$1:$B$1,0),FALSE)</f>
        <v>TX</v>
      </c>
      <c r="G147" s="32">
        <f>VLOOKUP('Lookup Functions'!A147,'State Income (2001-2004)'!$A$1:$D$190,MATCH($G$1,'State Income (2001-2004)'!$A$1:$D$1,0),FALSE)</f>
        <v>29372</v>
      </c>
    </row>
    <row r="148" spans="1:7" x14ac:dyDescent="0.3">
      <c r="A148" t="str">
        <f t="shared" si="2"/>
        <v>Utah-2003</v>
      </c>
      <c r="B148" s="2" t="s">
        <v>48</v>
      </c>
      <c r="C148" s="2">
        <v>2003</v>
      </c>
      <c r="D148" s="6">
        <v>2763885</v>
      </c>
      <c r="E148" s="6">
        <v>55277.700000000004</v>
      </c>
      <c r="F148" s="34" t="str">
        <f>VLOOKUP(B148,'State Abbreviations'!$A$1:$B$52,MATCH($F$1,'State Abbreviations'!$A$1:$B$1,0),FALSE)</f>
        <v>UT</v>
      </c>
      <c r="G148" s="32">
        <f>VLOOKUP('Lookup Functions'!A148,'State Income (2001-2004)'!$A$1:$D$190,MATCH($G$1,'State Income (2001-2004)'!$A$1:$D$1,0),FALSE)</f>
        <v>24977</v>
      </c>
    </row>
    <row r="149" spans="1:7" x14ac:dyDescent="0.3">
      <c r="A149" t="str">
        <f t="shared" si="2"/>
        <v>Vermont-2003</v>
      </c>
      <c r="B149" s="2" t="s">
        <v>49</v>
      </c>
      <c r="C149" s="2">
        <v>2003</v>
      </c>
      <c r="D149" s="6">
        <v>625741</v>
      </c>
      <c r="E149" s="6">
        <v>12514.82</v>
      </c>
      <c r="F149" s="34" t="str">
        <f>VLOOKUP(B149,'State Abbreviations'!$A$1:$B$52,MATCH($F$1,'State Abbreviations'!$A$1:$B$1,0),FALSE)</f>
        <v>VT</v>
      </c>
      <c r="G149" s="32">
        <f>VLOOKUP('Lookup Functions'!A149,'State Income (2001-2004)'!$A$1:$D$190,MATCH($G$1,'State Income (2001-2004)'!$A$1:$D$1,0),FALSE)</f>
        <v>30740</v>
      </c>
    </row>
    <row r="150" spans="1:7" x14ac:dyDescent="0.3">
      <c r="A150" t="str">
        <f t="shared" si="2"/>
        <v>Virginia-2003</v>
      </c>
      <c r="B150" s="2" t="s">
        <v>50</v>
      </c>
      <c r="C150" s="2">
        <v>2003</v>
      </c>
      <c r="D150" s="6">
        <v>8001024</v>
      </c>
      <c r="E150" s="6">
        <v>240030.72</v>
      </c>
      <c r="F150" s="34" t="str">
        <f>VLOOKUP(B150,'State Abbreviations'!$A$1:$B$52,MATCH($F$1,'State Abbreviations'!$A$1:$B$1,0),FALSE)</f>
        <v>VA</v>
      </c>
      <c r="G150" s="32">
        <f>VLOOKUP('Lookup Functions'!A150,'State Income (2001-2004)'!$A$1:$D$190,MATCH($G$1,'State Income (2001-2004)'!$A$1:$D$1,0),FALSE)</f>
        <v>33671</v>
      </c>
    </row>
    <row r="151" spans="1:7" x14ac:dyDescent="0.3">
      <c r="A151" t="str">
        <f t="shared" si="2"/>
        <v>Washington-2003</v>
      </c>
      <c r="B151" s="2" t="s">
        <v>51</v>
      </c>
      <c r="C151" s="2">
        <v>2003</v>
      </c>
      <c r="D151" s="6">
        <v>6724540</v>
      </c>
      <c r="E151" s="6">
        <v>268981.59999999998</v>
      </c>
      <c r="F151" s="34" t="str">
        <f>VLOOKUP(B151,'State Abbreviations'!$A$1:$B$52,MATCH($F$1,'State Abbreviations'!$A$1:$B$1,0),FALSE)</f>
        <v>WA</v>
      </c>
      <c r="G151" s="32">
        <f>VLOOKUP('Lookup Functions'!A151,'State Income (2001-2004)'!$A$1:$D$190,MATCH($G$1,'State Income (2001-2004)'!$A$1:$D$1,0),FALSE)</f>
        <v>33332</v>
      </c>
    </row>
    <row r="152" spans="1:7" x14ac:dyDescent="0.3">
      <c r="A152" t="str">
        <f t="shared" si="2"/>
        <v>West Virginia-2003</v>
      </c>
      <c r="B152" s="2" t="s">
        <v>52</v>
      </c>
      <c r="C152" s="2">
        <v>2003</v>
      </c>
      <c r="D152" s="6">
        <v>1852996</v>
      </c>
      <c r="E152" s="6">
        <v>37059.919999999998</v>
      </c>
      <c r="F152" s="34" t="str">
        <f>VLOOKUP(B152,'State Abbreviations'!$A$1:$B$52,MATCH($F$1,'State Abbreviations'!$A$1:$B$1,0),FALSE)</f>
        <v>WV</v>
      </c>
      <c r="G152" s="32">
        <f>VLOOKUP('Lookup Functions'!A152,'State Income (2001-2004)'!$A$1:$D$190,MATCH($G$1,'State Income (2001-2004)'!$A$1:$D$1,0),FALSE)</f>
        <v>24379</v>
      </c>
    </row>
    <row r="153" spans="1:7" x14ac:dyDescent="0.3">
      <c r="A153" t="str">
        <f t="shared" si="2"/>
        <v>Wisconsin-2003</v>
      </c>
      <c r="B153" s="2" t="s">
        <v>53</v>
      </c>
      <c r="C153" s="2">
        <v>2003</v>
      </c>
      <c r="D153" s="6">
        <v>5686986</v>
      </c>
      <c r="E153" s="6">
        <v>113739.72</v>
      </c>
      <c r="F153" s="34" t="str">
        <f>VLOOKUP(B153,'State Abbreviations'!$A$1:$B$52,MATCH($F$1,'State Abbreviations'!$A$1:$B$1,0),FALSE)</f>
        <v>WI</v>
      </c>
      <c r="G153" s="32">
        <f>VLOOKUP('Lookup Functions'!A153,'State Income (2001-2004)'!$A$1:$D$190,MATCH($G$1,'State Income (2001-2004)'!$A$1:$D$1,0),FALSE)</f>
        <v>30898</v>
      </c>
    </row>
    <row r="154" spans="1:7" x14ac:dyDescent="0.3">
      <c r="A154" t="str">
        <f t="shared" si="2"/>
        <v>Wyoming-2003</v>
      </c>
      <c r="B154" s="2" t="s">
        <v>54</v>
      </c>
      <c r="C154" s="2">
        <v>2003</v>
      </c>
      <c r="D154" s="6">
        <v>563626</v>
      </c>
      <c r="E154" s="6">
        <v>11272.52</v>
      </c>
      <c r="F154" s="34" t="str">
        <f>VLOOKUP(B154,'State Abbreviations'!$A$1:$B$52,MATCH($F$1,'State Abbreviations'!$A$1:$B$1,0),FALSE)</f>
        <v>WY</v>
      </c>
      <c r="G154" s="32">
        <f>VLOOKUP('Lookup Functions'!A154,'State Income (2001-2004)'!$A$1:$D$190,MATCH($G$1,'State Income (2001-2004)'!$A$1:$D$1,0),FALSE)</f>
        <v>32808</v>
      </c>
    </row>
    <row r="155" spans="1:7" x14ac:dyDescent="0.3">
      <c r="A155" t="str">
        <f t="shared" si="2"/>
        <v>Alabama-2004</v>
      </c>
      <c r="B155" s="2" t="s">
        <v>4</v>
      </c>
      <c r="C155" s="2">
        <v>2004</v>
      </c>
      <c r="D155" s="6">
        <v>4822023</v>
      </c>
      <c r="E155" s="6">
        <v>96440.46</v>
      </c>
      <c r="F155" s="34" t="str">
        <f>VLOOKUP(B155,'State Abbreviations'!$A$1:$B$52,MATCH($F$1,'State Abbreviations'!$A$1:$B$1,0),FALSE)</f>
        <v>AL</v>
      </c>
      <c r="G155" s="32">
        <f>VLOOKUP('Lookup Functions'!A155,'State Income (2001-2004)'!$A$1:$D$190,MATCH($G$1,'State Income (2001-2004)'!$A$1:$D$1,0),FALSE)</f>
        <v>29136</v>
      </c>
    </row>
    <row r="156" spans="1:7" x14ac:dyDescent="0.3">
      <c r="A156" t="str">
        <f t="shared" si="2"/>
        <v>Alaska-2004</v>
      </c>
      <c r="B156" s="2" t="s">
        <v>5</v>
      </c>
      <c r="C156" s="2">
        <v>2004</v>
      </c>
      <c r="D156" s="6">
        <v>731449</v>
      </c>
      <c r="E156" s="6">
        <v>14628.98</v>
      </c>
      <c r="F156" s="34" t="str">
        <f>VLOOKUP(B156,'State Abbreviations'!$A$1:$B$52,MATCH($F$1,'State Abbreviations'!$A$1:$B$1,0),FALSE)</f>
        <v>AK</v>
      </c>
      <c r="G156" s="32">
        <f>VLOOKUP('Lookup Functions'!A156,'State Income (2001-2004)'!$A$1:$D$190,MATCH($G$1,'State Income (2001-2004)'!$A$1:$D$1,0),FALSE)</f>
        <v>35612</v>
      </c>
    </row>
    <row r="157" spans="1:7" x14ac:dyDescent="0.3">
      <c r="A157" t="str">
        <f t="shared" si="2"/>
        <v>Arizona-2004</v>
      </c>
      <c r="B157" s="2" t="s">
        <v>6</v>
      </c>
      <c r="C157" s="2">
        <v>2004</v>
      </c>
      <c r="D157" s="6">
        <v>6553255</v>
      </c>
      <c r="E157" s="6">
        <v>262130.2</v>
      </c>
      <c r="F157" s="34" t="str">
        <f>VLOOKUP(B157,'State Abbreviations'!$A$1:$B$52,MATCH($F$1,'State Abbreviations'!$A$1:$B$1,0),FALSE)</f>
        <v>AZ</v>
      </c>
      <c r="G157" s="32">
        <f>VLOOKUP('Lookup Functions'!A157,'State Income (2001-2004)'!$A$1:$D$190,MATCH($G$1,'State Income (2001-2004)'!$A$1:$D$1,0),FALSE)</f>
        <v>30267</v>
      </c>
    </row>
    <row r="158" spans="1:7" x14ac:dyDescent="0.3">
      <c r="A158" t="str">
        <f t="shared" si="2"/>
        <v>Arkansas-2004</v>
      </c>
      <c r="B158" s="2" t="s">
        <v>7</v>
      </c>
      <c r="C158" s="2">
        <v>2004</v>
      </c>
      <c r="D158" s="6">
        <v>2949131</v>
      </c>
      <c r="E158" s="6">
        <v>88473.93</v>
      </c>
      <c r="F158" s="34" t="str">
        <f>VLOOKUP(B158,'State Abbreviations'!$A$1:$B$52,MATCH($F$1,'State Abbreviations'!$A$1:$B$1,0),FALSE)</f>
        <v>AR</v>
      </c>
      <c r="G158" s="32">
        <f>VLOOKUP('Lookup Functions'!A158,'State Income (2001-2004)'!$A$1:$D$190,MATCH($G$1,'State Income (2001-2004)'!$A$1:$D$1,0),FALSE)</f>
        <v>26874</v>
      </c>
    </row>
    <row r="159" spans="1:7" x14ac:dyDescent="0.3">
      <c r="A159" t="str">
        <f t="shared" si="2"/>
        <v>California-2004</v>
      </c>
      <c r="B159" s="2" t="s">
        <v>8</v>
      </c>
      <c r="C159" s="2">
        <v>2004</v>
      </c>
      <c r="D159" s="6">
        <v>38041430</v>
      </c>
      <c r="E159" s="6">
        <v>1141242.8999999999</v>
      </c>
      <c r="F159" s="34" t="str">
        <f>VLOOKUP(B159,'State Abbreviations'!$A$1:$B$52,MATCH($F$1,'State Abbreviations'!$A$1:$B$1,0),FALSE)</f>
        <v>CA</v>
      </c>
      <c r="G159" s="32">
        <f>VLOOKUP('Lookup Functions'!A159,'State Income (2001-2004)'!$A$1:$D$190,MATCH($G$1,'State Income (2001-2004)'!$A$1:$D$1,0),FALSE)</f>
        <v>37036</v>
      </c>
    </row>
    <row r="160" spans="1:7" x14ac:dyDescent="0.3">
      <c r="A160" t="str">
        <f t="shared" si="2"/>
        <v>Colorado-2004</v>
      </c>
      <c r="B160" s="2" t="s">
        <v>9</v>
      </c>
      <c r="C160" s="2">
        <v>2004</v>
      </c>
      <c r="D160" s="6">
        <v>5187582</v>
      </c>
      <c r="E160" s="6">
        <v>155627.46</v>
      </c>
      <c r="F160" s="34" t="str">
        <f>VLOOKUP(B160,'State Abbreviations'!$A$1:$B$52,MATCH($F$1,'State Abbreviations'!$A$1:$B$1,0),FALSE)</f>
        <v>CO</v>
      </c>
      <c r="G160" s="32">
        <f>VLOOKUP('Lookup Functions'!A160,'State Income (2001-2004)'!$A$1:$D$190,MATCH($G$1,'State Income (2001-2004)'!$A$1:$D$1,0),FALSE)</f>
        <v>37946</v>
      </c>
    </row>
    <row r="161" spans="1:7" x14ac:dyDescent="0.3">
      <c r="A161" t="str">
        <f t="shared" si="2"/>
        <v>Connecticut-2004</v>
      </c>
      <c r="B161" s="2" t="s">
        <v>10</v>
      </c>
      <c r="C161" s="2">
        <v>2004</v>
      </c>
      <c r="D161" s="6">
        <v>3590347</v>
      </c>
      <c r="E161" s="6">
        <v>71806.94</v>
      </c>
      <c r="F161" s="34" t="str">
        <f>VLOOKUP(B161,'State Abbreviations'!$A$1:$B$52,MATCH($F$1,'State Abbreviations'!$A$1:$B$1,0),FALSE)</f>
        <v>CT</v>
      </c>
      <c r="G161" s="32">
        <f>VLOOKUP('Lookup Functions'!A161,'State Income (2001-2004)'!$A$1:$D$190,MATCH($G$1,'State Income (2001-2004)'!$A$1:$D$1,0),FALSE)</f>
        <v>47819</v>
      </c>
    </row>
    <row r="162" spans="1:7" x14ac:dyDescent="0.3">
      <c r="A162" t="str">
        <f t="shared" si="2"/>
        <v>D.C.-2004</v>
      </c>
      <c r="B162" s="2" t="s">
        <v>11</v>
      </c>
      <c r="C162" s="2">
        <v>2004</v>
      </c>
      <c r="D162" s="6">
        <v>917092</v>
      </c>
      <c r="E162" s="6">
        <v>18341.84</v>
      </c>
      <c r="F162" s="34" t="str">
        <f>VLOOKUP(B162,'State Abbreviations'!$A$1:$B$52,MATCH($F$1,'State Abbreviations'!$A$1:$B$1,0),FALSE)</f>
        <v>DC</v>
      </c>
      <c r="G162" s="32">
        <f>VLOOKUP('Lookup Functions'!A162,'State Income (2001-2004)'!$A$1:$D$190,MATCH($G$1,'State Income (2001-2004)'!$A$1:$D$1,0),FALSE)</f>
        <v>37065</v>
      </c>
    </row>
    <row r="163" spans="1:7" x14ac:dyDescent="0.3">
      <c r="A163" t="str">
        <f t="shared" si="2"/>
        <v>Delaware-2004</v>
      </c>
      <c r="B163" s="2" t="s">
        <v>12</v>
      </c>
      <c r="C163" s="2">
        <v>2004</v>
      </c>
      <c r="D163" s="6">
        <v>632323</v>
      </c>
      <c r="E163" s="6">
        <v>25292.920000000002</v>
      </c>
      <c r="F163" s="34" t="str">
        <f>VLOOKUP(B163,'State Abbreviations'!$A$1:$B$52,MATCH($F$1,'State Abbreviations'!$A$1:$B$1,0),FALSE)</f>
        <v>DE</v>
      </c>
      <c r="G163" s="32">
        <f>VLOOKUP('Lookup Functions'!A163,'State Income (2001-2004)'!$A$1:$D$190,MATCH($G$1,'State Income (2001-2004)'!$A$1:$D$1,0),FALSE)</f>
        <v>54985</v>
      </c>
    </row>
    <row r="164" spans="1:7" x14ac:dyDescent="0.3">
      <c r="A164" t="str">
        <f t="shared" si="2"/>
        <v>Florida-2004</v>
      </c>
      <c r="B164" s="2" t="s">
        <v>13</v>
      </c>
      <c r="C164" s="2">
        <v>2004</v>
      </c>
      <c r="D164" s="6">
        <v>19317568</v>
      </c>
      <c r="E164" s="6">
        <v>579527.03999999992</v>
      </c>
      <c r="F164" s="34" t="str">
        <f>VLOOKUP(B164,'State Abbreviations'!$A$1:$B$52,MATCH($F$1,'State Abbreviations'!$A$1:$B$1,0),FALSE)</f>
        <v>FL</v>
      </c>
      <c r="G164" s="32">
        <f>VLOOKUP('Lookup Functions'!A164,'State Income (2001-2004)'!$A$1:$D$190,MATCH($G$1,'State Income (2001-2004)'!$A$1:$D$1,0),FALSE)</f>
        <v>33219</v>
      </c>
    </row>
    <row r="165" spans="1:7" x14ac:dyDescent="0.3">
      <c r="A165" t="str">
        <f t="shared" si="2"/>
        <v>Georgia-2004</v>
      </c>
      <c r="B165" s="2" t="s">
        <v>14</v>
      </c>
      <c r="C165" s="2">
        <v>2004</v>
      </c>
      <c r="D165" s="6">
        <v>9919945</v>
      </c>
      <c r="E165" s="6">
        <v>396797.8</v>
      </c>
      <c r="F165" s="34" t="str">
        <f>VLOOKUP(B165,'State Abbreviations'!$A$1:$B$52,MATCH($F$1,'State Abbreviations'!$A$1:$B$1,0),FALSE)</f>
        <v>GA</v>
      </c>
      <c r="G165" s="32">
        <f>VLOOKUP('Lookup Functions'!A165,'State Income (2001-2004)'!$A$1:$D$190,MATCH($G$1,'State Income (2001-2004)'!$A$1:$D$1,0),FALSE)</f>
        <v>31121</v>
      </c>
    </row>
    <row r="166" spans="1:7" x14ac:dyDescent="0.3">
      <c r="A166" t="str">
        <f t="shared" si="2"/>
        <v>Hawaii-2004</v>
      </c>
      <c r="B166" s="2" t="s">
        <v>15</v>
      </c>
      <c r="C166" s="2">
        <v>2004</v>
      </c>
      <c r="D166" s="6">
        <v>1392313</v>
      </c>
      <c r="E166" s="6">
        <v>55692.520000000004</v>
      </c>
      <c r="F166" s="34" t="str">
        <f>VLOOKUP(B166,'State Abbreviations'!$A$1:$B$52,MATCH($F$1,'State Abbreviations'!$A$1:$B$1,0),FALSE)</f>
        <v>HI</v>
      </c>
      <c r="G166" s="32">
        <f>VLOOKUP('Lookup Functions'!A166,'State Income (2001-2004)'!$A$1:$D$190,MATCH($G$1,'State Income (2001-2004)'!$A$1:$D$1,0),FALSE)</f>
        <v>34539</v>
      </c>
    </row>
    <row r="167" spans="1:7" x14ac:dyDescent="0.3">
      <c r="A167" t="str">
        <f t="shared" si="2"/>
        <v>Idaho-2004</v>
      </c>
      <c r="B167" s="2" t="s">
        <v>16</v>
      </c>
      <c r="C167" s="2">
        <v>2004</v>
      </c>
      <c r="D167" s="6">
        <v>1595728</v>
      </c>
      <c r="E167" s="6">
        <v>31914.560000000001</v>
      </c>
      <c r="F167" s="34" t="str">
        <f>VLOOKUP(B167,'State Abbreviations'!$A$1:$B$52,MATCH($F$1,'State Abbreviations'!$A$1:$B$1,0),FALSE)</f>
        <v>ID</v>
      </c>
      <c r="G167" s="32">
        <f>VLOOKUP('Lookup Functions'!A167,'State Income (2001-2004)'!$A$1:$D$190,MATCH($G$1,'State Income (2001-2004)'!$A$1:$D$1,0),FALSE)</f>
        <v>28158</v>
      </c>
    </row>
    <row r="168" spans="1:7" x14ac:dyDescent="0.3">
      <c r="A168" t="str">
        <f t="shared" si="2"/>
        <v>Illinois-2004</v>
      </c>
      <c r="B168" s="2" t="s">
        <v>17</v>
      </c>
      <c r="C168" s="2">
        <v>2004</v>
      </c>
      <c r="D168" s="6">
        <v>12875255</v>
      </c>
      <c r="E168" s="6">
        <v>386257.64999999997</v>
      </c>
      <c r="F168" s="34" t="str">
        <f>VLOOKUP(B168,'State Abbreviations'!$A$1:$B$52,MATCH($F$1,'State Abbreviations'!$A$1:$B$1,0),FALSE)</f>
        <v>IL</v>
      </c>
      <c r="G168" s="32">
        <f>VLOOKUP('Lookup Functions'!A168,'State Income (2001-2004)'!$A$1:$D$190,MATCH($G$1,'State Income (2001-2004)'!$A$1:$D$1,0),FALSE)</f>
        <v>36120</v>
      </c>
    </row>
    <row r="169" spans="1:7" x14ac:dyDescent="0.3">
      <c r="A169" t="str">
        <f t="shared" si="2"/>
        <v>Indiana-2004</v>
      </c>
      <c r="B169" s="2" t="s">
        <v>18</v>
      </c>
      <c r="C169" s="2">
        <v>2004</v>
      </c>
      <c r="D169" s="6">
        <v>6537334</v>
      </c>
      <c r="E169" s="6">
        <v>261493.36000000002</v>
      </c>
      <c r="F169" s="34" t="str">
        <f>VLOOKUP(B169,'State Abbreviations'!$A$1:$B$52,MATCH($F$1,'State Abbreviations'!$A$1:$B$1,0),FALSE)</f>
        <v>IN</v>
      </c>
      <c r="G169" s="32">
        <f>VLOOKUP('Lookup Functions'!A169,'State Income (2001-2004)'!$A$1:$D$190,MATCH($G$1,'State Income (2001-2004)'!$A$1:$D$1,0),FALSE)</f>
        <v>31276</v>
      </c>
    </row>
    <row r="170" spans="1:7" x14ac:dyDescent="0.3">
      <c r="A170" t="str">
        <f t="shared" si="2"/>
        <v>Iowa-2004</v>
      </c>
      <c r="B170" s="2" t="s">
        <v>19</v>
      </c>
      <c r="C170" s="2">
        <v>2004</v>
      </c>
      <c r="D170" s="6">
        <v>3074186</v>
      </c>
      <c r="E170" s="6">
        <v>122967.44</v>
      </c>
      <c r="F170" s="34" t="str">
        <f>VLOOKUP(B170,'State Abbreviations'!$A$1:$B$52,MATCH($F$1,'State Abbreviations'!$A$1:$B$1,0),FALSE)</f>
        <v>IA</v>
      </c>
      <c r="G170" s="32">
        <f>VLOOKUP('Lookup Functions'!A170,'State Income (2001-2004)'!$A$1:$D$190,MATCH($G$1,'State Income (2001-2004)'!$A$1:$D$1,0),FALSE)</f>
        <v>32315</v>
      </c>
    </row>
    <row r="171" spans="1:7" x14ac:dyDescent="0.3">
      <c r="A171" t="str">
        <f t="shared" si="2"/>
        <v>Kansas-2004</v>
      </c>
      <c r="B171" s="2" t="s">
        <v>20</v>
      </c>
      <c r="C171" s="2">
        <v>2004</v>
      </c>
      <c r="D171" s="6">
        <v>2885905</v>
      </c>
      <c r="E171" s="6">
        <v>86577.15</v>
      </c>
      <c r="F171" s="34" t="str">
        <f>VLOOKUP(B171,'State Abbreviations'!$A$1:$B$52,MATCH($F$1,'State Abbreviations'!$A$1:$B$1,0),FALSE)</f>
        <v>KS</v>
      </c>
      <c r="G171" s="32">
        <f>VLOOKUP('Lookup Functions'!A171,'State Income (2001-2004)'!$A$1:$D$190,MATCH($G$1,'State Income (2001-2004)'!$A$1:$D$1,0),FALSE)</f>
        <v>32836</v>
      </c>
    </row>
    <row r="172" spans="1:7" x14ac:dyDescent="0.3">
      <c r="A172" t="str">
        <f t="shared" si="2"/>
        <v>Kentucky-2004</v>
      </c>
      <c r="B172" s="2" t="s">
        <v>21</v>
      </c>
      <c r="C172" s="2">
        <v>2004</v>
      </c>
      <c r="D172" s="6">
        <v>4380415</v>
      </c>
      <c r="E172" s="6">
        <v>175216.6</v>
      </c>
      <c r="F172" s="34" t="str">
        <f>VLOOKUP(B172,'State Abbreviations'!$A$1:$B$52,MATCH($F$1,'State Abbreviations'!$A$1:$B$1,0),FALSE)</f>
        <v>KY</v>
      </c>
      <c r="G172" s="32">
        <f>VLOOKUP('Lookup Functions'!A172,'State Income (2001-2004)'!$A$1:$D$190,MATCH($G$1,'State Income (2001-2004)'!$A$1:$D$1,0),FALSE)</f>
        <v>28513</v>
      </c>
    </row>
    <row r="173" spans="1:7" x14ac:dyDescent="0.3">
      <c r="A173" t="str">
        <f t="shared" si="2"/>
        <v>Louisiana-2004</v>
      </c>
      <c r="B173" s="2" t="s">
        <v>22</v>
      </c>
      <c r="C173" s="2">
        <v>2004</v>
      </c>
      <c r="D173" s="6">
        <v>4601893</v>
      </c>
      <c r="E173" s="6">
        <v>92037.86</v>
      </c>
      <c r="F173" s="34" t="str">
        <f>VLOOKUP(B173,'State Abbreviations'!$A$1:$B$52,MATCH($F$1,'State Abbreviations'!$A$1:$B$1,0),FALSE)</f>
        <v>LA</v>
      </c>
      <c r="G173" s="32">
        <f>VLOOKUP('Lookup Functions'!A173,'State Income (2001-2004)'!$A$1:$D$190,MATCH($G$1,'State Income (2001-2004)'!$A$1:$D$1,0),FALSE)</f>
        <v>24820</v>
      </c>
    </row>
    <row r="174" spans="1:7" x14ac:dyDescent="0.3">
      <c r="A174" t="str">
        <f t="shared" si="2"/>
        <v>Maine-2004</v>
      </c>
      <c r="B174" s="2" t="s">
        <v>23</v>
      </c>
      <c r="C174" s="2">
        <v>2004</v>
      </c>
      <c r="D174" s="6">
        <v>1329192</v>
      </c>
      <c r="E174" s="6">
        <v>39875.760000000002</v>
      </c>
      <c r="F174" s="34" t="str">
        <f>VLOOKUP(B174,'State Abbreviations'!$A$1:$B$52,MATCH($F$1,'State Abbreviations'!$A$1:$B$1,0),FALSE)</f>
        <v>ME</v>
      </c>
      <c r="G174" s="32">
        <f>VLOOKUP('Lookup Functions'!A174,'State Income (2001-2004)'!$A$1:$D$190,MATCH($G$1,'State Income (2001-2004)'!$A$1:$D$1,0),FALSE)</f>
        <v>31252</v>
      </c>
    </row>
    <row r="175" spans="1:7" x14ac:dyDescent="0.3">
      <c r="A175" t="str">
        <f t="shared" si="2"/>
        <v>Maryland-2004</v>
      </c>
      <c r="B175" s="2" t="s">
        <v>24</v>
      </c>
      <c r="C175" s="2">
        <v>2004</v>
      </c>
      <c r="D175" s="6">
        <v>5884563</v>
      </c>
      <c r="E175" s="6">
        <v>235382.52000000002</v>
      </c>
      <c r="F175" s="34" t="str">
        <f>VLOOKUP(B175,'State Abbreviations'!$A$1:$B$52,MATCH($F$1,'State Abbreviations'!$A$1:$B$1,0),FALSE)</f>
        <v>MD</v>
      </c>
      <c r="G175" s="32">
        <f>VLOOKUP('Lookup Functions'!A175,'State Income (2001-2004)'!$A$1:$D$190,MATCH($G$1,'State Income (2001-2004)'!$A$1:$D$1,0),FALSE)</f>
        <v>41760</v>
      </c>
    </row>
    <row r="176" spans="1:7" x14ac:dyDescent="0.3">
      <c r="A176" t="str">
        <f t="shared" si="2"/>
        <v>Massachusetts-2004</v>
      </c>
      <c r="B176" s="2" t="s">
        <v>25</v>
      </c>
      <c r="C176" s="2">
        <v>2004</v>
      </c>
      <c r="D176" s="6">
        <v>6646144</v>
      </c>
      <c r="E176" s="6">
        <v>265845.76000000001</v>
      </c>
      <c r="F176" s="34" t="str">
        <f>VLOOKUP(B176,'State Abbreviations'!$A$1:$B$52,MATCH($F$1,'State Abbreviations'!$A$1:$B$1,0),FALSE)</f>
        <v>MA</v>
      </c>
      <c r="G176" s="32">
        <f>VLOOKUP('Lookup Functions'!A176,'State Income (2001-2004)'!$A$1:$D$190,MATCH($G$1,'State Income (2001-2004)'!$A$1:$D$1,0),FALSE)</f>
        <v>44289</v>
      </c>
    </row>
    <row r="177" spans="1:7" x14ac:dyDescent="0.3">
      <c r="A177" t="str">
        <f t="shared" si="2"/>
        <v>Michigan-2004</v>
      </c>
      <c r="B177" s="2" t="s">
        <v>26</v>
      </c>
      <c r="C177" s="2">
        <v>2004</v>
      </c>
      <c r="D177" s="6">
        <v>9883360</v>
      </c>
      <c r="E177" s="6">
        <v>296500.8</v>
      </c>
      <c r="F177" s="34" t="str">
        <f>VLOOKUP(B177,'State Abbreviations'!$A$1:$B$52,MATCH($F$1,'State Abbreviations'!$A$1:$B$1,0),FALSE)</f>
        <v>MI</v>
      </c>
      <c r="G177" s="32">
        <f>VLOOKUP('Lookup Functions'!A177,'State Income (2001-2004)'!$A$1:$D$190,MATCH($G$1,'State Income (2001-2004)'!$A$1:$D$1,0),FALSE)</f>
        <v>33116</v>
      </c>
    </row>
    <row r="178" spans="1:7" x14ac:dyDescent="0.3">
      <c r="A178" t="str">
        <f t="shared" si="2"/>
        <v>Minnesota-2004</v>
      </c>
      <c r="B178" s="2" t="s">
        <v>27</v>
      </c>
      <c r="C178" s="2">
        <v>2004</v>
      </c>
      <c r="D178" s="6">
        <v>5379139</v>
      </c>
      <c r="E178" s="6">
        <v>107582.78</v>
      </c>
      <c r="F178" s="34" t="str">
        <f>VLOOKUP(B178,'State Abbreviations'!$A$1:$B$52,MATCH($F$1,'State Abbreviations'!$A$1:$B$1,0),FALSE)</f>
        <v>MN</v>
      </c>
      <c r="G178" s="32">
        <f>VLOOKUP('Lookup Functions'!A178,'State Income (2001-2004)'!$A$1:$D$190,MATCH($G$1,'State Income (2001-2004)'!$A$1:$D$1,0),FALSE)</f>
        <v>37373</v>
      </c>
    </row>
    <row r="179" spans="1:7" x14ac:dyDescent="0.3">
      <c r="A179" t="str">
        <f t="shared" si="2"/>
        <v>Mississippi-2004</v>
      </c>
      <c r="B179" s="2" t="s">
        <v>28</v>
      </c>
      <c r="C179" s="2">
        <v>2004</v>
      </c>
      <c r="D179" s="6">
        <v>2984926</v>
      </c>
      <c r="E179" s="6">
        <v>119397.04000000001</v>
      </c>
      <c r="F179" s="34" t="str">
        <f>VLOOKUP(B179,'State Abbreviations'!$A$1:$B$52,MATCH($F$1,'State Abbreviations'!$A$1:$B$1,0),FALSE)</f>
        <v>MS</v>
      </c>
      <c r="G179" s="32">
        <f>VLOOKUP('Lookup Functions'!A179,'State Income (2001-2004)'!$A$1:$D$190,MATCH($G$1,'State Income (2001-2004)'!$A$1:$D$1,0),FALSE)</f>
        <v>25318</v>
      </c>
    </row>
    <row r="180" spans="1:7" x14ac:dyDescent="0.3">
      <c r="A180" t="str">
        <f t="shared" si="2"/>
        <v>Missouri-2004</v>
      </c>
      <c r="B180" s="2" t="s">
        <v>29</v>
      </c>
      <c r="C180" s="2">
        <v>2004</v>
      </c>
      <c r="D180" s="6">
        <v>6021988</v>
      </c>
      <c r="E180" s="6">
        <v>120439.76000000001</v>
      </c>
      <c r="F180" s="34" t="str">
        <f>VLOOKUP(B180,'State Abbreviations'!$A$1:$B$52,MATCH($F$1,'State Abbreviations'!$A$1:$B$1,0),FALSE)</f>
        <v>MO</v>
      </c>
      <c r="G180" s="32">
        <f>VLOOKUP('Lookup Functions'!A180,'State Income (2001-2004)'!$A$1:$D$190,MATCH($G$1,'State Income (2001-2004)'!$A$1:$D$1,0),FALSE)</f>
        <v>31899</v>
      </c>
    </row>
    <row r="181" spans="1:7" x14ac:dyDescent="0.3">
      <c r="A181" t="str">
        <f t="shared" si="2"/>
        <v>Montana-2004</v>
      </c>
      <c r="B181" s="2" t="s">
        <v>30</v>
      </c>
      <c r="C181" s="2">
        <v>2004</v>
      </c>
      <c r="D181" s="6">
        <v>1005141</v>
      </c>
      <c r="E181" s="6">
        <v>40205.64</v>
      </c>
      <c r="F181" s="34" t="str">
        <f>VLOOKUP(B181,'State Abbreviations'!$A$1:$B$52,MATCH($F$1,'State Abbreviations'!$A$1:$B$1,0),FALSE)</f>
        <v>MT</v>
      </c>
      <c r="G181" s="32">
        <f>VLOOKUP('Lookup Functions'!A181,'State Income (2001-2004)'!$A$1:$D$190,MATCH($G$1,'State Income (2001-2004)'!$A$1:$D$1,0),FALSE)</f>
        <v>29387</v>
      </c>
    </row>
    <row r="182" spans="1:7" x14ac:dyDescent="0.3">
      <c r="A182" t="str">
        <f t="shared" si="2"/>
        <v>Nebraska-2004</v>
      </c>
      <c r="B182" s="2" t="s">
        <v>31</v>
      </c>
      <c r="C182" s="2">
        <v>2004</v>
      </c>
      <c r="D182" s="6">
        <v>1855525</v>
      </c>
      <c r="E182" s="6">
        <v>55665.75</v>
      </c>
      <c r="F182" s="34" t="str">
        <f>VLOOKUP(B182,'State Abbreviations'!$A$1:$B$52,MATCH($F$1,'State Abbreviations'!$A$1:$B$1,0),FALSE)</f>
        <v>NE</v>
      </c>
      <c r="G182" s="32">
        <f>VLOOKUP('Lookup Functions'!A182,'State Income (2001-2004)'!$A$1:$D$190,MATCH($G$1,'State Income (2001-2004)'!$A$1:$D$1,0),FALSE)</f>
        <v>33616</v>
      </c>
    </row>
    <row r="183" spans="1:7" x14ac:dyDescent="0.3">
      <c r="A183" t="str">
        <f t="shared" si="2"/>
        <v>Nevada-2004</v>
      </c>
      <c r="B183" s="2" t="s">
        <v>32</v>
      </c>
      <c r="C183" s="2">
        <v>2004</v>
      </c>
      <c r="D183" s="6">
        <v>2758931</v>
      </c>
      <c r="E183" s="6">
        <v>110357.24</v>
      </c>
      <c r="F183" s="34" t="str">
        <f>VLOOKUP(B183,'State Abbreviations'!$A$1:$B$52,MATCH($F$1,'State Abbreviations'!$A$1:$B$1,0),FALSE)</f>
        <v>NV</v>
      </c>
      <c r="G183" s="32" t="s">
        <v>3548</v>
      </c>
    </row>
    <row r="184" spans="1:7" x14ac:dyDescent="0.3">
      <c r="A184" t="str">
        <f t="shared" si="2"/>
        <v>New Hampshire-2004</v>
      </c>
      <c r="B184" s="2" t="s">
        <v>33</v>
      </c>
      <c r="C184" s="2">
        <v>2004</v>
      </c>
      <c r="D184" s="6">
        <v>1320718</v>
      </c>
      <c r="E184" s="6">
        <v>52828.72</v>
      </c>
      <c r="F184" s="34" t="str">
        <f>VLOOKUP(B184,'State Abbreviations'!$A$1:$B$52,MATCH($F$1,'State Abbreviations'!$A$1:$B$1,0),FALSE)</f>
        <v>NH</v>
      </c>
      <c r="G184" s="32">
        <f>VLOOKUP('Lookup Functions'!A184,'State Income (2001-2004)'!$A$1:$D$190,MATCH($G$1,'State Income (2001-2004)'!$A$1:$D$1,0),FALSE)</f>
        <v>38408</v>
      </c>
    </row>
    <row r="185" spans="1:7" x14ac:dyDescent="0.3">
      <c r="A185" t="str">
        <f t="shared" si="2"/>
        <v>New Jersey-2004</v>
      </c>
      <c r="B185" s="2" t="s">
        <v>34</v>
      </c>
      <c r="C185" s="2">
        <v>2004</v>
      </c>
      <c r="D185" s="6">
        <v>8864590</v>
      </c>
      <c r="E185" s="6">
        <v>177291.80000000002</v>
      </c>
      <c r="F185" s="34" t="str">
        <f>VLOOKUP(B185,'State Abbreviations'!$A$1:$B$52,MATCH($F$1,'State Abbreviations'!$A$1:$B$1,0),FALSE)</f>
        <v>NJ</v>
      </c>
      <c r="G185" s="32" t="s">
        <v>3548</v>
      </c>
    </row>
    <row r="186" spans="1:7" x14ac:dyDescent="0.3">
      <c r="A186" t="str">
        <f t="shared" si="2"/>
        <v>New Mexico-2004</v>
      </c>
      <c r="B186" s="2" t="s">
        <v>35</v>
      </c>
      <c r="C186" s="2">
        <v>2004</v>
      </c>
      <c r="D186" s="6">
        <v>2085538</v>
      </c>
      <c r="E186" s="6">
        <v>83421.52</v>
      </c>
      <c r="F186" s="34" t="str">
        <f>VLOOKUP(B186,'State Abbreviations'!$A$1:$B$52,MATCH($F$1,'State Abbreviations'!$A$1:$B$1,0),FALSE)</f>
        <v>NM</v>
      </c>
      <c r="G186" s="32">
        <f>VLOOKUP('Lookup Functions'!A186,'State Income (2001-2004)'!$A$1:$D$190,MATCH($G$1,'State Income (2001-2004)'!$A$1:$D$1,0),FALSE)</f>
        <v>27644</v>
      </c>
    </row>
    <row r="187" spans="1:7" x14ac:dyDescent="0.3">
      <c r="A187" t="str">
        <f t="shared" si="2"/>
        <v>New York-2004</v>
      </c>
      <c r="B187" s="2" t="s">
        <v>36</v>
      </c>
      <c r="C187" s="2">
        <v>2004</v>
      </c>
      <c r="D187" s="6">
        <v>19570261</v>
      </c>
      <c r="E187" s="6">
        <v>587107.82999999996</v>
      </c>
      <c r="F187" s="34" t="str">
        <f>VLOOKUP(B187,'State Abbreviations'!$A$1:$B$52,MATCH($F$1,'State Abbreviations'!$A$1:$B$1,0),FALSE)</f>
        <v>NY</v>
      </c>
      <c r="G187" s="32" t="s">
        <v>3548</v>
      </c>
    </row>
    <row r="188" spans="1:7" x14ac:dyDescent="0.3">
      <c r="A188" t="str">
        <f t="shared" si="2"/>
        <v>North Carolina-2004</v>
      </c>
      <c r="B188" s="2" t="s">
        <v>37</v>
      </c>
      <c r="C188" s="2">
        <v>2004</v>
      </c>
      <c r="D188" s="6">
        <v>9752073</v>
      </c>
      <c r="E188" s="6">
        <v>195041.46</v>
      </c>
      <c r="F188" s="34" t="str">
        <f>VLOOKUP(B188,'State Abbreviations'!$A$1:$B$52,MATCH($F$1,'State Abbreviations'!$A$1:$B$1,0),FALSE)</f>
        <v>NC</v>
      </c>
      <c r="G188" s="32">
        <f>VLOOKUP('Lookup Functions'!A188,'State Income (2001-2004)'!$A$1:$D$190,MATCH($G$1,'State Income (2001-2004)'!$A$1:$D$1,0),FALSE)</f>
        <v>30553</v>
      </c>
    </row>
    <row r="189" spans="1:7" x14ac:dyDescent="0.3">
      <c r="A189" t="str">
        <f t="shared" si="2"/>
        <v>North Dakota-2004</v>
      </c>
      <c r="B189" s="2" t="s">
        <v>38</v>
      </c>
      <c r="C189" s="2">
        <v>2004</v>
      </c>
      <c r="D189" s="6">
        <v>699628</v>
      </c>
      <c r="E189" s="6">
        <v>27985.119999999999</v>
      </c>
      <c r="F189" s="34" t="str">
        <f>VLOOKUP(B189,'State Abbreviations'!$A$1:$B$52,MATCH($F$1,'State Abbreviations'!$A$1:$B$1,0),FALSE)</f>
        <v>ND</v>
      </c>
      <c r="G189" s="32">
        <f>VLOOKUP('Lookup Functions'!A189,'State Income (2001-2004)'!$A$1:$D$190,MATCH($G$1,'State Income (2001-2004)'!$A$1:$D$1,0),FALSE)</f>
        <v>31395</v>
      </c>
    </row>
    <row r="190" spans="1:7" x14ac:dyDescent="0.3">
      <c r="A190" t="str">
        <f t="shared" si="2"/>
        <v>Ohio-2004</v>
      </c>
      <c r="B190" s="2" t="s">
        <v>39</v>
      </c>
      <c r="C190" s="2">
        <v>2004</v>
      </c>
      <c r="D190" s="6">
        <v>11544225</v>
      </c>
      <c r="E190" s="6">
        <v>230884.5</v>
      </c>
      <c r="F190" s="34" t="str">
        <f>VLOOKUP(B190,'State Abbreviations'!$A$1:$B$52,MATCH($F$1,'State Abbreviations'!$A$1:$B$1,0),FALSE)</f>
        <v>OH</v>
      </c>
      <c r="G190" s="32">
        <f>VLOOKUP('Lookup Functions'!A190,'State Income (2001-2004)'!$A$1:$D$190,MATCH($G$1,'State Income (2001-2004)'!$A$1:$D$1,0),FALSE)</f>
        <v>32478</v>
      </c>
    </row>
    <row r="191" spans="1:7" x14ac:dyDescent="0.3">
      <c r="A191" t="str">
        <f t="shared" si="2"/>
        <v>Oklahoma-2004</v>
      </c>
      <c r="B191" s="2" t="s">
        <v>40</v>
      </c>
      <c r="C191" s="2">
        <v>2004</v>
      </c>
      <c r="D191" s="6">
        <v>3814820</v>
      </c>
      <c r="E191" s="6">
        <v>152592.80000000002</v>
      </c>
      <c r="F191" s="34" t="str">
        <f>VLOOKUP(B191,'State Abbreviations'!$A$1:$B$52,MATCH($F$1,'State Abbreviations'!$A$1:$B$1,0),FALSE)</f>
        <v>OK</v>
      </c>
      <c r="G191" s="32">
        <f>VLOOKUP('Lookup Functions'!A191,'State Income (2001-2004)'!$A$1:$D$190,MATCH($G$1,'State Income (2001-2004)'!$A$1:$D$1,0),FALSE)</f>
        <v>29330</v>
      </c>
    </row>
    <row r="192" spans="1:7" x14ac:dyDescent="0.3">
      <c r="A192" t="str">
        <f t="shared" si="2"/>
        <v>Oregon-2004</v>
      </c>
      <c r="B192" s="2" t="s">
        <v>41</v>
      </c>
      <c r="C192" s="2">
        <v>2004</v>
      </c>
      <c r="D192" s="6">
        <v>3899353</v>
      </c>
      <c r="E192" s="6">
        <v>77987.06</v>
      </c>
      <c r="F192" s="34" t="str">
        <f>VLOOKUP(B192,'State Abbreviations'!$A$1:$B$52,MATCH($F$1,'State Abbreviations'!$A$1:$B$1,0),FALSE)</f>
        <v>OR</v>
      </c>
      <c r="G192" s="32">
        <f>VLOOKUP('Lookup Functions'!A192,'State Income (2001-2004)'!$A$1:$D$190,MATCH($G$1,'State Income (2001-2004)'!$A$1:$D$1,0),FALSE)</f>
        <v>32103</v>
      </c>
    </row>
    <row r="193" spans="1:7" x14ac:dyDescent="0.3">
      <c r="A193" t="str">
        <f t="shared" si="2"/>
        <v>Pennsylvania-2004</v>
      </c>
      <c r="B193" s="2" t="s">
        <v>42</v>
      </c>
      <c r="C193" s="2">
        <v>2004</v>
      </c>
      <c r="D193" s="6">
        <v>12763536</v>
      </c>
      <c r="E193" s="6">
        <v>382906.07999999996</v>
      </c>
      <c r="F193" s="34" t="str">
        <f>VLOOKUP(B193,'State Abbreviations'!$A$1:$B$52,MATCH($F$1,'State Abbreviations'!$A$1:$B$1,0),FALSE)</f>
        <v>PA</v>
      </c>
      <c r="G193" s="32">
        <f>VLOOKUP('Lookup Functions'!A193,'State Income (2001-2004)'!$A$1:$D$190,MATCH($G$1,'State Income (2001-2004)'!$A$1:$D$1,0),FALSE)</f>
        <v>34897</v>
      </c>
    </row>
    <row r="194" spans="1:7" x14ac:dyDescent="0.3">
      <c r="A194" t="str">
        <f t="shared" si="2"/>
        <v>Rhode Island-2004</v>
      </c>
      <c r="B194" s="2" t="s">
        <v>43</v>
      </c>
      <c r="C194" s="2">
        <v>2004</v>
      </c>
      <c r="D194" s="6">
        <v>1050292</v>
      </c>
      <c r="E194" s="6">
        <v>31508.76</v>
      </c>
      <c r="F194" s="34" t="str">
        <f>VLOOKUP(B194,'State Abbreviations'!$A$1:$B$52,MATCH($F$1,'State Abbreviations'!$A$1:$B$1,0),FALSE)</f>
        <v>RI</v>
      </c>
      <c r="G194" s="32">
        <f>VLOOKUP('Lookup Functions'!A194,'State Income (2001-2004)'!$A$1:$D$190,MATCH($G$1,'State Income (2001-2004)'!$A$1:$D$1,0),FALSE)</f>
        <v>36153</v>
      </c>
    </row>
    <row r="195" spans="1:7" x14ac:dyDescent="0.3">
      <c r="A195" t="str">
        <f t="shared" ref="A195:A205" si="3">B195&amp;"-"&amp;C195</f>
        <v>South Carolina-2004</v>
      </c>
      <c r="B195" s="2" t="s">
        <v>44</v>
      </c>
      <c r="C195" s="2">
        <v>2004</v>
      </c>
      <c r="D195" s="6">
        <v>4723723</v>
      </c>
      <c r="E195" s="6">
        <v>141711.69</v>
      </c>
      <c r="F195" s="34" t="str">
        <f>VLOOKUP(B195,'State Abbreviations'!$A$1:$B$52,MATCH($F$1,'State Abbreviations'!$A$1:$B$1,0),FALSE)</f>
        <v>SC</v>
      </c>
      <c r="G195" s="32">
        <f>VLOOKUP('Lookup Functions'!A195,'State Income (2001-2004)'!$A$1:$D$190,MATCH($G$1,'State Income (2001-2004)'!$A$1:$D$1,0),FALSE)</f>
        <v>28352</v>
      </c>
    </row>
    <row r="196" spans="1:7" x14ac:dyDescent="0.3">
      <c r="A196" t="str">
        <f t="shared" si="3"/>
        <v>South Dakota-2004</v>
      </c>
      <c r="B196" s="2" t="s">
        <v>45</v>
      </c>
      <c r="C196" s="2">
        <v>2004</v>
      </c>
      <c r="D196" s="6">
        <v>833354</v>
      </c>
      <c r="E196" s="6">
        <v>33334.160000000003</v>
      </c>
      <c r="F196" s="34" t="str">
        <f>VLOOKUP(B196,'State Abbreviations'!$A$1:$B$52,MATCH($F$1,'State Abbreviations'!$A$1:$B$1,0),FALSE)</f>
        <v>SD</v>
      </c>
      <c r="G196" s="32">
        <f>VLOOKUP('Lookup Functions'!A196,'State Income (2001-2004)'!$A$1:$D$190,MATCH($G$1,'State Income (2001-2004)'!$A$1:$D$1,0),FALSE)</f>
        <v>31614</v>
      </c>
    </row>
    <row r="197" spans="1:7" x14ac:dyDescent="0.3">
      <c r="A197" t="str">
        <f t="shared" si="3"/>
        <v>Tennessee-2004</v>
      </c>
      <c r="B197" s="2" t="s">
        <v>46</v>
      </c>
      <c r="C197" s="2">
        <v>2004</v>
      </c>
      <c r="D197" s="6">
        <v>6456243</v>
      </c>
      <c r="E197" s="6">
        <v>258249.72</v>
      </c>
      <c r="F197" s="34" t="str">
        <f>VLOOKUP(B197,'State Abbreviations'!$A$1:$B$52,MATCH($F$1,'State Abbreviations'!$A$1:$B$1,0),FALSE)</f>
        <v>TN</v>
      </c>
      <c r="G197" s="32">
        <f>VLOOKUP('Lookup Functions'!A197,'State Income (2001-2004)'!$A$1:$D$190,MATCH($G$1,'State Income (2001-2004)'!$A$1:$D$1,0),FALSE)</f>
        <v>31107</v>
      </c>
    </row>
    <row r="198" spans="1:7" x14ac:dyDescent="0.3">
      <c r="A198" t="str">
        <f t="shared" si="3"/>
        <v>Texas-2004</v>
      </c>
      <c r="B198" s="2" t="s">
        <v>47</v>
      </c>
      <c r="C198" s="2">
        <v>2004</v>
      </c>
      <c r="D198" s="6">
        <v>26059203</v>
      </c>
      <c r="E198" s="6">
        <v>1042368.12</v>
      </c>
      <c r="F198" s="34" t="str">
        <f>VLOOKUP(B198,'State Abbreviations'!$A$1:$B$52,MATCH($F$1,'State Abbreviations'!$A$1:$B$1,0),FALSE)</f>
        <v>TX</v>
      </c>
      <c r="G198" s="32">
        <f>VLOOKUP('Lookup Functions'!A198,'State Income (2001-2004)'!$A$1:$D$190,MATCH($G$1,'State Income (2001-2004)'!$A$1:$D$1,0),FALSE)</f>
        <v>32462</v>
      </c>
    </row>
    <row r="199" spans="1:7" x14ac:dyDescent="0.3">
      <c r="A199" t="str">
        <f t="shared" si="3"/>
        <v>Utah-2004</v>
      </c>
      <c r="B199" s="2" t="s">
        <v>48</v>
      </c>
      <c r="C199" s="2">
        <v>2004</v>
      </c>
      <c r="D199" s="6">
        <v>2855287</v>
      </c>
      <c r="E199" s="6">
        <v>114211.48</v>
      </c>
      <c r="F199" s="34" t="str">
        <f>VLOOKUP(B199,'State Abbreviations'!$A$1:$B$52,MATCH($F$1,'State Abbreviations'!$A$1:$B$1,0),FALSE)</f>
        <v>UT</v>
      </c>
      <c r="G199" s="32" t="s">
        <v>3548</v>
      </c>
    </row>
    <row r="200" spans="1:7" x14ac:dyDescent="0.3">
      <c r="A200" t="str">
        <f t="shared" si="3"/>
        <v>Vermont-2004</v>
      </c>
      <c r="B200" s="2" t="s">
        <v>49</v>
      </c>
      <c r="C200" s="2">
        <v>2004</v>
      </c>
      <c r="D200" s="6">
        <v>626011</v>
      </c>
      <c r="E200" s="6">
        <v>25040.440000000002</v>
      </c>
      <c r="F200" s="34" t="str">
        <f>VLOOKUP(B200,'State Abbreviations'!$A$1:$B$52,MATCH($F$1,'State Abbreviations'!$A$1:$B$1,0),FALSE)</f>
        <v>VT</v>
      </c>
      <c r="G200" s="32">
        <f>VLOOKUP('Lookup Functions'!A200,'State Income (2001-2004)'!$A$1:$D$190,MATCH($G$1,'State Income (2001-2004)'!$A$1:$D$1,0),FALSE)</f>
        <v>33327</v>
      </c>
    </row>
    <row r="201" spans="1:7" x14ac:dyDescent="0.3">
      <c r="A201" t="str">
        <f t="shared" si="3"/>
        <v>Virginia-2004</v>
      </c>
      <c r="B201" s="2" t="s">
        <v>50</v>
      </c>
      <c r="C201" s="2">
        <v>2004</v>
      </c>
      <c r="D201" s="6">
        <v>8185867</v>
      </c>
      <c r="E201" s="6">
        <v>163717.34</v>
      </c>
      <c r="F201" s="34" t="str">
        <f>VLOOKUP(B201,'State Abbreviations'!$A$1:$B$52,MATCH($F$1,'State Abbreviations'!$A$1:$B$1,0),FALSE)</f>
        <v>VA</v>
      </c>
      <c r="G201" s="32">
        <f>VLOOKUP('Lookup Functions'!A201,'State Income (2001-2004)'!$A$1:$D$190,MATCH($G$1,'State Income (2001-2004)'!$A$1:$D$1,0),FALSE)</f>
        <v>38390</v>
      </c>
    </row>
    <row r="202" spans="1:7" x14ac:dyDescent="0.3">
      <c r="A202" t="str">
        <f t="shared" si="3"/>
        <v>Washington-2004</v>
      </c>
      <c r="B202" s="2" t="s">
        <v>51</v>
      </c>
      <c r="C202" s="2">
        <v>2004</v>
      </c>
      <c r="D202" s="6">
        <v>6897012</v>
      </c>
      <c r="E202" s="6">
        <v>137940.24</v>
      </c>
      <c r="F202" s="34" t="str">
        <f>VLOOKUP(B202,'State Abbreviations'!$A$1:$B$52,MATCH($F$1,'State Abbreviations'!$A$1:$B$1,0),FALSE)</f>
        <v>WA</v>
      </c>
      <c r="G202" s="32">
        <f>VLOOKUP('Lookup Functions'!A202,'State Income (2001-2004)'!$A$1:$D$190,MATCH($G$1,'State Income (2001-2004)'!$A$1:$D$1,0),FALSE)</f>
        <v>35409</v>
      </c>
    </row>
    <row r="203" spans="1:7" x14ac:dyDescent="0.3">
      <c r="A203" t="str">
        <f t="shared" si="3"/>
        <v>West Virginia-2004</v>
      </c>
      <c r="B203" s="2" t="s">
        <v>52</v>
      </c>
      <c r="C203" s="2">
        <v>2004</v>
      </c>
      <c r="D203" s="6">
        <v>1855413</v>
      </c>
      <c r="E203" s="6">
        <v>74216.52</v>
      </c>
      <c r="F203" s="34" t="str">
        <f>VLOOKUP(B203,'State Abbreviations'!$A$1:$B$52,MATCH($F$1,'State Abbreviations'!$A$1:$B$1,0),FALSE)</f>
        <v>WV</v>
      </c>
      <c r="G203" s="32">
        <f>VLOOKUP('Lookup Functions'!A203,'State Income (2001-2004)'!$A$1:$D$190,MATCH($G$1,'State Income (2001-2004)'!$A$1:$D$1,0),FALSE)</f>
        <v>27215</v>
      </c>
    </row>
    <row r="204" spans="1:7" x14ac:dyDescent="0.3">
      <c r="A204" t="str">
        <f t="shared" si="3"/>
        <v>Wisconsin-2004</v>
      </c>
      <c r="B204" s="2" t="s">
        <v>53</v>
      </c>
      <c r="C204" s="2">
        <v>2004</v>
      </c>
      <c r="D204" s="6">
        <v>5726398</v>
      </c>
      <c r="E204" s="6">
        <v>114527.96</v>
      </c>
      <c r="F204" s="34" t="str">
        <f>VLOOKUP(B204,'State Abbreviations'!$A$1:$B$52,MATCH($F$1,'State Abbreviations'!$A$1:$B$1,0),FALSE)</f>
        <v>WI</v>
      </c>
      <c r="G204" s="32">
        <f>VLOOKUP('Lookup Functions'!A204,'State Income (2001-2004)'!$A$1:$D$190,MATCH($G$1,'State Income (2001-2004)'!$A$1:$D$1,0),FALSE)</f>
        <v>33565</v>
      </c>
    </row>
    <row r="205" spans="1:7" x14ac:dyDescent="0.3">
      <c r="A205" t="str">
        <f t="shared" si="3"/>
        <v>Wyoming-2004</v>
      </c>
      <c r="B205" s="2" t="s">
        <v>54</v>
      </c>
      <c r="C205" s="2">
        <v>2004</v>
      </c>
      <c r="D205" s="6">
        <v>576412</v>
      </c>
      <c r="E205" s="6">
        <v>11528.24</v>
      </c>
      <c r="F205" s="34" t="str">
        <f>VLOOKUP(B205,'State Abbreviations'!$A$1:$B$52,MATCH($F$1,'State Abbreviations'!$A$1:$B$1,0),FALSE)</f>
        <v>WY</v>
      </c>
      <c r="G205" s="32">
        <f>VLOOKUP('Lookup Functions'!A205,'State Income (2001-2004)'!$A$1:$D$190,MATCH($G$1,'State Income (2001-2004)'!$A$1:$D$1,0),FALSE)</f>
        <v>36778</v>
      </c>
    </row>
  </sheetData>
  <pageMargins left="0.7" right="0.7" top="0.75" bottom="0.75" header="0.3" footer="0.3"/>
  <drawing r:id="rId1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54037-DD83-4961-BB6B-CC3570169D76}">
  <sheetPr>
    <tabColor rgb="FF002060"/>
  </sheetPr>
  <dimension ref="A1:M46"/>
  <sheetViews>
    <sheetView workbookViewId="0">
      <selection activeCell="A4" sqref="A4"/>
    </sheetView>
  </sheetViews>
  <sheetFormatPr defaultColWidth="9.21875" defaultRowHeight="14.4" x14ac:dyDescent="0.3"/>
  <cols>
    <col min="1" max="1" width="9.5546875" style="49" customWidth="1"/>
    <col min="2" max="2" width="13.21875" style="49" customWidth="1"/>
    <col min="3" max="3" width="14.77734375" style="49" customWidth="1"/>
    <col min="4" max="4" width="9.21875" style="49"/>
    <col min="5" max="5" width="11.21875" style="49" customWidth="1"/>
    <col min="6" max="6" width="10.44140625" style="49" bestFit="1" customWidth="1"/>
    <col min="7" max="7" width="11.21875" style="49" customWidth="1"/>
    <col min="8" max="8" width="10.21875" style="49" bestFit="1" customWidth="1"/>
    <col min="9" max="9" width="9.21875" style="49" bestFit="1" customWidth="1"/>
    <col min="10" max="16384" width="9.21875" style="49"/>
  </cols>
  <sheetData>
    <row r="1" spans="1:9" ht="15" thickBot="1" x14ac:dyDescent="0.35">
      <c r="A1" s="121" t="s">
        <v>3450</v>
      </c>
      <c r="B1" s="121"/>
      <c r="C1" s="121"/>
      <c r="D1" s="121"/>
      <c r="E1" s="121"/>
    </row>
    <row r="2" spans="1:9" ht="15.6" thickTop="1" thickBot="1" x14ac:dyDescent="0.35">
      <c r="A2" s="121"/>
      <c r="B2" s="121"/>
      <c r="C2" s="121"/>
      <c r="D2" s="121"/>
      <c r="E2" s="121"/>
    </row>
    <row r="3" spans="1:9" ht="15" thickTop="1" x14ac:dyDescent="0.3">
      <c r="A3" s="64" t="s">
        <v>3448</v>
      </c>
      <c r="B3" s="64" t="s">
        <v>3320</v>
      </c>
      <c r="C3" s="64" t="s">
        <v>3323</v>
      </c>
      <c r="D3" s="64" t="s">
        <v>3447</v>
      </c>
      <c r="E3" s="64" t="s">
        <v>3443</v>
      </c>
    </row>
    <row r="4" spans="1:9" x14ac:dyDescent="0.3">
      <c r="A4" s="66">
        <v>1284</v>
      </c>
      <c r="B4" s="65" t="str">
        <f>VLOOKUP($A$4,$A$9:$I$46,MATCH(B3,$A$9:$I$9,0),FALSE)</f>
        <v>Bellwood</v>
      </c>
      <c r="C4" s="65" t="str">
        <f>VLOOKUP($A$4,$A$9:$I$46,MATCH(C3,$A$9:$I$9,0),FALSE)</f>
        <v>Frank</v>
      </c>
      <c r="D4" s="65" t="str">
        <f>VLOOKUP($A$4,$A$9:$I$46,MATCH(D3,$A$9:$I$9,0),FALSE)</f>
        <v>MK</v>
      </c>
      <c r="E4" s="67">
        <f>VLOOKUP($A$4,$A$9:$I$46,MATCH(E3,$A$9:$I$9,0),FALSE)</f>
        <v>12.3</v>
      </c>
    </row>
    <row r="7" spans="1:9" ht="15.75" customHeight="1" x14ac:dyDescent="0.3">
      <c r="A7" s="122" t="s">
        <v>3449</v>
      </c>
      <c r="B7" s="122"/>
      <c r="C7" s="122"/>
      <c r="D7" s="122"/>
      <c r="E7" s="122"/>
      <c r="F7" s="122"/>
      <c r="G7" s="122"/>
      <c r="H7" s="122"/>
      <c r="I7" s="122"/>
    </row>
    <row r="8" spans="1:9" ht="16.5" customHeight="1" thickBot="1" x14ac:dyDescent="0.35">
      <c r="A8" s="121"/>
      <c r="B8" s="121"/>
      <c r="C8" s="121"/>
      <c r="D8" s="121"/>
      <c r="E8" s="121"/>
      <c r="F8" s="121"/>
      <c r="G8" s="121"/>
      <c r="H8" s="121"/>
      <c r="I8" s="121"/>
    </row>
    <row r="9" spans="1:9" ht="15" thickTop="1" x14ac:dyDescent="0.3">
      <c r="A9" s="64" t="s">
        <v>3448</v>
      </c>
      <c r="B9" s="64" t="s">
        <v>3320</v>
      </c>
      <c r="C9" s="64" t="s">
        <v>3323</v>
      </c>
      <c r="D9" s="64" t="s">
        <v>3447</v>
      </c>
      <c r="E9" s="64" t="s">
        <v>3313</v>
      </c>
      <c r="F9" s="64" t="s">
        <v>3446</v>
      </c>
      <c r="G9" s="64" t="s">
        <v>3445</v>
      </c>
      <c r="H9" s="64" t="s">
        <v>3444</v>
      </c>
      <c r="I9" s="64" t="s">
        <v>3443</v>
      </c>
    </row>
    <row r="10" spans="1:9" x14ac:dyDescent="0.3">
      <c r="A10" s="63">
        <v>1054</v>
      </c>
      <c r="B10" s="63" t="s">
        <v>3356</v>
      </c>
      <c r="C10" s="63" t="s">
        <v>3442</v>
      </c>
      <c r="D10" s="63" t="s">
        <v>3342</v>
      </c>
      <c r="E10" s="63" t="s">
        <v>3441</v>
      </c>
      <c r="F10" s="63">
        <v>148</v>
      </c>
      <c r="G10" s="63" t="s">
        <v>3340</v>
      </c>
      <c r="H10" s="62">
        <v>38092.25</v>
      </c>
      <c r="I10" s="61">
        <v>11.25</v>
      </c>
    </row>
    <row r="11" spans="1:9" x14ac:dyDescent="0.3">
      <c r="A11" s="63">
        <v>1056</v>
      </c>
      <c r="B11" s="63" t="s">
        <v>3440</v>
      </c>
      <c r="C11" s="63" t="s">
        <v>3439</v>
      </c>
      <c r="D11" s="63" t="s">
        <v>3342</v>
      </c>
      <c r="E11" s="63" t="s">
        <v>3438</v>
      </c>
      <c r="F11" s="63">
        <v>121</v>
      </c>
      <c r="G11" s="63" t="s">
        <v>3340</v>
      </c>
      <c r="H11" s="62">
        <v>33901.25</v>
      </c>
      <c r="I11" s="61">
        <v>12.25</v>
      </c>
    </row>
    <row r="12" spans="1:9" x14ac:dyDescent="0.3">
      <c r="A12" s="63">
        <v>1067</v>
      </c>
      <c r="B12" s="63" t="s">
        <v>3437</v>
      </c>
      <c r="C12" s="63" t="s">
        <v>3436</v>
      </c>
      <c r="D12" s="63" t="s">
        <v>3342</v>
      </c>
      <c r="E12" s="63" t="s">
        <v>3435</v>
      </c>
      <c r="F12" s="63">
        <v>123</v>
      </c>
      <c r="G12" s="63" t="s">
        <v>3340</v>
      </c>
      <c r="H12" s="62">
        <v>36788.25</v>
      </c>
      <c r="I12" s="61">
        <v>14.55</v>
      </c>
    </row>
    <row r="13" spans="1:9" x14ac:dyDescent="0.3">
      <c r="A13" s="63">
        <v>1075</v>
      </c>
      <c r="B13" s="63" t="s">
        <v>3434</v>
      </c>
      <c r="C13" s="63" t="s">
        <v>3433</v>
      </c>
      <c r="D13" s="63" t="s">
        <v>3385</v>
      </c>
      <c r="E13" s="63" t="s">
        <v>3432</v>
      </c>
      <c r="F13" s="63">
        <v>126</v>
      </c>
      <c r="G13" s="63" t="s">
        <v>3352</v>
      </c>
      <c r="H13" s="62">
        <v>38571.25</v>
      </c>
      <c r="I13" s="61">
        <v>11.25</v>
      </c>
    </row>
    <row r="14" spans="1:9" x14ac:dyDescent="0.3">
      <c r="A14" s="63">
        <v>1078</v>
      </c>
      <c r="B14" s="63" t="s">
        <v>3431</v>
      </c>
      <c r="C14" s="63" t="s">
        <v>3430</v>
      </c>
      <c r="D14" s="63" t="s">
        <v>3354</v>
      </c>
      <c r="E14" s="63" t="s">
        <v>3429</v>
      </c>
      <c r="F14" s="63">
        <v>101</v>
      </c>
      <c r="G14" s="63" t="s">
        <v>3352</v>
      </c>
      <c r="H14" s="62">
        <v>36251.25</v>
      </c>
      <c r="I14" s="61">
        <v>10.199999999999999</v>
      </c>
    </row>
    <row r="15" spans="1:9" x14ac:dyDescent="0.3">
      <c r="A15" s="63">
        <v>1152</v>
      </c>
      <c r="B15" s="63" t="s">
        <v>3428</v>
      </c>
      <c r="C15" s="63" t="s">
        <v>215</v>
      </c>
      <c r="D15" s="63" t="s">
        <v>3385</v>
      </c>
      <c r="E15" s="63" t="s">
        <v>3427</v>
      </c>
      <c r="F15" s="63">
        <v>118</v>
      </c>
      <c r="G15" s="63" t="s">
        <v>3352</v>
      </c>
      <c r="H15" s="62">
        <v>37642.25</v>
      </c>
      <c r="I15" s="61">
        <v>12.25</v>
      </c>
    </row>
    <row r="16" spans="1:9" x14ac:dyDescent="0.3">
      <c r="A16" s="63">
        <v>1196</v>
      </c>
      <c r="B16" s="63" t="s">
        <v>3426</v>
      </c>
      <c r="C16" s="63" t="s">
        <v>3425</v>
      </c>
      <c r="D16" s="63" t="s">
        <v>3337</v>
      </c>
      <c r="E16" s="63" t="s">
        <v>3424</v>
      </c>
      <c r="F16" s="63">
        <v>289</v>
      </c>
      <c r="G16" s="63" t="s">
        <v>3335</v>
      </c>
      <c r="H16" s="62">
        <v>40634.25</v>
      </c>
      <c r="I16" s="61">
        <v>9.9499999999999993</v>
      </c>
    </row>
    <row r="17" spans="1:9" x14ac:dyDescent="0.3">
      <c r="A17" s="63">
        <v>1284</v>
      </c>
      <c r="B17" s="63" t="s">
        <v>3423</v>
      </c>
      <c r="C17" s="63" t="s">
        <v>3386</v>
      </c>
      <c r="D17" s="63" t="s">
        <v>3377</v>
      </c>
      <c r="E17" s="63" t="s">
        <v>3422</v>
      </c>
      <c r="F17" s="63">
        <v>124</v>
      </c>
      <c r="G17" s="63" t="s">
        <v>3340</v>
      </c>
      <c r="H17" s="62">
        <v>35799.25</v>
      </c>
      <c r="I17" s="61">
        <v>12.3</v>
      </c>
    </row>
    <row r="18" spans="1:9" x14ac:dyDescent="0.3">
      <c r="A18" s="63">
        <v>1290</v>
      </c>
      <c r="B18" s="63" t="s">
        <v>3421</v>
      </c>
      <c r="C18" s="63" t="s">
        <v>3420</v>
      </c>
      <c r="D18" s="63" t="s">
        <v>3385</v>
      </c>
      <c r="E18" s="63" t="s">
        <v>3419</v>
      </c>
      <c r="F18" s="63">
        <v>113</v>
      </c>
      <c r="G18" s="63" t="s">
        <v>3352</v>
      </c>
      <c r="H18" s="62">
        <v>35798.25</v>
      </c>
      <c r="I18" s="61">
        <v>13.25</v>
      </c>
    </row>
    <row r="19" spans="1:9" x14ac:dyDescent="0.3">
      <c r="A19" s="63">
        <v>1293</v>
      </c>
      <c r="B19" s="63" t="s">
        <v>3418</v>
      </c>
      <c r="C19" s="63" t="s">
        <v>3417</v>
      </c>
      <c r="D19" s="63" t="s">
        <v>3337</v>
      </c>
      <c r="E19" s="63" t="s">
        <v>3416</v>
      </c>
      <c r="F19" s="63">
        <v>205</v>
      </c>
      <c r="G19" s="63" t="s">
        <v>3335</v>
      </c>
      <c r="H19" s="62">
        <v>35687.25</v>
      </c>
      <c r="I19" s="61">
        <v>10.199999999999999</v>
      </c>
    </row>
    <row r="20" spans="1:9" x14ac:dyDescent="0.3">
      <c r="A20" s="63">
        <v>1299</v>
      </c>
      <c r="B20" s="63" t="s">
        <v>3415</v>
      </c>
      <c r="C20" s="63" t="s">
        <v>3414</v>
      </c>
      <c r="D20" s="63" t="s">
        <v>3346</v>
      </c>
      <c r="E20" s="63" t="s">
        <v>3413</v>
      </c>
      <c r="F20" s="63">
        <v>127</v>
      </c>
      <c r="G20" s="63" t="s">
        <v>3340</v>
      </c>
      <c r="H20" s="62">
        <v>37611.25</v>
      </c>
      <c r="I20" s="61">
        <v>12.2</v>
      </c>
    </row>
    <row r="21" spans="1:9" x14ac:dyDescent="0.3">
      <c r="A21" s="63">
        <v>1302</v>
      </c>
      <c r="B21" s="63" t="s">
        <v>3356</v>
      </c>
      <c r="C21" s="63" t="s">
        <v>3412</v>
      </c>
      <c r="D21" s="63" t="s">
        <v>3377</v>
      </c>
      <c r="E21" s="63" t="s">
        <v>3411</v>
      </c>
      <c r="F21" s="63">
        <v>139</v>
      </c>
      <c r="G21" s="63" t="s">
        <v>3340</v>
      </c>
      <c r="H21" s="62">
        <v>35648.25</v>
      </c>
      <c r="I21" s="61">
        <v>14.25</v>
      </c>
    </row>
    <row r="22" spans="1:9" x14ac:dyDescent="0.3">
      <c r="A22" s="63">
        <v>1310</v>
      </c>
      <c r="B22" s="63" t="s">
        <v>3356</v>
      </c>
      <c r="C22" s="63" t="s">
        <v>3410</v>
      </c>
      <c r="D22" s="63" t="s">
        <v>3346</v>
      </c>
      <c r="E22" s="63" t="s">
        <v>3409</v>
      </c>
      <c r="F22" s="63">
        <v>137</v>
      </c>
      <c r="G22" s="63" t="s">
        <v>3340</v>
      </c>
      <c r="H22" s="62">
        <v>36437.25</v>
      </c>
      <c r="I22" s="61">
        <v>11.5</v>
      </c>
    </row>
    <row r="23" spans="1:9" x14ac:dyDescent="0.3">
      <c r="A23" s="63">
        <v>1329</v>
      </c>
      <c r="B23" s="63" t="s">
        <v>3408</v>
      </c>
      <c r="C23" s="63" t="s">
        <v>3407</v>
      </c>
      <c r="D23" s="63" t="s">
        <v>3354</v>
      </c>
      <c r="E23" s="63" t="s">
        <v>3406</v>
      </c>
      <c r="F23" s="63">
        <v>151</v>
      </c>
      <c r="G23" s="63" t="s">
        <v>3352</v>
      </c>
      <c r="H23" s="62">
        <v>37309.25</v>
      </c>
      <c r="I23" s="61">
        <v>10.35</v>
      </c>
    </row>
    <row r="24" spans="1:9" x14ac:dyDescent="0.3">
      <c r="A24" s="63">
        <v>1333</v>
      </c>
      <c r="B24" s="63" t="s">
        <v>3405</v>
      </c>
      <c r="C24" s="63" t="s">
        <v>3404</v>
      </c>
      <c r="D24" s="63" t="s">
        <v>3337</v>
      </c>
      <c r="E24" s="63" t="s">
        <v>3403</v>
      </c>
      <c r="F24" s="63">
        <v>122</v>
      </c>
      <c r="G24" s="63" t="s">
        <v>3335</v>
      </c>
      <c r="H24" s="62">
        <v>37727.25</v>
      </c>
      <c r="I24" s="61">
        <v>10.15</v>
      </c>
    </row>
    <row r="25" spans="1:9" x14ac:dyDescent="0.3">
      <c r="A25" s="63">
        <v>1368</v>
      </c>
      <c r="B25" s="63" t="s">
        <v>3402</v>
      </c>
      <c r="C25" s="63" t="s">
        <v>3401</v>
      </c>
      <c r="D25" s="63" t="s">
        <v>3385</v>
      </c>
      <c r="E25" s="63" t="s">
        <v>3400</v>
      </c>
      <c r="F25" s="63">
        <v>132</v>
      </c>
      <c r="G25" s="63" t="s">
        <v>3352</v>
      </c>
      <c r="H25" s="62">
        <v>35134.25</v>
      </c>
      <c r="I25" s="61">
        <v>12.25</v>
      </c>
    </row>
    <row r="26" spans="1:9" x14ac:dyDescent="0.3">
      <c r="A26" s="63">
        <v>1509</v>
      </c>
      <c r="B26" s="63" t="s">
        <v>3344</v>
      </c>
      <c r="C26" s="63" t="s">
        <v>3399</v>
      </c>
      <c r="D26" s="63" t="s">
        <v>3342</v>
      </c>
      <c r="E26" s="63" t="s">
        <v>3398</v>
      </c>
      <c r="F26" s="63">
        <v>135</v>
      </c>
      <c r="G26" s="63" t="s">
        <v>3340</v>
      </c>
      <c r="H26" s="62">
        <v>35965.25</v>
      </c>
      <c r="I26" s="61">
        <v>13.25</v>
      </c>
    </row>
    <row r="27" spans="1:9" x14ac:dyDescent="0.3">
      <c r="A27" s="63">
        <v>1516</v>
      </c>
      <c r="B27" s="63" t="s">
        <v>3356</v>
      </c>
      <c r="C27" s="63" t="s">
        <v>150</v>
      </c>
      <c r="D27" s="63" t="s">
        <v>3354</v>
      </c>
      <c r="E27" s="63" t="s">
        <v>3397</v>
      </c>
      <c r="F27" s="63">
        <v>105</v>
      </c>
      <c r="G27" s="63" t="s">
        <v>3352</v>
      </c>
      <c r="H27" s="62">
        <v>35860.25</v>
      </c>
      <c r="I27" s="61">
        <v>9.5</v>
      </c>
    </row>
    <row r="28" spans="1:9" x14ac:dyDescent="0.3">
      <c r="A28" s="63">
        <v>1529</v>
      </c>
      <c r="B28" s="63" t="s">
        <v>3396</v>
      </c>
      <c r="C28" s="63" t="s">
        <v>3395</v>
      </c>
      <c r="D28" s="63" t="s">
        <v>3377</v>
      </c>
      <c r="E28" s="63" t="s">
        <v>3394</v>
      </c>
      <c r="F28" s="63">
        <v>129</v>
      </c>
      <c r="G28" s="63" t="s">
        <v>3340</v>
      </c>
      <c r="H28" s="62">
        <v>36553.25</v>
      </c>
      <c r="I28" s="61">
        <v>11.3</v>
      </c>
    </row>
    <row r="29" spans="1:9" x14ac:dyDescent="0.3">
      <c r="A29" s="63">
        <v>1656</v>
      </c>
      <c r="B29" s="63" t="s">
        <v>3393</v>
      </c>
      <c r="C29" s="63" t="s">
        <v>3392</v>
      </c>
      <c r="D29" s="63" t="s">
        <v>3346</v>
      </c>
      <c r="E29" s="63" t="s">
        <v>3391</v>
      </c>
      <c r="F29" s="63">
        <v>149</v>
      </c>
      <c r="G29" s="63" t="s">
        <v>3340</v>
      </c>
      <c r="H29" s="62">
        <v>36873.25</v>
      </c>
      <c r="I29" s="61">
        <v>12.35</v>
      </c>
    </row>
    <row r="30" spans="1:9" x14ac:dyDescent="0.3">
      <c r="A30" s="63">
        <v>1672</v>
      </c>
      <c r="B30" s="63" t="s">
        <v>3390</v>
      </c>
      <c r="C30" s="63" t="s">
        <v>3389</v>
      </c>
      <c r="D30" s="63" t="s">
        <v>3346</v>
      </c>
      <c r="E30" s="63" t="s">
        <v>3388</v>
      </c>
      <c r="F30" s="63">
        <v>114</v>
      </c>
      <c r="G30" s="63" t="s">
        <v>3340</v>
      </c>
      <c r="H30" s="62">
        <v>37727.25</v>
      </c>
      <c r="I30" s="61">
        <v>11.9</v>
      </c>
    </row>
    <row r="31" spans="1:9" x14ac:dyDescent="0.3">
      <c r="A31" s="63">
        <v>1673</v>
      </c>
      <c r="B31" s="63" t="s">
        <v>3387</v>
      </c>
      <c r="C31" s="63" t="s">
        <v>3386</v>
      </c>
      <c r="D31" s="63" t="s">
        <v>3385</v>
      </c>
      <c r="E31" s="63" t="s">
        <v>3384</v>
      </c>
      <c r="F31" s="63">
        <v>112</v>
      </c>
      <c r="G31" s="63" t="s">
        <v>3352</v>
      </c>
      <c r="H31" s="62">
        <v>38436.25</v>
      </c>
      <c r="I31" s="61">
        <v>11.85</v>
      </c>
    </row>
    <row r="32" spans="1:9" x14ac:dyDescent="0.3">
      <c r="A32" s="63">
        <v>1676</v>
      </c>
      <c r="B32" s="63" t="s">
        <v>3344</v>
      </c>
      <c r="C32" s="63" t="s">
        <v>3383</v>
      </c>
      <c r="D32" s="63" t="s">
        <v>3377</v>
      </c>
      <c r="E32" s="63" t="s">
        <v>3382</v>
      </c>
      <c r="F32" s="63">
        <v>115</v>
      </c>
      <c r="G32" s="63" t="s">
        <v>3340</v>
      </c>
      <c r="H32" s="62">
        <v>34633.25</v>
      </c>
      <c r="I32" s="61">
        <v>10.75</v>
      </c>
    </row>
    <row r="33" spans="1:13" x14ac:dyDescent="0.3">
      <c r="A33" s="63">
        <v>1721</v>
      </c>
      <c r="B33" s="63" t="s">
        <v>3381</v>
      </c>
      <c r="C33" s="63" t="s">
        <v>3380</v>
      </c>
      <c r="D33" s="63" t="s">
        <v>3337</v>
      </c>
      <c r="E33" s="63" t="s">
        <v>3379</v>
      </c>
      <c r="F33" s="63">
        <v>102</v>
      </c>
      <c r="G33" s="63" t="s">
        <v>3335</v>
      </c>
      <c r="H33" s="62">
        <v>37839.25</v>
      </c>
      <c r="I33" s="61">
        <v>9.75</v>
      </c>
    </row>
    <row r="34" spans="1:13" x14ac:dyDescent="0.3">
      <c r="A34" s="63">
        <v>1723</v>
      </c>
      <c r="B34" s="63" t="s">
        <v>3378</v>
      </c>
      <c r="C34" s="63" t="s">
        <v>215</v>
      </c>
      <c r="D34" s="63" t="s">
        <v>3377</v>
      </c>
      <c r="E34" s="63" t="s">
        <v>3376</v>
      </c>
      <c r="F34" s="63">
        <v>145</v>
      </c>
      <c r="G34" s="63" t="s">
        <v>3340</v>
      </c>
      <c r="H34" s="62">
        <v>33279.25</v>
      </c>
      <c r="I34" s="61">
        <v>13.95</v>
      </c>
      <c r="M34" s="49" t="s">
        <v>3375</v>
      </c>
    </row>
    <row r="35" spans="1:13" x14ac:dyDescent="0.3">
      <c r="A35" s="63">
        <v>1758</v>
      </c>
      <c r="B35" s="63" t="s">
        <v>3374</v>
      </c>
      <c r="C35" s="63" t="s">
        <v>3373</v>
      </c>
      <c r="D35" s="63" t="s">
        <v>3354</v>
      </c>
      <c r="E35" s="63" t="s">
        <v>3372</v>
      </c>
      <c r="F35" s="63">
        <v>107</v>
      </c>
      <c r="G35" s="63" t="s">
        <v>3352</v>
      </c>
      <c r="H35" s="62">
        <v>34776.25</v>
      </c>
      <c r="I35" s="61">
        <v>11.2</v>
      </c>
    </row>
    <row r="36" spans="1:13" x14ac:dyDescent="0.3">
      <c r="A36" s="63">
        <v>1792</v>
      </c>
      <c r="B36" s="63" t="s">
        <v>3371</v>
      </c>
      <c r="C36" s="63" t="s">
        <v>3370</v>
      </c>
      <c r="D36" s="63" t="s">
        <v>3342</v>
      </c>
      <c r="E36" s="63" t="s">
        <v>3369</v>
      </c>
      <c r="F36" s="63">
        <v>111</v>
      </c>
      <c r="G36" s="63" t="s">
        <v>3340</v>
      </c>
      <c r="H36" s="62">
        <v>37979.25</v>
      </c>
      <c r="I36" s="61">
        <v>10.3</v>
      </c>
    </row>
    <row r="37" spans="1:13" x14ac:dyDescent="0.3">
      <c r="A37" s="63">
        <v>1814</v>
      </c>
      <c r="B37" s="63" t="s">
        <v>3368</v>
      </c>
      <c r="C37" s="63" t="s">
        <v>3367</v>
      </c>
      <c r="D37" s="63" t="s">
        <v>3337</v>
      </c>
      <c r="E37" s="63" t="s">
        <v>3366</v>
      </c>
      <c r="F37" s="63">
        <v>103</v>
      </c>
      <c r="G37" s="63" t="s">
        <v>3335</v>
      </c>
      <c r="H37" s="62">
        <v>37319.25</v>
      </c>
      <c r="I37" s="61">
        <v>12.25</v>
      </c>
    </row>
    <row r="38" spans="1:13" x14ac:dyDescent="0.3">
      <c r="A38" s="63">
        <v>1908</v>
      </c>
      <c r="B38" s="63" t="s">
        <v>3365</v>
      </c>
      <c r="C38" s="63" t="s">
        <v>3364</v>
      </c>
      <c r="D38" s="63" t="s">
        <v>3342</v>
      </c>
      <c r="E38" s="63" t="s">
        <v>3363</v>
      </c>
      <c r="F38" s="63">
        <v>152</v>
      </c>
      <c r="G38" s="63" t="s">
        <v>3340</v>
      </c>
      <c r="H38" s="62">
        <v>35565.25</v>
      </c>
      <c r="I38" s="61">
        <v>10.25</v>
      </c>
    </row>
    <row r="39" spans="1:13" x14ac:dyDescent="0.3">
      <c r="A39" s="63">
        <v>1931</v>
      </c>
      <c r="B39" s="63" t="s">
        <v>3344</v>
      </c>
      <c r="C39" s="63" t="s">
        <v>3362</v>
      </c>
      <c r="D39" s="63" t="s">
        <v>3354</v>
      </c>
      <c r="E39" s="63" t="s">
        <v>3361</v>
      </c>
      <c r="F39" s="63">
        <v>110</v>
      </c>
      <c r="G39" s="63" t="s">
        <v>3352</v>
      </c>
      <c r="H39" s="62">
        <v>37427.25</v>
      </c>
      <c r="I39" s="61">
        <v>9.85</v>
      </c>
    </row>
    <row r="40" spans="1:13" x14ac:dyDescent="0.3">
      <c r="A40" s="63">
        <v>1960</v>
      </c>
      <c r="B40" s="63" t="s">
        <v>3360</v>
      </c>
      <c r="C40" s="63" t="s">
        <v>219</v>
      </c>
      <c r="D40" s="63" t="s">
        <v>3346</v>
      </c>
      <c r="E40" s="63" t="s">
        <v>3359</v>
      </c>
      <c r="F40" s="63">
        <v>150</v>
      </c>
      <c r="G40" s="63" t="s">
        <v>3340</v>
      </c>
      <c r="H40" s="62">
        <v>36477.25</v>
      </c>
      <c r="I40" s="61">
        <v>11.65</v>
      </c>
    </row>
    <row r="41" spans="1:13" x14ac:dyDescent="0.3">
      <c r="A41" s="63">
        <v>1964</v>
      </c>
      <c r="B41" s="63" t="s">
        <v>3351</v>
      </c>
      <c r="C41" s="63" t="s">
        <v>3358</v>
      </c>
      <c r="D41" s="63" t="s">
        <v>3354</v>
      </c>
      <c r="E41" s="63" t="s">
        <v>3357</v>
      </c>
      <c r="F41" s="63">
        <v>108</v>
      </c>
      <c r="G41" s="63" t="s">
        <v>3352</v>
      </c>
      <c r="H41" s="62">
        <v>38307.25</v>
      </c>
      <c r="I41" s="61">
        <v>9.25</v>
      </c>
    </row>
    <row r="42" spans="1:13" x14ac:dyDescent="0.3">
      <c r="A42" s="63">
        <v>1975</v>
      </c>
      <c r="B42" s="63" t="s">
        <v>3356</v>
      </c>
      <c r="C42" s="63" t="s">
        <v>3355</v>
      </c>
      <c r="D42" s="63" t="s">
        <v>3354</v>
      </c>
      <c r="E42" s="63" t="s">
        <v>3353</v>
      </c>
      <c r="F42" s="63">
        <v>125</v>
      </c>
      <c r="G42" s="63" t="s">
        <v>3352</v>
      </c>
      <c r="H42" s="62">
        <v>39873.25</v>
      </c>
      <c r="I42" s="61">
        <v>9.25</v>
      </c>
    </row>
    <row r="43" spans="1:13" x14ac:dyDescent="0.3">
      <c r="A43" s="63">
        <v>1983</v>
      </c>
      <c r="B43" s="63" t="s">
        <v>3351</v>
      </c>
      <c r="C43" s="63" t="s">
        <v>3350</v>
      </c>
      <c r="D43" s="63" t="s">
        <v>3342</v>
      </c>
      <c r="E43" s="63" t="s">
        <v>3349</v>
      </c>
      <c r="F43" s="63">
        <v>154</v>
      </c>
      <c r="G43" s="63" t="s">
        <v>3340</v>
      </c>
      <c r="H43" s="62">
        <v>40357.25</v>
      </c>
      <c r="I43" s="61">
        <v>11</v>
      </c>
    </row>
    <row r="44" spans="1:13" x14ac:dyDescent="0.3">
      <c r="A44" s="63">
        <v>1990</v>
      </c>
      <c r="B44" s="63" t="s">
        <v>3348</v>
      </c>
      <c r="C44" s="63" t="s">
        <v>3347</v>
      </c>
      <c r="D44" s="63" t="s">
        <v>3346</v>
      </c>
      <c r="E44" s="63" t="s">
        <v>3345</v>
      </c>
      <c r="F44" s="63">
        <v>198</v>
      </c>
      <c r="G44" s="63" t="s">
        <v>3340</v>
      </c>
      <c r="H44" s="62">
        <v>40588.25</v>
      </c>
      <c r="I44" s="61">
        <v>10.95</v>
      </c>
    </row>
    <row r="45" spans="1:13" x14ac:dyDescent="0.3">
      <c r="A45" s="63">
        <v>1995</v>
      </c>
      <c r="B45" s="63" t="s">
        <v>3344</v>
      </c>
      <c r="C45" s="63" t="s">
        <v>3343</v>
      </c>
      <c r="D45" s="63" t="s">
        <v>3342</v>
      </c>
      <c r="E45" s="63" t="s">
        <v>3341</v>
      </c>
      <c r="F45" s="63">
        <v>198</v>
      </c>
      <c r="G45" s="63" t="s">
        <v>3340</v>
      </c>
      <c r="H45" s="62">
        <v>40603.25</v>
      </c>
      <c r="I45" s="61">
        <v>11.75</v>
      </c>
    </row>
    <row r="46" spans="1:13" x14ac:dyDescent="0.3">
      <c r="A46" s="63">
        <v>2006</v>
      </c>
      <c r="B46" s="63" t="s">
        <v>3339</v>
      </c>
      <c r="C46" s="63" t="s">
        <v>3338</v>
      </c>
      <c r="D46" s="63" t="s">
        <v>3337</v>
      </c>
      <c r="E46" s="63" t="s">
        <v>3336</v>
      </c>
      <c r="F46" s="63">
        <v>428</v>
      </c>
      <c r="G46" s="63" t="s">
        <v>3335</v>
      </c>
      <c r="H46" s="62">
        <v>40729.25</v>
      </c>
      <c r="I46" s="61">
        <v>10.15</v>
      </c>
    </row>
  </sheetData>
  <mergeCells count="2">
    <mergeCell ref="A1:E2"/>
    <mergeCell ref="A7:I8"/>
  </mergeCells>
  <dataValidations count="1">
    <dataValidation type="list" allowBlank="1" showInputMessage="1" showErrorMessage="1" sqref="A4" xr:uid="{FFAB6281-A718-4BFC-BC5E-956194493949}">
      <formula1>$A$10:$A$46</formula1>
    </dataValidation>
  </dataValidations>
  <pageMargins left="0.75" right="0.75" top="1" bottom="1" header="0.5" footer="0.5"/>
  <pageSetup orientation="portrait" horizontalDpi="1200" verticalDpi="1200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35DC8-E4D5-4257-88BE-48CE755838FB}">
  <sheetPr>
    <tabColor rgb="FF002060"/>
  </sheetPr>
  <dimension ref="A1:G13"/>
  <sheetViews>
    <sheetView workbookViewId="0">
      <selection activeCell="E15" sqref="E15"/>
    </sheetView>
  </sheetViews>
  <sheetFormatPr defaultColWidth="9.21875" defaultRowHeight="14.4" x14ac:dyDescent="0.3"/>
  <cols>
    <col min="1" max="3" width="17" style="49" customWidth="1"/>
    <col min="4" max="4" width="9.21875" style="49"/>
    <col min="5" max="5" width="13.21875" style="49" customWidth="1"/>
    <col min="6" max="6" width="14.21875" style="49" customWidth="1"/>
    <col min="7" max="7" width="13.77734375" style="49" customWidth="1"/>
    <col min="8" max="16384" width="9.21875" style="49"/>
  </cols>
  <sheetData>
    <row r="1" spans="1:7" ht="23.4" x14ac:dyDescent="0.45">
      <c r="A1" s="117" t="s">
        <v>3463</v>
      </c>
      <c r="B1" s="117"/>
      <c r="C1" s="117"/>
      <c r="D1" s="117"/>
      <c r="E1" s="117"/>
      <c r="F1" s="117"/>
      <c r="G1" s="117"/>
    </row>
    <row r="2" spans="1:7" ht="15" thickBot="1" x14ac:dyDescent="0.35"/>
    <row r="3" spans="1:7" ht="20.399999999999999" thickBot="1" x14ac:dyDescent="0.45">
      <c r="A3" s="76" t="s">
        <v>3462</v>
      </c>
      <c r="B3" s="76" t="s">
        <v>124</v>
      </c>
      <c r="C3" s="76" t="s">
        <v>3459</v>
      </c>
      <c r="E3" s="112" t="s">
        <v>3461</v>
      </c>
      <c r="F3" s="113"/>
      <c r="G3" s="114"/>
    </row>
    <row r="4" spans="1:7" ht="15" thickBot="1" x14ac:dyDescent="0.35">
      <c r="A4" s="73" t="s">
        <v>3460</v>
      </c>
      <c r="B4" s="72">
        <v>1200</v>
      </c>
      <c r="C4" s="71"/>
      <c r="E4" s="75" t="s">
        <v>124</v>
      </c>
      <c r="F4" s="74" t="s">
        <v>3459</v>
      </c>
      <c r="G4" s="74" t="s">
        <v>3451</v>
      </c>
    </row>
    <row r="5" spans="1:7" ht="15" thickBot="1" x14ac:dyDescent="0.35">
      <c r="A5" s="73" t="s">
        <v>3458</v>
      </c>
      <c r="B5" s="72">
        <v>1300</v>
      </c>
      <c r="C5" s="71"/>
      <c r="E5" s="70">
        <v>0</v>
      </c>
      <c r="F5" s="70">
        <v>0</v>
      </c>
      <c r="G5" s="70">
        <v>0</v>
      </c>
    </row>
    <row r="6" spans="1:7" ht="15" thickBot="1" x14ac:dyDescent="0.35">
      <c r="A6" s="73" t="s">
        <v>3457</v>
      </c>
      <c r="B6" s="72">
        <v>2500</v>
      </c>
      <c r="C6" s="71"/>
      <c r="E6" s="70">
        <v>1000</v>
      </c>
      <c r="F6" s="70">
        <v>10</v>
      </c>
      <c r="G6" s="70">
        <v>20</v>
      </c>
    </row>
    <row r="7" spans="1:7" ht="15" thickBot="1" x14ac:dyDescent="0.35">
      <c r="A7" s="73" t="s">
        <v>3456</v>
      </c>
      <c r="B7" s="72">
        <v>850</v>
      </c>
      <c r="C7" s="71"/>
      <c r="E7" s="70">
        <v>1500</v>
      </c>
      <c r="F7" s="70">
        <v>30</v>
      </c>
      <c r="G7" s="70">
        <v>50</v>
      </c>
    </row>
    <row r="8" spans="1:7" ht="15" thickBot="1" x14ac:dyDescent="0.35">
      <c r="A8" s="73" t="s">
        <v>3455</v>
      </c>
      <c r="B8" s="72">
        <v>3250</v>
      </c>
      <c r="C8" s="71"/>
      <c r="E8" s="70">
        <v>2000</v>
      </c>
      <c r="F8" s="70">
        <v>85</v>
      </c>
      <c r="G8" s="70">
        <v>100</v>
      </c>
    </row>
    <row r="9" spans="1:7" ht="15" thickBot="1" x14ac:dyDescent="0.35">
      <c r="A9" s="73" t="s">
        <v>3454</v>
      </c>
      <c r="B9" s="72">
        <v>1100</v>
      </c>
      <c r="C9" s="71"/>
      <c r="E9" s="70">
        <v>2500</v>
      </c>
      <c r="F9" s="70">
        <v>125</v>
      </c>
      <c r="G9" s="70">
        <v>150</v>
      </c>
    </row>
    <row r="10" spans="1:7" ht="15" thickBot="1" x14ac:dyDescent="0.35">
      <c r="A10" s="73" t="s">
        <v>3453</v>
      </c>
      <c r="B10" s="72">
        <v>4520</v>
      </c>
      <c r="C10" s="71"/>
      <c r="E10" s="70">
        <v>3000</v>
      </c>
      <c r="F10" s="70">
        <v>200</v>
      </c>
      <c r="G10" s="70">
        <v>250</v>
      </c>
    </row>
    <row r="11" spans="1:7" ht="15" thickBot="1" x14ac:dyDescent="0.35"/>
    <row r="12" spans="1:7" ht="16.8" thickTop="1" thickBot="1" x14ac:dyDescent="0.35">
      <c r="A12" s="115" t="s">
        <v>3452</v>
      </c>
      <c r="B12" s="116"/>
      <c r="C12" s="69" t="s">
        <v>3451</v>
      </c>
    </row>
    <row r="13" spans="1:7" ht="15" customHeight="1" thickTop="1" x14ac:dyDescent="0.3">
      <c r="E13" s="68"/>
    </row>
  </sheetData>
  <mergeCells count="3">
    <mergeCell ref="E3:G3"/>
    <mergeCell ref="A12:B12"/>
    <mergeCell ref="A1:G1"/>
  </mergeCells>
  <dataValidations count="1">
    <dataValidation type="list" allowBlank="1" showInputMessage="1" showErrorMessage="1" errorTitle="Invalid Entry" error="Please select either &quot;Standard&quot; or &quot;Holiday&quot; from the provided drop down menu. " sqref="C12" xr:uid="{00000000-0002-0000-0300-000000000000}">
      <formula1>"Standard, Holiday"</formula1>
    </dataValidation>
  </dataValidations>
  <pageMargins left="0.75" right="0.75" top="1" bottom="1" header="0.5" footer="0.5"/>
  <headerFooter alignWithMargins="0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47C4C-40F3-4F2E-AFEA-A0B47D3DAED9}">
  <sheetPr>
    <tabColor rgb="FFFF0000"/>
  </sheetPr>
  <dimension ref="A2:G14"/>
  <sheetViews>
    <sheetView workbookViewId="0">
      <selection activeCell="B6" sqref="B6"/>
    </sheetView>
  </sheetViews>
  <sheetFormatPr defaultColWidth="9.21875" defaultRowHeight="13.8" x14ac:dyDescent="0.3"/>
  <cols>
    <col min="1" max="1" width="19.44140625" style="77" bestFit="1" customWidth="1"/>
    <col min="2" max="7" width="10.21875" style="77" customWidth="1"/>
    <col min="8" max="16384" width="9.21875" style="77"/>
  </cols>
  <sheetData>
    <row r="2" spans="1:7" ht="23.4" x14ac:dyDescent="0.45">
      <c r="A2" s="124" t="s">
        <v>3477</v>
      </c>
      <c r="B2" s="125"/>
      <c r="C2" s="125"/>
      <c r="D2" s="125"/>
      <c r="E2" s="125"/>
      <c r="F2" s="125"/>
      <c r="G2" s="125"/>
    </row>
    <row r="4" spans="1:7" ht="22.5" customHeight="1" thickBot="1" x14ac:dyDescent="0.35">
      <c r="A4" s="123" t="s">
        <v>3476</v>
      </c>
      <c r="B4" s="123"/>
      <c r="E4" s="77" t="s">
        <v>3547</v>
      </c>
    </row>
    <row r="5" spans="1:7" ht="15" thickTop="1" x14ac:dyDescent="0.3">
      <c r="A5" s="78" t="s">
        <v>3475</v>
      </c>
      <c r="B5" s="80" t="s">
        <v>3471</v>
      </c>
    </row>
    <row r="6" spans="1:7" ht="14.4" x14ac:dyDescent="0.3">
      <c r="A6" s="78" t="s">
        <v>3466</v>
      </c>
      <c r="B6" s="65">
        <f>HLOOKUP($B$5,$A$11:$G$14,MATCH(A6,$A$11:$A$14,0),FALSE)</f>
        <v>150</v>
      </c>
    </row>
    <row r="7" spans="1:7" ht="14.4" x14ac:dyDescent="0.3">
      <c r="A7" s="78" t="s">
        <v>3465</v>
      </c>
      <c r="B7" s="65">
        <f t="shared" ref="B7:B8" si="0">HLOOKUP($B$5,$A$11:$G$14,MATCH(A7,$A$11:$A$14,0),FALSE)</f>
        <v>110</v>
      </c>
    </row>
    <row r="8" spans="1:7" ht="14.4" x14ac:dyDescent="0.3">
      <c r="A8" s="78" t="s">
        <v>3464</v>
      </c>
      <c r="B8" s="65">
        <f t="shared" si="0"/>
        <v>115</v>
      </c>
    </row>
    <row r="10" spans="1:7" ht="18.600000000000001" thickBot="1" x14ac:dyDescent="0.35">
      <c r="A10" s="123" t="s">
        <v>3474</v>
      </c>
      <c r="B10" s="123"/>
      <c r="C10" s="123"/>
      <c r="D10" s="123"/>
      <c r="E10" s="123"/>
      <c r="F10" s="123"/>
      <c r="G10" s="123"/>
    </row>
    <row r="11" spans="1:7" ht="15" thickTop="1" x14ac:dyDescent="0.3">
      <c r="A11" s="78" t="s">
        <v>3473</v>
      </c>
      <c r="B11" s="65" t="s">
        <v>3472</v>
      </c>
      <c r="C11" s="79" t="s">
        <v>3471</v>
      </c>
      <c r="D11" s="65" t="s">
        <v>3470</v>
      </c>
      <c r="E11" s="79" t="s">
        <v>3469</v>
      </c>
      <c r="F11" s="65" t="s">
        <v>3468</v>
      </c>
      <c r="G11" s="79" t="s">
        <v>3467</v>
      </c>
    </row>
    <row r="12" spans="1:7" ht="14.4" x14ac:dyDescent="0.3">
      <c r="A12" s="78" t="s">
        <v>3466</v>
      </c>
      <c r="B12" s="65">
        <v>120</v>
      </c>
      <c r="C12" s="74">
        <v>150</v>
      </c>
      <c r="D12" s="65">
        <v>135</v>
      </c>
      <c r="E12" s="74">
        <v>90</v>
      </c>
      <c r="F12" s="65">
        <v>95</v>
      </c>
      <c r="G12" s="74">
        <v>140</v>
      </c>
    </row>
    <row r="13" spans="1:7" ht="14.4" x14ac:dyDescent="0.3">
      <c r="A13" s="78" t="s">
        <v>3465</v>
      </c>
      <c r="B13" s="65">
        <v>55</v>
      </c>
      <c r="C13" s="74">
        <v>110</v>
      </c>
      <c r="D13" s="65">
        <v>75</v>
      </c>
      <c r="E13" s="74">
        <v>95</v>
      </c>
      <c r="F13" s="65">
        <v>75</v>
      </c>
      <c r="G13" s="74">
        <v>55</v>
      </c>
    </row>
    <row r="14" spans="1:7" ht="14.4" x14ac:dyDescent="0.3">
      <c r="A14" s="78" t="s">
        <v>3464</v>
      </c>
      <c r="B14" s="65">
        <v>70</v>
      </c>
      <c r="C14" s="74">
        <v>115</v>
      </c>
      <c r="D14" s="65">
        <v>65</v>
      </c>
      <c r="E14" s="74">
        <v>55</v>
      </c>
      <c r="F14" s="65">
        <v>85</v>
      </c>
      <c r="G14" s="74">
        <v>65</v>
      </c>
    </row>
  </sheetData>
  <mergeCells count="3">
    <mergeCell ref="A4:B4"/>
    <mergeCell ref="A10:G10"/>
    <mergeCell ref="A2:G2"/>
  </mergeCells>
  <dataValidations count="1">
    <dataValidation type="list" allowBlank="1" showInputMessage="1" showErrorMessage="1" sqref="B5" xr:uid="{7D1AD492-4EC2-4DAD-80ED-140DB85FBBD0}">
      <formula1>$B$11:$G$11</formula1>
    </dataValidation>
  </dataValidations>
  <pageMargins left="0.75" right="0.75" top="1" bottom="1" header="0.5" footer="0.5"/>
  <headerFooter alignWithMargins="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59999389629810485"/>
  </sheetPr>
  <dimension ref="A1:I18"/>
  <sheetViews>
    <sheetView workbookViewId="0">
      <selection activeCell="I19" sqref="I19"/>
    </sheetView>
  </sheetViews>
  <sheetFormatPr defaultColWidth="8.77734375" defaultRowHeight="14.4" x14ac:dyDescent="0.3"/>
  <cols>
    <col min="2" max="2" width="12.88671875" style="38" customWidth="1"/>
    <col min="3" max="3" width="17.21875" customWidth="1"/>
    <col min="4" max="4" width="12.88671875" customWidth="1"/>
    <col min="7" max="7" width="12.21875" customWidth="1"/>
  </cols>
  <sheetData>
    <row r="1" spans="1:9" x14ac:dyDescent="0.3">
      <c r="A1" s="19" t="s">
        <v>1</v>
      </c>
      <c r="B1" s="37" t="s">
        <v>194</v>
      </c>
      <c r="C1" s="19" t="s">
        <v>195</v>
      </c>
      <c r="D1" s="19" t="s">
        <v>139</v>
      </c>
    </row>
    <row r="2" spans="1:9" x14ac:dyDescent="0.3">
      <c r="A2" s="2">
        <v>2000</v>
      </c>
      <c r="B2" s="6">
        <v>36487</v>
      </c>
      <c r="C2" s="6">
        <v>7079</v>
      </c>
      <c r="D2" s="6">
        <v>38</v>
      </c>
      <c r="F2" s="12" t="s">
        <v>140</v>
      </c>
      <c r="G2" s="33">
        <v>2012</v>
      </c>
    </row>
    <row r="3" spans="1:9" x14ac:dyDescent="0.3">
      <c r="A3" s="2">
        <v>2001</v>
      </c>
      <c r="B3" s="6">
        <v>35832</v>
      </c>
      <c r="C3" s="6">
        <v>9023</v>
      </c>
      <c r="D3" s="6">
        <v>42</v>
      </c>
      <c r="F3" s="12" t="s">
        <v>141</v>
      </c>
      <c r="G3" s="33" t="s">
        <v>194</v>
      </c>
      <c r="I3" s="43">
        <f>VLOOKUP($G$2,$A$2:$D$18,MATCH($G$3,$A$1:$D$1,0),0)</f>
        <v>31450</v>
      </c>
    </row>
    <row r="4" spans="1:9" ht="15" thickBot="1" x14ac:dyDescent="0.35">
      <c r="A4" s="2">
        <v>2002</v>
      </c>
      <c r="B4" s="6">
        <v>31170</v>
      </c>
      <c r="C4" s="6">
        <v>7100</v>
      </c>
      <c r="D4" s="6">
        <v>40</v>
      </c>
    </row>
    <row r="5" spans="1:9" ht="15" thickBot="1" x14ac:dyDescent="0.35">
      <c r="A5" s="2">
        <v>2003</v>
      </c>
      <c r="B5" s="6">
        <v>27782</v>
      </c>
      <c r="C5" s="6">
        <v>8586</v>
      </c>
      <c r="D5" s="6">
        <v>46</v>
      </c>
      <c r="F5" s="21" t="s">
        <v>142</v>
      </c>
      <c r="G5" s="36">
        <f>INDEX(A1:D18,MATCH(G2,A1:A18,0),MATCH(G3,A1:D1,0))</f>
        <v>31450</v>
      </c>
    </row>
    <row r="6" spans="1:9" x14ac:dyDescent="0.3">
      <c r="A6" s="2">
        <v>2004</v>
      </c>
      <c r="B6" s="6">
        <v>32952</v>
      </c>
      <c r="C6" s="6">
        <v>7726</v>
      </c>
      <c r="D6" s="6">
        <v>46</v>
      </c>
    </row>
    <row r="7" spans="1:9" x14ac:dyDescent="0.3">
      <c r="A7" s="2">
        <v>2005</v>
      </c>
      <c r="B7" s="6">
        <v>26275</v>
      </c>
      <c r="C7" s="6">
        <v>9759</v>
      </c>
      <c r="D7" s="6">
        <v>25</v>
      </c>
    </row>
    <row r="8" spans="1:9" x14ac:dyDescent="0.3">
      <c r="A8" s="2">
        <v>2006</v>
      </c>
      <c r="B8" s="6">
        <v>29767</v>
      </c>
      <c r="C8" s="6">
        <v>9325</v>
      </c>
      <c r="D8" s="6">
        <v>30</v>
      </c>
    </row>
    <row r="9" spans="1:9" x14ac:dyDescent="0.3">
      <c r="A9" s="2">
        <v>2007</v>
      </c>
      <c r="B9" s="6">
        <v>32118</v>
      </c>
      <c r="C9" s="6">
        <v>9154</v>
      </c>
      <c r="D9" s="6">
        <v>38</v>
      </c>
    </row>
    <row r="10" spans="1:9" x14ac:dyDescent="0.3">
      <c r="A10" s="2">
        <v>2008</v>
      </c>
      <c r="B10" s="6">
        <v>33634</v>
      </c>
      <c r="C10" s="6">
        <v>8377</v>
      </c>
      <c r="D10" s="6">
        <v>41</v>
      </c>
    </row>
    <row r="11" spans="1:9" x14ac:dyDescent="0.3">
      <c r="A11" s="2">
        <v>2009</v>
      </c>
      <c r="B11" s="6">
        <v>31634</v>
      </c>
      <c r="C11" s="6">
        <v>8069</v>
      </c>
      <c r="D11" s="6">
        <v>40</v>
      </c>
    </row>
    <row r="12" spans="1:9" x14ac:dyDescent="0.3">
      <c r="A12" s="2">
        <v>2010</v>
      </c>
      <c r="B12" s="6">
        <v>39392</v>
      </c>
      <c r="C12" s="6">
        <v>7266</v>
      </c>
      <c r="D12" s="6">
        <v>30</v>
      </c>
    </row>
    <row r="13" spans="1:9" x14ac:dyDescent="0.3">
      <c r="A13" s="2">
        <v>2011</v>
      </c>
      <c r="B13" s="6">
        <v>30892</v>
      </c>
      <c r="C13" s="6">
        <v>8895</v>
      </c>
      <c r="D13" s="6">
        <v>27</v>
      </c>
    </row>
    <row r="14" spans="1:9" x14ac:dyDescent="0.3">
      <c r="A14" s="2">
        <v>2012</v>
      </c>
      <c r="B14" s="6">
        <v>31450</v>
      </c>
      <c r="C14" s="6">
        <v>9986</v>
      </c>
      <c r="D14" s="6">
        <v>32</v>
      </c>
    </row>
    <row r="15" spans="1:9" x14ac:dyDescent="0.3">
      <c r="A15" s="2">
        <v>2013</v>
      </c>
      <c r="B15" s="6">
        <v>32382</v>
      </c>
      <c r="C15" s="6">
        <v>8232</v>
      </c>
      <c r="D15" s="6">
        <v>33</v>
      </c>
    </row>
    <row r="16" spans="1:9" x14ac:dyDescent="0.3">
      <c r="A16" s="2">
        <v>2014</v>
      </c>
      <c r="B16" s="6">
        <v>31536</v>
      </c>
      <c r="C16" s="6">
        <v>9653</v>
      </c>
      <c r="D16" s="6">
        <v>32</v>
      </c>
    </row>
    <row r="17" spans="1:4" x14ac:dyDescent="0.3">
      <c r="A17" s="2">
        <v>2015</v>
      </c>
      <c r="B17" s="6">
        <v>26286</v>
      </c>
      <c r="C17" s="6">
        <v>8467</v>
      </c>
      <c r="D17" s="6">
        <v>48</v>
      </c>
    </row>
    <row r="18" spans="1:4" x14ac:dyDescent="0.3">
      <c r="A18" s="2">
        <v>2016</v>
      </c>
      <c r="B18" s="6">
        <v>25347</v>
      </c>
      <c r="C18" s="6">
        <v>7541</v>
      </c>
      <c r="D18" s="6">
        <v>25</v>
      </c>
    </row>
  </sheetData>
  <conditionalFormatting sqref="A2:D18">
    <cfRule type="expression" dxfId="0" priority="1">
      <formula>AND($A2=$G$2,A$1=$G$3)</formula>
    </cfRule>
  </conditionalFormatting>
  <dataValidations count="2">
    <dataValidation type="list" allowBlank="1" showInputMessage="1" showErrorMessage="1" sqref="G2" xr:uid="{586087FC-605B-4418-945A-CBD85C669125}">
      <formula1>$A$2:$A$18</formula1>
    </dataValidation>
    <dataValidation type="list" allowBlank="1" showInputMessage="1" showErrorMessage="1" sqref="G3" xr:uid="{C0192E8E-900D-4721-8825-1F06033C450E}">
      <formula1>$B$2:$B$18</formula1>
    </dataValidation>
  </dataValidations>
  <pageMargins left="0.7" right="0.7" top="0.75" bottom="0.75" header="0.3" footer="0.3"/>
  <pageSetup orientation="portrait" r:id="rId1"/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F0"/>
  </sheetPr>
  <dimension ref="A1:N25"/>
  <sheetViews>
    <sheetView workbookViewId="0">
      <selection activeCell="D4" sqref="D4"/>
    </sheetView>
  </sheetViews>
  <sheetFormatPr defaultRowHeight="14.4" x14ac:dyDescent="0.3"/>
  <cols>
    <col min="1" max="1" width="12.109375" style="28" customWidth="1"/>
    <col min="2" max="2" width="11" style="2" customWidth="1"/>
    <col min="3" max="3" width="34.77734375" customWidth="1"/>
    <col min="4" max="4" width="9.5546875" customWidth="1"/>
  </cols>
  <sheetData>
    <row r="1" spans="1:14" ht="15" thickBot="1" x14ac:dyDescent="0.35">
      <c r="A1" s="26" t="s">
        <v>136</v>
      </c>
      <c r="B1" s="1" t="s">
        <v>172</v>
      </c>
      <c r="D1" s="21"/>
      <c r="K1" s="43"/>
      <c r="L1" s="43"/>
      <c r="M1" s="43"/>
      <c r="N1" s="43"/>
    </row>
    <row r="2" spans="1:14" ht="15" thickBot="1" x14ac:dyDescent="0.35">
      <c r="A2" s="27">
        <v>42370</v>
      </c>
      <c r="B2" s="2">
        <v>50</v>
      </c>
      <c r="C2" s="9" t="s">
        <v>174</v>
      </c>
      <c r="D2" s="30">
        <f>COUNT(A2:A21)</f>
        <v>20</v>
      </c>
      <c r="K2" s="43"/>
      <c r="L2" s="43"/>
      <c r="M2" s="43"/>
      <c r="N2" s="43"/>
    </row>
    <row r="3" spans="1:14" ht="15" thickBot="1" x14ac:dyDescent="0.35">
      <c r="A3" s="27">
        <v>42371</v>
      </c>
      <c r="B3" s="2">
        <v>11</v>
      </c>
      <c r="D3" s="2"/>
      <c r="K3" s="43" t="s">
        <v>225</v>
      </c>
      <c r="L3" s="43">
        <v>2016</v>
      </c>
      <c r="M3" s="43">
        <v>2017</v>
      </c>
      <c r="N3" s="43">
        <v>2018</v>
      </c>
    </row>
    <row r="4" spans="1:14" ht="15" thickBot="1" x14ac:dyDescent="0.35">
      <c r="A4" s="27">
        <v>42372</v>
      </c>
      <c r="B4" s="2">
        <v>79</v>
      </c>
      <c r="C4" s="9" t="s">
        <v>173</v>
      </c>
      <c r="D4" s="31"/>
      <c r="K4" s="43" t="s">
        <v>226</v>
      </c>
      <c r="L4" s="43">
        <v>6.56</v>
      </c>
      <c r="M4" s="43">
        <v>6.4531914893617026</v>
      </c>
      <c r="N4" s="43">
        <v>6.4147058823529406</v>
      </c>
    </row>
    <row r="5" spans="1:14" ht="15" thickBot="1" x14ac:dyDescent="0.35">
      <c r="A5" s="27">
        <v>42373</v>
      </c>
      <c r="B5" s="2">
        <v>51</v>
      </c>
      <c r="D5" s="21"/>
      <c r="K5" s="43" t="s">
        <v>227</v>
      </c>
      <c r="L5" s="43">
        <v>6.5954545454545439</v>
      </c>
      <c r="M5" s="43">
        <v>6.8125</v>
      </c>
      <c r="N5" s="43">
        <v>6.8647058823529417</v>
      </c>
    </row>
    <row r="6" spans="1:14" ht="15" thickBot="1" x14ac:dyDescent="0.35">
      <c r="A6" s="27">
        <v>42374</v>
      </c>
      <c r="B6" s="2">
        <v>87</v>
      </c>
      <c r="C6" s="9" t="s">
        <v>176</v>
      </c>
      <c r="D6" s="30"/>
      <c r="K6" s="43" t="s">
        <v>228</v>
      </c>
      <c r="L6" s="43">
        <v>7</v>
      </c>
      <c r="M6" s="43">
        <v>7.2</v>
      </c>
      <c r="N6" s="43">
        <v>7</v>
      </c>
    </row>
    <row r="7" spans="1:14" ht="15" thickBot="1" x14ac:dyDescent="0.35">
      <c r="A7" s="27">
        <v>42375</v>
      </c>
      <c r="B7" s="2">
        <v>10</v>
      </c>
      <c r="D7" s="29"/>
      <c r="K7" s="43" t="s">
        <v>229</v>
      </c>
      <c r="L7" s="43">
        <v>7.4916666666666671</v>
      </c>
      <c r="M7" s="43">
        <v>6.8642857142857148</v>
      </c>
      <c r="N7" s="43">
        <v>7.2153846153846155</v>
      </c>
    </row>
    <row r="8" spans="1:14" ht="15" thickBot="1" x14ac:dyDescent="0.35">
      <c r="A8" s="27">
        <v>42376</v>
      </c>
      <c r="B8" s="2">
        <v>13</v>
      </c>
      <c r="C8" s="9" t="s">
        <v>175</v>
      </c>
      <c r="D8" s="30">
        <f>SUM(B2:B21)</f>
        <v>997</v>
      </c>
      <c r="K8" s="43" t="s">
        <v>230</v>
      </c>
      <c r="L8" s="43">
        <v>6.2083333333333321</v>
      </c>
      <c r="M8" s="43">
        <v>6.1333333333333311</v>
      </c>
      <c r="N8" s="43">
        <v>6.3238095238095227</v>
      </c>
    </row>
    <row r="9" spans="1:14" ht="15" thickBot="1" x14ac:dyDescent="0.35">
      <c r="A9" s="27">
        <v>42377</v>
      </c>
      <c r="B9" s="2">
        <v>53</v>
      </c>
      <c r="C9" s="9"/>
      <c r="D9" s="29"/>
      <c r="K9" s="43" t="s">
        <v>231</v>
      </c>
      <c r="L9" s="43">
        <v>6.75</v>
      </c>
      <c r="M9" s="43">
        <v>6.8624999999999998</v>
      </c>
      <c r="N9" s="43">
        <v>6.7799999999999994</v>
      </c>
    </row>
    <row r="10" spans="1:14" ht="15" thickBot="1" x14ac:dyDescent="0.35">
      <c r="A10" s="27">
        <v>42378</v>
      </c>
      <c r="B10" s="2">
        <v>48</v>
      </c>
      <c r="C10" s="9" t="s">
        <v>177</v>
      </c>
      <c r="D10" s="30"/>
      <c r="K10" s="43" t="s">
        <v>232</v>
      </c>
      <c r="L10" s="43">
        <v>5.75</v>
      </c>
      <c r="M10" s="43">
        <v>6.9499999999999993</v>
      </c>
      <c r="N10" s="43">
        <v>7.1</v>
      </c>
    </row>
    <row r="11" spans="1:14" x14ac:dyDescent="0.3">
      <c r="A11" s="27">
        <v>42379</v>
      </c>
      <c r="B11" s="2">
        <v>48</v>
      </c>
      <c r="D11" s="15"/>
      <c r="K11" s="43" t="s">
        <v>233</v>
      </c>
      <c r="L11" s="43">
        <v>6.6592592592592608</v>
      </c>
      <c r="M11" s="43">
        <v>6.5375000000000005</v>
      </c>
      <c r="N11" s="43">
        <v>6.5478260869565226</v>
      </c>
    </row>
    <row r="12" spans="1:14" x14ac:dyDescent="0.3">
      <c r="A12" s="27">
        <v>42380</v>
      </c>
      <c r="B12" s="2">
        <v>34</v>
      </c>
      <c r="K12" s="43" t="s">
        <v>234</v>
      </c>
      <c r="L12" s="43">
        <v>6.2666666666666657</v>
      </c>
      <c r="M12" s="43">
        <v>4.7</v>
      </c>
      <c r="N12" s="43">
        <v>6.1</v>
      </c>
    </row>
    <row r="13" spans="1:14" x14ac:dyDescent="0.3">
      <c r="A13" s="27">
        <v>42381</v>
      </c>
      <c r="B13" s="2">
        <v>68</v>
      </c>
      <c r="K13" s="43" t="s">
        <v>235</v>
      </c>
      <c r="L13" s="43">
        <v>6.083333333333333</v>
      </c>
      <c r="M13" s="43">
        <v>5.7166666666666659</v>
      </c>
      <c r="N13" s="43">
        <v>5.3500000000000005</v>
      </c>
    </row>
    <row r="14" spans="1:14" x14ac:dyDescent="0.3">
      <c r="A14" s="27">
        <v>42382</v>
      </c>
      <c r="B14" s="2">
        <v>50</v>
      </c>
      <c r="K14" s="43"/>
      <c r="L14" s="43"/>
      <c r="M14" s="43"/>
      <c r="N14" s="43"/>
    </row>
    <row r="15" spans="1:14" x14ac:dyDescent="0.3">
      <c r="A15" s="27">
        <v>42383</v>
      </c>
      <c r="B15" s="2">
        <v>16</v>
      </c>
      <c r="K15" s="43" t="s">
        <v>3516</v>
      </c>
      <c r="L15" s="43"/>
      <c r="M15" s="43"/>
      <c r="N15" s="43"/>
    </row>
    <row r="16" spans="1:14" x14ac:dyDescent="0.3">
      <c r="A16" s="27">
        <v>42384</v>
      </c>
      <c r="B16" s="2">
        <v>61</v>
      </c>
      <c r="K16" s="43"/>
      <c r="L16" s="43"/>
      <c r="M16" s="43"/>
      <c r="N16" s="43"/>
    </row>
    <row r="17" spans="1:14" x14ac:dyDescent="0.3">
      <c r="A17" s="27">
        <v>42385</v>
      </c>
      <c r="B17" s="2">
        <v>41</v>
      </c>
      <c r="K17" s="43">
        <f ca="1">OFFSET($K3,8,2)</f>
        <v>6.5375000000000005</v>
      </c>
      <c r="L17" s="43"/>
      <c r="M17" s="43"/>
      <c r="N17" s="43"/>
    </row>
    <row r="18" spans="1:14" x14ac:dyDescent="0.3">
      <c r="A18" s="27">
        <v>42386</v>
      </c>
      <c r="B18" s="2">
        <v>99</v>
      </c>
      <c r="K18" s="43" cm="1">
        <f t="array" aca="1" ref="K18:K21" ca="1">OFFSET($K3,COUNTA($K$3:$K$13)-1,3,-4,1)</f>
        <v>7.1</v>
      </c>
      <c r="L18" s="43"/>
      <c r="M18" s="43"/>
      <c r="N18" s="43"/>
    </row>
    <row r="19" spans="1:14" x14ac:dyDescent="0.3">
      <c r="A19" s="27">
        <v>42387</v>
      </c>
      <c r="B19" s="2">
        <v>68</v>
      </c>
      <c r="K19" s="43">
        <f ca="1"/>
        <v>6.5478260869565226</v>
      </c>
      <c r="L19" s="43"/>
      <c r="M19" s="43"/>
      <c r="N19" s="43"/>
    </row>
    <row r="20" spans="1:14" x14ac:dyDescent="0.3">
      <c r="A20" s="27">
        <v>42388</v>
      </c>
      <c r="B20" s="2">
        <v>84</v>
      </c>
      <c r="K20" s="43">
        <f ca="1"/>
        <v>6.1</v>
      </c>
      <c r="L20" s="43"/>
      <c r="M20" s="43"/>
      <c r="N20" s="43"/>
    </row>
    <row r="21" spans="1:14" x14ac:dyDescent="0.3">
      <c r="A21" s="27">
        <v>42389</v>
      </c>
      <c r="B21" s="2">
        <v>26</v>
      </c>
      <c r="K21" s="43">
        <f ca="1"/>
        <v>5.3500000000000005</v>
      </c>
      <c r="L21" s="43"/>
      <c r="M21" s="43"/>
      <c r="N21" s="43"/>
    </row>
    <row r="22" spans="1:14" x14ac:dyDescent="0.3">
      <c r="C22" s="43" cm="1">
        <f t="array" aca="1" ref="C22:C25" ca="1">OFFSET(A1,COUNTA(A1:A21)-1,1,-4,1)</f>
        <v>99</v>
      </c>
    </row>
    <row r="23" spans="1:14" x14ac:dyDescent="0.3">
      <c r="C23" s="43">
        <f ca="1"/>
        <v>68</v>
      </c>
    </row>
    <row r="24" spans="1:14" x14ac:dyDescent="0.3">
      <c r="C24" s="43">
        <f ca="1"/>
        <v>84</v>
      </c>
    </row>
    <row r="25" spans="1:14" x14ac:dyDescent="0.3">
      <c r="C25" s="43">
        <f ca="1"/>
        <v>26</v>
      </c>
    </row>
  </sheetData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H15"/>
  <sheetViews>
    <sheetView zoomScale="104" zoomScaleNormal="104" workbookViewId="0">
      <selection activeCell="I18" sqref="I18"/>
    </sheetView>
  </sheetViews>
  <sheetFormatPr defaultRowHeight="14.4" x14ac:dyDescent="0.3"/>
  <cols>
    <col min="1" max="1" width="27.77734375" customWidth="1"/>
    <col min="2" max="2" width="18" customWidth="1"/>
    <col min="3" max="3" width="18.44140625" customWidth="1"/>
    <col min="4" max="4" width="18.88671875" customWidth="1"/>
    <col min="5" max="5" width="16.21875" customWidth="1"/>
    <col min="6" max="6" width="25.5546875" style="2" customWidth="1"/>
    <col min="7" max="7" width="9.33203125" style="2" customWidth="1"/>
  </cols>
  <sheetData>
    <row r="1" spans="1:8" x14ac:dyDescent="0.3">
      <c r="A1" s="22" t="s">
        <v>168</v>
      </c>
      <c r="B1" s="23" t="s">
        <v>169</v>
      </c>
      <c r="C1" s="23" t="s">
        <v>122</v>
      </c>
      <c r="D1" s="23" t="s">
        <v>170</v>
      </c>
      <c r="E1" s="23" t="s">
        <v>171</v>
      </c>
      <c r="F1" s="1" t="s">
        <v>191</v>
      </c>
      <c r="G1" s="1" t="s">
        <v>192</v>
      </c>
    </row>
    <row r="2" spans="1:8" x14ac:dyDescent="0.3">
      <c r="A2" s="24" t="s">
        <v>178</v>
      </c>
      <c r="B2" s="33" t="str">
        <f>LEFT(A2,FIND("-",A2)-1)</f>
        <v>133462</v>
      </c>
      <c r="C2" s="33" t="str">
        <f>MID(A2,FIND("-",A2)+1,2)</f>
        <v>AA</v>
      </c>
      <c r="D2" s="33" t="str">
        <f>PROPER(RIGHT(A2,LEN(A2)-FIND("_",A2)))</f>
        <v>Small</v>
      </c>
      <c r="E2" s="33" t="str">
        <f>UPPER(D2)</f>
        <v>SMALL</v>
      </c>
      <c r="F2" s="33" t="str">
        <f>SUBSTITUTE(A2,"-","|",1)</f>
        <v>133462|AA-BOS_SMALL</v>
      </c>
      <c r="G2" s="33" t="str">
        <f>MID(A2,FIND("_",A2)-3,3)</f>
        <v>BOS</v>
      </c>
      <c r="H2" t="str">
        <f>MID(A2,FIND("-",A2),1)</f>
        <v>-</v>
      </c>
    </row>
    <row r="3" spans="1:8" x14ac:dyDescent="0.3">
      <c r="A3" s="24" t="s">
        <v>179</v>
      </c>
      <c r="B3" s="33" t="str">
        <f t="shared" ref="B3:B15" si="0">LEFT(A3,FIND("-",A3)-1)</f>
        <v>191768</v>
      </c>
      <c r="C3" s="33" t="str">
        <f t="shared" ref="C3:C15" si="1">MID(A3,FIND("-",A3)+1,2)</f>
        <v>AC</v>
      </c>
      <c r="D3" s="33" t="str">
        <f t="shared" ref="D3:D15" si="2">PROPER(RIGHT(A3,LEN(A3)-FIND("_",A3)))</f>
        <v>Medium</v>
      </c>
      <c r="E3" s="33" t="str">
        <f t="shared" ref="E3:E15" si="3">UPPER(D3)</f>
        <v>MEDIUM</v>
      </c>
      <c r="F3" s="33" t="str">
        <f t="shared" ref="F3:F15" si="4">SUBSTITUTE(A3,"-","|",1)</f>
        <v>191768|AC-NYC_MEDIUM</v>
      </c>
      <c r="G3" s="33" t="str">
        <f t="shared" ref="G3:G15" si="5">MID(A3,FIND("_",A3)-3,3)</f>
        <v>NYC</v>
      </c>
    </row>
    <row r="4" spans="1:8" x14ac:dyDescent="0.3">
      <c r="A4" s="24" t="s">
        <v>180</v>
      </c>
      <c r="B4" s="33" t="str">
        <f t="shared" si="0"/>
        <v>157263</v>
      </c>
      <c r="C4" s="33" t="str">
        <f t="shared" si="1"/>
        <v>BB</v>
      </c>
      <c r="D4" s="33" t="str">
        <f t="shared" si="2"/>
        <v>Xl</v>
      </c>
      <c r="E4" s="33" t="str">
        <f t="shared" si="3"/>
        <v>XL</v>
      </c>
      <c r="F4" s="33" t="str">
        <f t="shared" si="4"/>
        <v>157263|BB-BOS_XL</v>
      </c>
      <c r="G4" s="33" t="str">
        <f t="shared" si="5"/>
        <v>BOS</v>
      </c>
    </row>
    <row r="5" spans="1:8" x14ac:dyDescent="0.3">
      <c r="A5" s="24" t="s">
        <v>181</v>
      </c>
      <c r="B5" s="33" t="str">
        <f t="shared" si="0"/>
        <v>1734372</v>
      </c>
      <c r="C5" s="33" t="str">
        <f t="shared" si="1"/>
        <v>AA</v>
      </c>
      <c r="D5" s="33" t="str">
        <f t="shared" si="2"/>
        <v>Small</v>
      </c>
      <c r="E5" s="33" t="str">
        <f t="shared" si="3"/>
        <v>SMALL</v>
      </c>
      <c r="F5" s="33" t="str">
        <f t="shared" si="4"/>
        <v>1734372|AA-CHI_SMALL</v>
      </c>
      <c r="G5" s="33" t="str">
        <f t="shared" si="5"/>
        <v>CHI</v>
      </c>
    </row>
    <row r="6" spans="1:8" x14ac:dyDescent="0.3">
      <c r="A6" s="24" t="s">
        <v>182</v>
      </c>
      <c r="B6" s="33" t="str">
        <f t="shared" si="0"/>
        <v>135351</v>
      </c>
      <c r="C6" s="33" t="str">
        <f t="shared" si="1"/>
        <v>BC</v>
      </c>
      <c r="D6" s="33" t="str">
        <f t="shared" si="2"/>
        <v>Xl</v>
      </c>
      <c r="E6" s="33" t="str">
        <f t="shared" si="3"/>
        <v>XL</v>
      </c>
      <c r="F6" s="33" t="str">
        <f t="shared" si="4"/>
        <v>135351|BC-NYC_XL</v>
      </c>
      <c r="G6" s="33" t="str">
        <f t="shared" si="5"/>
        <v>NYC</v>
      </c>
    </row>
    <row r="7" spans="1:8" x14ac:dyDescent="0.3">
      <c r="A7" s="24" t="s">
        <v>183</v>
      </c>
      <c r="B7" s="33" t="str">
        <f t="shared" si="0"/>
        <v>14330305</v>
      </c>
      <c r="C7" s="33" t="str">
        <f t="shared" si="1"/>
        <v>AC</v>
      </c>
      <c r="D7" s="33" t="str">
        <f t="shared" si="2"/>
        <v>Large</v>
      </c>
      <c r="E7" s="33" t="str">
        <f t="shared" si="3"/>
        <v>LARGE</v>
      </c>
      <c r="F7" s="33" t="str">
        <f t="shared" si="4"/>
        <v>14330305|AC-BOS_LARGE</v>
      </c>
      <c r="G7" s="33" t="str">
        <f t="shared" si="5"/>
        <v>BOS</v>
      </c>
    </row>
    <row r="8" spans="1:8" x14ac:dyDescent="0.3">
      <c r="A8" s="24" t="s">
        <v>184</v>
      </c>
      <c r="B8" s="33" t="str">
        <f t="shared" si="0"/>
        <v>177772</v>
      </c>
      <c r="C8" s="33" t="str">
        <f t="shared" si="1"/>
        <v>BB</v>
      </c>
      <c r="D8" s="33" t="str">
        <f t="shared" si="2"/>
        <v>Medium</v>
      </c>
      <c r="E8" s="33" t="str">
        <f t="shared" si="3"/>
        <v>MEDIUM</v>
      </c>
      <c r="F8" s="33" t="str">
        <f t="shared" si="4"/>
        <v>177772|BB-NYC_MEDIUM</v>
      </c>
      <c r="G8" s="33" t="str">
        <f t="shared" si="5"/>
        <v>NYC</v>
      </c>
    </row>
    <row r="9" spans="1:8" x14ac:dyDescent="0.3">
      <c r="A9" s="24" t="s">
        <v>185</v>
      </c>
      <c r="B9" s="33" t="str">
        <f t="shared" si="0"/>
        <v>87192837</v>
      </c>
      <c r="C9" s="33" t="str">
        <f t="shared" si="1"/>
        <v>AB</v>
      </c>
      <c r="D9" s="33" t="str">
        <f t="shared" si="2"/>
        <v>Xl</v>
      </c>
      <c r="E9" s="33" t="str">
        <f t="shared" si="3"/>
        <v>XL</v>
      </c>
      <c r="F9" s="33" t="str">
        <f t="shared" si="4"/>
        <v>87192837|AB-CHI_XL</v>
      </c>
      <c r="G9" s="33" t="str">
        <f t="shared" si="5"/>
        <v>CHI</v>
      </c>
    </row>
    <row r="10" spans="1:8" x14ac:dyDescent="0.3">
      <c r="A10" s="24" t="s">
        <v>186</v>
      </c>
      <c r="B10" s="33" t="str">
        <f t="shared" si="0"/>
        <v>161266</v>
      </c>
      <c r="C10" s="33" t="str">
        <f t="shared" si="1"/>
        <v>BB</v>
      </c>
      <c r="D10" s="33" t="str">
        <f t="shared" si="2"/>
        <v>Small</v>
      </c>
      <c r="E10" s="33" t="str">
        <f t="shared" si="3"/>
        <v>SMALL</v>
      </c>
      <c r="F10" s="33" t="str">
        <f t="shared" si="4"/>
        <v>161266|BB-CHI_SMALL</v>
      </c>
      <c r="G10" s="33" t="str">
        <f t="shared" si="5"/>
        <v>CHI</v>
      </c>
    </row>
    <row r="11" spans="1:8" x14ac:dyDescent="0.3">
      <c r="A11" s="24" t="s">
        <v>187</v>
      </c>
      <c r="B11" s="33" t="str">
        <f t="shared" si="0"/>
        <v>122892</v>
      </c>
      <c r="C11" s="33" t="str">
        <f t="shared" si="1"/>
        <v>AA</v>
      </c>
      <c r="D11" s="33" t="str">
        <f t="shared" si="2"/>
        <v>Medium</v>
      </c>
      <c r="E11" s="33" t="str">
        <f t="shared" si="3"/>
        <v>MEDIUM</v>
      </c>
      <c r="F11" s="33" t="str">
        <f t="shared" si="4"/>
        <v>122892|AA-NYC_MEDIUM</v>
      </c>
      <c r="G11" s="33" t="str">
        <f t="shared" si="5"/>
        <v>NYC</v>
      </c>
    </row>
    <row r="12" spans="1:8" x14ac:dyDescent="0.3">
      <c r="A12" s="24" t="s">
        <v>188</v>
      </c>
      <c r="B12" s="33" t="str">
        <f t="shared" si="0"/>
        <v>128919</v>
      </c>
      <c r="C12" s="33" t="str">
        <f t="shared" si="1"/>
        <v>AC</v>
      </c>
      <c r="D12" s="33" t="str">
        <f t="shared" si="2"/>
        <v>Xl</v>
      </c>
      <c r="E12" s="33" t="str">
        <f t="shared" si="3"/>
        <v>XL</v>
      </c>
      <c r="F12" s="33" t="str">
        <f t="shared" si="4"/>
        <v>128919|AC-CHI_XL</v>
      </c>
      <c r="G12" s="33" t="str">
        <f t="shared" si="5"/>
        <v>CHI</v>
      </c>
    </row>
    <row r="13" spans="1:8" x14ac:dyDescent="0.3">
      <c r="A13" s="24" t="s">
        <v>189</v>
      </c>
      <c r="B13" s="33" t="str">
        <f t="shared" si="0"/>
        <v>191999</v>
      </c>
      <c r="C13" s="33" t="str">
        <f t="shared" si="1"/>
        <v>BB</v>
      </c>
      <c r="D13" s="33" t="str">
        <f t="shared" si="2"/>
        <v>Large</v>
      </c>
      <c r="E13" s="33" t="str">
        <f t="shared" si="3"/>
        <v>LARGE</v>
      </c>
      <c r="F13" s="33" t="str">
        <f t="shared" si="4"/>
        <v>191999|BB-BOS_LARGE</v>
      </c>
      <c r="G13" s="33" t="str">
        <f t="shared" si="5"/>
        <v>BOS</v>
      </c>
    </row>
    <row r="14" spans="1:8" x14ac:dyDescent="0.3">
      <c r="A14" s="24" t="s">
        <v>190</v>
      </c>
      <c r="B14" s="33" t="str">
        <f t="shared" si="0"/>
        <v>117091126</v>
      </c>
      <c r="C14" s="33" t="str">
        <f t="shared" si="1"/>
        <v>BC</v>
      </c>
      <c r="D14" s="33" t="str">
        <f t="shared" si="2"/>
        <v>Large</v>
      </c>
      <c r="E14" s="33" t="str">
        <f t="shared" si="3"/>
        <v>LARGE</v>
      </c>
      <c r="F14" s="33" t="str">
        <f t="shared" si="4"/>
        <v>117091126|BC-NYC_LARGE</v>
      </c>
      <c r="G14" s="33" t="str">
        <f t="shared" si="5"/>
        <v>NYC</v>
      </c>
    </row>
    <row r="15" spans="1:8" x14ac:dyDescent="0.3">
      <c r="A15" s="24" t="s">
        <v>193</v>
      </c>
      <c r="B15" s="33" t="str">
        <f t="shared" si="0"/>
        <v>112283</v>
      </c>
      <c r="C15" s="33" t="str">
        <f t="shared" si="1"/>
        <v>AB</v>
      </c>
      <c r="D15" s="33" t="str">
        <f t="shared" si="2"/>
        <v>Medium</v>
      </c>
      <c r="E15" s="33" t="str">
        <f t="shared" si="3"/>
        <v>MEDIUM</v>
      </c>
      <c r="F15" s="33" t="str">
        <f t="shared" si="4"/>
        <v>112283|AB-BOS_MEDIUM</v>
      </c>
      <c r="G15" s="33" t="str">
        <f t="shared" si="5"/>
        <v>BOS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0BEA0-4096-4D83-BC98-BBABACCFD2E1}">
  <sheetPr>
    <tabColor theme="3"/>
  </sheetPr>
  <dimension ref="A1:W501"/>
  <sheetViews>
    <sheetView topLeftCell="F1" zoomScale="115" zoomScaleNormal="115" workbookViewId="0">
      <selection activeCell="Y11" sqref="Y11"/>
    </sheetView>
  </sheetViews>
  <sheetFormatPr defaultRowHeight="14.4" x14ac:dyDescent="0.3"/>
  <cols>
    <col min="1" max="1" width="15.21875" customWidth="1"/>
    <col min="2" max="2" width="20.6640625" style="45" customWidth="1"/>
    <col min="3" max="3" width="13.33203125" customWidth="1"/>
    <col min="4" max="4" width="14.5546875" customWidth="1"/>
    <col min="5" max="5" width="20.77734375" style="45" customWidth="1"/>
    <col min="6" max="6" width="19.6640625" style="45" customWidth="1"/>
    <col min="7" max="7" width="11.21875" customWidth="1"/>
    <col min="8" max="8" width="13.6640625" customWidth="1"/>
    <col min="9" max="9" width="25.44140625" customWidth="1"/>
    <col min="10" max="10" width="15.44140625" customWidth="1"/>
    <col min="12" max="12" width="15.21875" customWidth="1"/>
    <col min="13" max="13" width="13.77734375" style="45" customWidth="1"/>
    <col min="14" max="14" width="37.109375" style="45" customWidth="1"/>
    <col min="15" max="15" width="35.77734375" customWidth="1"/>
    <col min="16" max="16" width="26" style="45" bestFit="1" customWidth="1"/>
    <col min="17" max="17" width="15.77734375" customWidth="1"/>
    <col min="18" max="21" width="15.77734375" style="45" customWidth="1"/>
    <col min="22" max="22" width="17.77734375" style="2" customWidth="1"/>
    <col min="23" max="23" width="8.77734375" style="45"/>
  </cols>
  <sheetData>
    <row r="1" spans="1:23" x14ac:dyDescent="0.3">
      <c r="A1" s="44" t="s">
        <v>3323</v>
      </c>
      <c r="B1" s="44" t="s">
        <v>3322</v>
      </c>
      <c r="C1" s="44" t="s">
        <v>3321</v>
      </c>
      <c r="D1" s="44" t="s">
        <v>3320</v>
      </c>
      <c r="E1" s="44" t="s">
        <v>3319</v>
      </c>
      <c r="F1" s="44" t="s">
        <v>3318</v>
      </c>
      <c r="G1" s="44" t="s">
        <v>55</v>
      </c>
      <c r="H1" s="44" t="s">
        <v>3528</v>
      </c>
      <c r="I1" s="44" t="s">
        <v>3317</v>
      </c>
      <c r="J1" s="44" t="s">
        <v>192</v>
      </c>
      <c r="K1" s="44" t="s">
        <v>0</v>
      </c>
      <c r="L1" s="44" t="s">
        <v>3316</v>
      </c>
      <c r="M1" s="44" t="s">
        <v>3315</v>
      </c>
      <c r="N1" s="44" t="s">
        <v>3314</v>
      </c>
      <c r="O1" s="44" t="s">
        <v>3313</v>
      </c>
      <c r="P1" s="44" t="s">
        <v>3324</v>
      </c>
      <c r="Q1" s="44" t="s">
        <v>3312</v>
      </c>
      <c r="R1" s="44" t="s">
        <v>3311</v>
      </c>
      <c r="S1" s="44" t="s">
        <v>3310</v>
      </c>
      <c r="T1" s="44" t="s">
        <v>3309</v>
      </c>
      <c r="U1" s="44" t="s">
        <v>3308</v>
      </c>
      <c r="V1" s="1" t="s">
        <v>3307</v>
      </c>
      <c r="W1" s="44" t="s">
        <v>3306</v>
      </c>
    </row>
    <row r="2" spans="1:23" x14ac:dyDescent="0.3">
      <c r="A2" t="s">
        <v>3305</v>
      </c>
      <c r="B2" s="45" t="str">
        <f>PROPER(A2)</f>
        <v xml:space="preserve">Jennifer </v>
      </c>
      <c r="C2" t="s">
        <v>56</v>
      </c>
      <c r="D2" t="s">
        <v>3304</v>
      </c>
      <c r="E2" s="45" t="str">
        <f>PROPER(D2)</f>
        <v>Mcgrath</v>
      </c>
      <c r="F2" s="45" t="str">
        <f>_xlfn.CONCAT(B2," ",C2," ",E2)</f>
        <v>Jennifer  J Mcgrath</v>
      </c>
      <c r="G2" t="s">
        <v>241</v>
      </c>
      <c r="H2" t="str">
        <f>PROPER(G2)</f>
        <v>Female</v>
      </c>
      <c r="I2" t="s">
        <v>3303</v>
      </c>
      <c r="J2" t="s">
        <v>3302</v>
      </c>
      <c r="K2" t="s">
        <v>57</v>
      </c>
      <c r="L2">
        <v>62031</v>
      </c>
      <c r="O2" s="128" t="s">
        <v>3301</v>
      </c>
      <c r="P2" s="45" t="str">
        <f>_xlfn.TEXTBEFORE(_xlfn.TEXTAFTER(O2,"@"),".")</f>
        <v>gmail</v>
      </c>
      <c r="Q2" t="s">
        <v>3300</v>
      </c>
      <c r="R2" s="45" t="str">
        <f>SUBSTITUTE(Q2,"-","|")</f>
        <v>618|376|3064</v>
      </c>
      <c r="S2" s="45" t="str">
        <f>LEFT(R2,3)</f>
        <v>618</v>
      </c>
      <c r="T2" s="45" t="str">
        <f>MID(R2,5,3)</f>
        <v>376</v>
      </c>
      <c r="U2" s="45" t="str">
        <f>RIGHT(R2,4)</f>
        <v>3064</v>
      </c>
      <c r="V2" s="2" t="s">
        <v>3299</v>
      </c>
      <c r="W2" s="45" t="str">
        <f>RIGHT(V2,LEN(V2)-FIND("-",V2))</f>
        <v>158</v>
      </c>
    </row>
    <row r="3" spans="1:23" x14ac:dyDescent="0.3">
      <c r="A3" t="s">
        <v>1832</v>
      </c>
      <c r="B3" s="45" t="str">
        <f t="shared" ref="B3:B66" si="0">PROPER(A3)</f>
        <v>Chad</v>
      </c>
      <c r="C3" t="s">
        <v>266</v>
      </c>
      <c r="D3" t="s">
        <v>3298</v>
      </c>
      <c r="E3" s="45" t="str">
        <f t="shared" ref="E3:E66" si="1">PROPER(D3)</f>
        <v xml:space="preserve">Lewis </v>
      </c>
      <c r="F3" s="45" t="str">
        <f t="shared" ref="F3:F66" si="2">_xlfn.CONCAT(B3," ",C3," ",E3)</f>
        <v xml:space="preserve">Chad S Lewis </v>
      </c>
      <c r="G3" t="s">
        <v>264</v>
      </c>
      <c r="H3" t="str">
        <f t="shared" ref="H3:H66" si="3">PROPER(G3)</f>
        <v>Male</v>
      </c>
      <c r="I3" t="s">
        <v>3297</v>
      </c>
      <c r="J3" t="s">
        <v>3296</v>
      </c>
      <c r="K3" t="s">
        <v>58</v>
      </c>
      <c r="L3">
        <v>95936</v>
      </c>
      <c r="O3" t="s">
        <v>3295</v>
      </c>
      <c r="P3" s="45" t="str">
        <f t="shared" ref="P3:P66" si="4">_xlfn.TEXTBEFORE(_xlfn.TEXTAFTER(O3,"@"),".")</f>
        <v>aol</v>
      </c>
      <c r="Q3" t="s">
        <v>3294</v>
      </c>
      <c r="R3" s="45" t="str">
        <f t="shared" ref="R3:R66" si="5">SUBSTITUTE(Q3,"-","|")</f>
        <v>530|289|3807</v>
      </c>
      <c r="S3" s="45" t="str">
        <f t="shared" ref="S3:S66" si="6">LEFT(R3,3)</f>
        <v>530</v>
      </c>
      <c r="T3" s="45" t="str">
        <f t="shared" ref="T3:T66" si="7">MID(R3,5,3)</f>
        <v>289</v>
      </c>
      <c r="U3" s="45" t="str">
        <f t="shared" ref="U3:U66" si="8">RIGHT(R3,4)</f>
        <v>3807</v>
      </c>
      <c r="V3" s="2" t="s">
        <v>3293</v>
      </c>
      <c r="W3" s="45" t="str">
        <f t="shared" ref="W3:W66" si="9">RIGHT(V3,LEN(V3)-FIND("-",V3))</f>
        <v>851</v>
      </c>
    </row>
    <row r="4" spans="1:23" x14ac:dyDescent="0.3">
      <c r="A4" t="s">
        <v>610</v>
      </c>
      <c r="B4" s="45" t="str">
        <f t="shared" si="0"/>
        <v>Susan</v>
      </c>
      <c r="C4" t="s">
        <v>266</v>
      </c>
      <c r="D4" t="s">
        <v>3053</v>
      </c>
      <c r="E4" s="45" t="str">
        <f t="shared" si="1"/>
        <v>Rodriguez</v>
      </c>
      <c r="F4" s="45" t="str">
        <f t="shared" si="2"/>
        <v>Susan S Rodriguez</v>
      </c>
      <c r="G4" t="s">
        <v>241</v>
      </c>
      <c r="H4" t="str">
        <f t="shared" si="3"/>
        <v>Female</v>
      </c>
      <c r="I4" t="s">
        <v>3292</v>
      </c>
      <c r="J4" t="s">
        <v>3291</v>
      </c>
      <c r="K4" t="s">
        <v>59</v>
      </c>
      <c r="L4">
        <v>7040</v>
      </c>
      <c r="O4" t="s">
        <v>3290</v>
      </c>
      <c r="P4" s="45" t="str">
        <f t="shared" si="4"/>
        <v>hotmail</v>
      </c>
      <c r="Q4" t="s">
        <v>3289</v>
      </c>
      <c r="R4" s="45" t="str">
        <f t="shared" si="5"/>
        <v>908|264|1670</v>
      </c>
      <c r="S4" s="45" t="str">
        <f t="shared" si="6"/>
        <v>908</v>
      </c>
      <c r="T4" s="45" t="str">
        <f t="shared" si="7"/>
        <v>264</v>
      </c>
      <c r="U4" s="45" t="str">
        <f t="shared" si="8"/>
        <v>1670</v>
      </c>
      <c r="V4" s="2" t="s">
        <v>3288</v>
      </c>
      <c r="W4" s="45" t="str">
        <f t="shared" si="9"/>
        <v>5370</v>
      </c>
    </row>
    <row r="5" spans="1:23" x14ac:dyDescent="0.3">
      <c r="A5" t="s">
        <v>3287</v>
      </c>
      <c r="B5" s="45" t="str">
        <f t="shared" si="0"/>
        <v xml:space="preserve">Wayne </v>
      </c>
      <c r="C5" t="s">
        <v>60</v>
      </c>
      <c r="D5" t="s">
        <v>3286</v>
      </c>
      <c r="E5" s="45" t="str">
        <f t="shared" si="1"/>
        <v>Nielson</v>
      </c>
      <c r="F5" s="45" t="str">
        <f t="shared" si="2"/>
        <v>Wayne  M Nielson</v>
      </c>
      <c r="G5" t="s">
        <v>264</v>
      </c>
      <c r="H5" t="str">
        <f t="shared" si="3"/>
        <v>Male</v>
      </c>
      <c r="I5" t="s">
        <v>3285</v>
      </c>
      <c r="J5" t="s">
        <v>785</v>
      </c>
      <c r="K5" t="s">
        <v>61</v>
      </c>
      <c r="L5">
        <v>22448</v>
      </c>
      <c r="O5" t="s">
        <v>3284</v>
      </c>
      <c r="P5" s="45" t="str">
        <f t="shared" si="4"/>
        <v>aol</v>
      </c>
      <c r="Q5" t="s">
        <v>3283</v>
      </c>
      <c r="R5" s="45" t="str">
        <f t="shared" si="5"/>
        <v>540|644|7658</v>
      </c>
      <c r="S5" s="45" t="str">
        <f t="shared" si="6"/>
        <v>540</v>
      </c>
      <c r="T5" s="45" t="str">
        <f t="shared" si="7"/>
        <v>644</v>
      </c>
      <c r="U5" s="45" t="str">
        <f t="shared" si="8"/>
        <v>7658</v>
      </c>
      <c r="V5" s="2" t="s">
        <v>3282</v>
      </c>
      <c r="W5" s="45" t="str">
        <f t="shared" si="9"/>
        <v>1254</v>
      </c>
    </row>
    <row r="6" spans="1:23" x14ac:dyDescent="0.3">
      <c r="A6" t="s">
        <v>523</v>
      </c>
      <c r="B6" s="45" t="str">
        <f t="shared" si="0"/>
        <v>John</v>
      </c>
      <c r="C6" t="s">
        <v>62</v>
      </c>
      <c r="D6" t="s">
        <v>3281</v>
      </c>
      <c r="E6" s="45" t="str">
        <f t="shared" si="1"/>
        <v xml:space="preserve">Depaul </v>
      </c>
      <c r="F6" s="45" t="str">
        <f t="shared" si="2"/>
        <v xml:space="preserve">John D Depaul </v>
      </c>
      <c r="G6" t="s">
        <v>264</v>
      </c>
      <c r="H6" t="str">
        <f t="shared" si="3"/>
        <v>Male</v>
      </c>
      <c r="I6" t="s">
        <v>3280</v>
      </c>
      <c r="J6" t="s">
        <v>3279</v>
      </c>
      <c r="K6" t="s">
        <v>63</v>
      </c>
      <c r="L6">
        <v>70815</v>
      </c>
      <c r="O6" t="s">
        <v>3278</v>
      </c>
      <c r="P6" s="45" t="str">
        <f t="shared" si="4"/>
        <v>gmail</v>
      </c>
      <c r="Q6" t="s">
        <v>3277</v>
      </c>
      <c r="R6" s="45" t="str">
        <f t="shared" si="5"/>
        <v>225|274|4802</v>
      </c>
      <c r="S6" s="45" t="str">
        <f t="shared" si="6"/>
        <v>225</v>
      </c>
      <c r="T6" s="45" t="str">
        <f t="shared" si="7"/>
        <v>274</v>
      </c>
      <c r="U6" s="45" t="str">
        <f t="shared" si="8"/>
        <v>4802</v>
      </c>
      <c r="V6" s="2" t="s">
        <v>3276</v>
      </c>
      <c r="W6" s="45" t="str">
        <f t="shared" si="9"/>
        <v>1343</v>
      </c>
    </row>
    <row r="7" spans="1:23" x14ac:dyDescent="0.3">
      <c r="A7" t="s">
        <v>411</v>
      </c>
      <c r="B7" s="45" t="str">
        <f t="shared" si="0"/>
        <v>Joseph</v>
      </c>
      <c r="C7" t="s">
        <v>56</v>
      </c>
      <c r="D7" t="s">
        <v>887</v>
      </c>
      <c r="E7" s="45" t="str">
        <f t="shared" si="1"/>
        <v>Martinez</v>
      </c>
      <c r="F7" s="45" t="str">
        <f t="shared" si="2"/>
        <v>Joseph J Martinez</v>
      </c>
      <c r="G7" t="s">
        <v>264</v>
      </c>
      <c r="H7" t="str">
        <f t="shared" si="3"/>
        <v>Male</v>
      </c>
      <c r="I7" t="s">
        <v>3275</v>
      </c>
      <c r="J7" t="s">
        <v>792</v>
      </c>
      <c r="K7" t="s">
        <v>64</v>
      </c>
      <c r="L7">
        <v>97205</v>
      </c>
      <c r="O7" t="s">
        <v>3274</v>
      </c>
      <c r="P7" s="45" t="str">
        <f t="shared" si="4"/>
        <v>aol</v>
      </c>
      <c r="Q7" t="s">
        <v>3273</v>
      </c>
      <c r="R7" s="45" t="str">
        <f t="shared" si="5"/>
        <v>503|402|2075</v>
      </c>
      <c r="S7" s="45" t="str">
        <f t="shared" si="6"/>
        <v>503</v>
      </c>
      <c r="T7" s="45" t="str">
        <f t="shared" si="7"/>
        <v>402</v>
      </c>
      <c r="U7" s="45" t="str">
        <f t="shared" si="8"/>
        <v>2075</v>
      </c>
      <c r="V7" s="2" t="s">
        <v>3272</v>
      </c>
      <c r="W7" s="45" t="str">
        <f t="shared" si="9"/>
        <v>8581</v>
      </c>
    </row>
    <row r="8" spans="1:23" x14ac:dyDescent="0.3">
      <c r="A8" t="s">
        <v>693</v>
      </c>
      <c r="B8" s="45" t="str">
        <f t="shared" si="0"/>
        <v>Diane</v>
      </c>
      <c r="C8" t="s">
        <v>65</v>
      </c>
      <c r="D8" t="s">
        <v>3271</v>
      </c>
      <c r="E8" s="45" t="str">
        <f t="shared" si="1"/>
        <v xml:space="preserve">Henry </v>
      </c>
      <c r="F8" s="45" t="str">
        <f t="shared" si="2"/>
        <v xml:space="preserve">Diane K Henry </v>
      </c>
      <c r="G8" t="s">
        <v>241</v>
      </c>
      <c r="H8" t="str">
        <f t="shared" si="3"/>
        <v>Female</v>
      </c>
      <c r="I8" t="s">
        <v>3270</v>
      </c>
      <c r="J8" t="s">
        <v>2524</v>
      </c>
      <c r="K8" t="s">
        <v>66</v>
      </c>
      <c r="L8">
        <v>78749</v>
      </c>
      <c r="O8" t="s">
        <v>3269</v>
      </c>
      <c r="P8" s="45" t="str">
        <f t="shared" si="4"/>
        <v>gmail</v>
      </c>
      <c r="Q8" t="s">
        <v>3268</v>
      </c>
      <c r="R8" s="45" t="str">
        <f t="shared" si="5"/>
        <v>512|633|7667</v>
      </c>
      <c r="S8" s="45" t="str">
        <f t="shared" si="6"/>
        <v>512</v>
      </c>
      <c r="T8" s="45" t="str">
        <f t="shared" si="7"/>
        <v>633</v>
      </c>
      <c r="U8" s="45" t="str">
        <f t="shared" si="8"/>
        <v>7667</v>
      </c>
      <c r="V8" s="2" t="s">
        <v>3267</v>
      </c>
      <c r="W8" s="45" t="str">
        <f t="shared" si="9"/>
        <v>7264</v>
      </c>
    </row>
    <row r="9" spans="1:23" x14ac:dyDescent="0.3">
      <c r="A9" t="s">
        <v>3266</v>
      </c>
      <c r="B9" s="45" t="str">
        <f t="shared" si="0"/>
        <v>Veronica</v>
      </c>
      <c r="C9" t="s">
        <v>60</v>
      </c>
      <c r="D9" t="s">
        <v>3265</v>
      </c>
      <c r="E9" s="45" t="str">
        <f t="shared" si="1"/>
        <v>Comerford</v>
      </c>
      <c r="F9" s="45" t="str">
        <f t="shared" si="2"/>
        <v>Veronica M Comerford</v>
      </c>
      <c r="G9" t="s">
        <v>241</v>
      </c>
      <c r="H9" t="str">
        <f t="shared" si="3"/>
        <v>Female</v>
      </c>
      <c r="I9" t="s">
        <v>3264</v>
      </c>
      <c r="J9" t="s">
        <v>3263</v>
      </c>
      <c r="K9" t="s">
        <v>67</v>
      </c>
      <c r="L9">
        <v>36083</v>
      </c>
      <c r="O9" t="s">
        <v>3262</v>
      </c>
      <c r="P9" s="45" t="str">
        <f t="shared" si="4"/>
        <v>gmail</v>
      </c>
      <c r="Q9" t="s">
        <v>3261</v>
      </c>
      <c r="R9" s="45" t="str">
        <f t="shared" si="5"/>
        <v>334|725|7343</v>
      </c>
      <c r="S9" s="45" t="str">
        <f t="shared" si="6"/>
        <v>334</v>
      </c>
      <c r="T9" s="45" t="str">
        <f t="shared" si="7"/>
        <v>725</v>
      </c>
      <c r="U9" s="45" t="str">
        <f t="shared" si="8"/>
        <v>7343</v>
      </c>
      <c r="V9" s="2" t="s">
        <v>3260</v>
      </c>
      <c r="W9" s="45" t="str">
        <f t="shared" si="9"/>
        <v>9897</v>
      </c>
    </row>
    <row r="10" spans="1:23" x14ac:dyDescent="0.3">
      <c r="A10" t="s">
        <v>3259</v>
      </c>
      <c r="B10" s="45" t="str">
        <f t="shared" si="0"/>
        <v>Beverly</v>
      </c>
      <c r="C10" t="s">
        <v>62</v>
      </c>
      <c r="D10" t="s">
        <v>3258</v>
      </c>
      <c r="E10" s="45" t="str">
        <f t="shared" si="1"/>
        <v>Nixon</v>
      </c>
      <c r="F10" s="45" t="str">
        <f t="shared" si="2"/>
        <v>Beverly D Nixon</v>
      </c>
      <c r="G10" t="s">
        <v>241</v>
      </c>
      <c r="H10" t="str">
        <f t="shared" si="3"/>
        <v>Female</v>
      </c>
      <c r="I10" t="s">
        <v>3257</v>
      </c>
      <c r="J10" t="s">
        <v>3256</v>
      </c>
      <c r="K10" t="s">
        <v>68</v>
      </c>
      <c r="L10">
        <v>11101</v>
      </c>
      <c r="O10" t="s">
        <v>3255</v>
      </c>
      <c r="P10" s="45" t="str">
        <f t="shared" si="4"/>
        <v>aol</v>
      </c>
      <c r="Q10" t="s">
        <v>3254</v>
      </c>
      <c r="R10" s="45" t="str">
        <f t="shared" si="5"/>
        <v>347|626|0700</v>
      </c>
      <c r="S10" s="45" t="str">
        <f t="shared" si="6"/>
        <v>347</v>
      </c>
      <c r="T10" s="45" t="str">
        <f t="shared" si="7"/>
        <v>626</v>
      </c>
      <c r="U10" s="45" t="str">
        <f t="shared" si="8"/>
        <v>0700</v>
      </c>
      <c r="V10" s="2" t="s">
        <v>3253</v>
      </c>
      <c r="W10" s="45" t="str">
        <f t="shared" si="9"/>
        <v>7922</v>
      </c>
    </row>
    <row r="11" spans="1:23" x14ac:dyDescent="0.3">
      <c r="A11" t="s">
        <v>3252</v>
      </c>
      <c r="B11" s="45" t="str">
        <f t="shared" si="0"/>
        <v>Ivan</v>
      </c>
      <c r="C11" t="s">
        <v>266</v>
      </c>
      <c r="D11" t="s">
        <v>3251</v>
      </c>
      <c r="E11" s="45" t="str">
        <f t="shared" si="1"/>
        <v>Layton</v>
      </c>
      <c r="F11" s="45" t="str">
        <f t="shared" si="2"/>
        <v>Ivan S Layton</v>
      </c>
      <c r="G11" t="s">
        <v>264</v>
      </c>
      <c r="H11" t="str">
        <f t="shared" si="3"/>
        <v>Male</v>
      </c>
      <c r="I11" t="s">
        <v>3250</v>
      </c>
      <c r="J11" t="s">
        <v>1104</v>
      </c>
      <c r="K11" t="s">
        <v>68</v>
      </c>
      <c r="L11">
        <v>12207</v>
      </c>
      <c r="O11" t="s">
        <v>3249</v>
      </c>
      <c r="P11" s="45" t="str">
        <f t="shared" si="4"/>
        <v>gmail</v>
      </c>
      <c r="Q11" t="s">
        <v>3248</v>
      </c>
      <c r="R11" s="45" t="str">
        <f t="shared" si="5"/>
        <v>518|431|7602</v>
      </c>
      <c r="S11" s="45" t="str">
        <f t="shared" si="6"/>
        <v>518</v>
      </c>
      <c r="T11" s="45" t="str">
        <f t="shared" si="7"/>
        <v>431</v>
      </c>
      <c r="U11" s="45" t="str">
        <f t="shared" si="8"/>
        <v>7602</v>
      </c>
      <c r="V11" s="2" t="s">
        <v>3247</v>
      </c>
      <c r="W11" s="45" t="str">
        <f t="shared" si="9"/>
        <v>4367</v>
      </c>
    </row>
    <row r="12" spans="1:23" x14ac:dyDescent="0.3">
      <c r="A12" t="s">
        <v>1902</v>
      </c>
      <c r="B12" s="45" t="str">
        <f t="shared" si="0"/>
        <v>Shannon</v>
      </c>
      <c r="C12" t="s">
        <v>69</v>
      </c>
      <c r="D12" t="s">
        <v>1183</v>
      </c>
      <c r="E12" s="45" t="str">
        <f t="shared" si="1"/>
        <v>Ford</v>
      </c>
      <c r="F12" s="45" t="str">
        <f t="shared" si="2"/>
        <v>Shannon H Ford</v>
      </c>
      <c r="G12" t="s">
        <v>241</v>
      </c>
      <c r="H12" t="str">
        <f t="shared" si="3"/>
        <v>Female</v>
      </c>
      <c r="I12" t="s">
        <v>3246</v>
      </c>
      <c r="J12" t="s">
        <v>3245</v>
      </c>
      <c r="K12" t="s">
        <v>66</v>
      </c>
      <c r="L12">
        <v>77803</v>
      </c>
      <c r="O12" t="s">
        <v>3244</v>
      </c>
      <c r="P12" s="45" t="str">
        <f t="shared" si="4"/>
        <v>aol</v>
      </c>
      <c r="Q12" t="s">
        <v>3243</v>
      </c>
      <c r="R12" s="45" t="str">
        <f t="shared" si="5"/>
        <v>979|814|1664</v>
      </c>
      <c r="S12" s="45" t="str">
        <f t="shared" si="6"/>
        <v>979</v>
      </c>
      <c r="T12" s="45" t="str">
        <f t="shared" si="7"/>
        <v>814</v>
      </c>
      <c r="U12" s="45" t="str">
        <f t="shared" si="8"/>
        <v>1664</v>
      </c>
      <c r="V12" s="2" t="s">
        <v>3242</v>
      </c>
      <c r="W12" s="45" t="str">
        <f t="shared" si="9"/>
        <v>6340</v>
      </c>
    </row>
    <row r="13" spans="1:23" x14ac:dyDescent="0.3">
      <c r="A13" t="s">
        <v>3241</v>
      </c>
      <c r="B13" s="45" t="str">
        <f t="shared" si="0"/>
        <v>Debra</v>
      </c>
      <c r="C13" t="s">
        <v>70</v>
      </c>
      <c r="D13" t="s">
        <v>3240</v>
      </c>
      <c r="E13" s="45" t="str">
        <f t="shared" si="1"/>
        <v>Ponce</v>
      </c>
      <c r="F13" s="45" t="str">
        <f t="shared" si="2"/>
        <v>Debra F Ponce</v>
      </c>
      <c r="G13" t="s">
        <v>241</v>
      </c>
      <c r="H13" t="str">
        <f t="shared" si="3"/>
        <v>Female</v>
      </c>
      <c r="I13" t="s">
        <v>3239</v>
      </c>
      <c r="J13" t="s">
        <v>703</v>
      </c>
      <c r="K13" t="s">
        <v>66</v>
      </c>
      <c r="L13">
        <v>75247</v>
      </c>
      <c r="O13" t="s">
        <v>3238</v>
      </c>
      <c r="P13" s="45" t="str">
        <f t="shared" si="4"/>
        <v>gmail</v>
      </c>
      <c r="Q13" t="s">
        <v>3237</v>
      </c>
      <c r="R13" s="45" t="str">
        <f t="shared" si="5"/>
        <v>254|488|3212</v>
      </c>
      <c r="S13" s="45" t="str">
        <f t="shared" si="6"/>
        <v>254</v>
      </c>
      <c r="T13" s="45" t="str">
        <f t="shared" si="7"/>
        <v>488</v>
      </c>
      <c r="U13" s="45" t="str">
        <f t="shared" si="8"/>
        <v>3212</v>
      </c>
      <c r="V13" s="2" t="s">
        <v>3236</v>
      </c>
      <c r="W13" s="45" t="str">
        <f t="shared" si="9"/>
        <v>7259</v>
      </c>
    </row>
    <row r="14" spans="1:23" x14ac:dyDescent="0.3">
      <c r="A14" t="s">
        <v>3235</v>
      </c>
      <c r="B14" s="45" t="str">
        <f t="shared" si="0"/>
        <v>Margaret</v>
      </c>
      <c r="C14" t="s">
        <v>243</v>
      </c>
      <c r="D14" t="s">
        <v>3234</v>
      </c>
      <c r="E14" s="45" t="str">
        <f t="shared" si="1"/>
        <v>Bryner</v>
      </c>
      <c r="F14" s="45" t="str">
        <f t="shared" si="2"/>
        <v>Margaret R Bryner</v>
      </c>
      <c r="G14" t="s">
        <v>241</v>
      </c>
      <c r="H14" t="str">
        <f t="shared" si="3"/>
        <v>Female</v>
      </c>
      <c r="I14" t="s">
        <v>3233</v>
      </c>
      <c r="J14" t="s">
        <v>1630</v>
      </c>
      <c r="K14" t="s">
        <v>71</v>
      </c>
      <c r="L14">
        <v>2905</v>
      </c>
      <c r="O14" t="s">
        <v>3232</v>
      </c>
      <c r="P14" s="45" t="str">
        <f t="shared" si="4"/>
        <v>aol</v>
      </c>
      <c r="Q14" t="s">
        <v>3231</v>
      </c>
      <c r="R14" s="45" t="str">
        <f t="shared" si="5"/>
        <v>401|222|2097</v>
      </c>
      <c r="S14" s="45" t="str">
        <f t="shared" si="6"/>
        <v>401</v>
      </c>
      <c r="T14" s="45" t="str">
        <f t="shared" si="7"/>
        <v>222</v>
      </c>
      <c r="U14" s="45" t="str">
        <f t="shared" si="8"/>
        <v>2097</v>
      </c>
      <c r="V14" s="2" t="s">
        <v>3230</v>
      </c>
      <c r="W14" s="45" t="str">
        <f t="shared" si="9"/>
        <v>513</v>
      </c>
    </row>
    <row r="15" spans="1:23" x14ac:dyDescent="0.3">
      <c r="A15" t="s">
        <v>464</v>
      </c>
      <c r="B15" s="45" t="str">
        <f t="shared" si="0"/>
        <v>Barbara</v>
      </c>
      <c r="C15" t="s">
        <v>72</v>
      </c>
      <c r="D15" t="s">
        <v>1043</v>
      </c>
      <c r="E15" s="45" t="str">
        <f t="shared" si="1"/>
        <v>Smith</v>
      </c>
      <c r="F15" s="45" t="str">
        <f t="shared" si="2"/>
        <v>Barbara E Smith</v>
      </c>
      <c r="G15" t="s">
        <v>241</v>
      </c>
      <c r="H15" t="str">
        <f t="shared" si="3"/>
        <v>Female</v>
      </c>
      <c r="I15" t="s">
        <v>3229</v>
      </c>
      <c r="J15" t="s">
        <v>3228</v>
      </c>
      <c r="K15" t="s">
        <v>59</v>
      </c>
      <c r="L15">
        <v>8232</v>
      </c>
      <c r="O15" t="s">
        <v>3227</v>
      </c>
      <c r="P15" s="45" t="str">
        <f t="shared" si="4"/>
        <v>hotmail</v>
      </c>
      <c r="Q15" t="s">
        <v>3226</v>
      </c>
      <c r="R15" s="45" t="str">
        <f t="shared" si="5"/>
        <v>609|412|4268</v>
      </c>
      <c r="S15" s="45" t="str">
        <f t="shared" si="6"/>
        <v>609</v>
      </c>
      <c r="T15" s="45" t="str">
        <f t="shared" si="7"/>
        <v>412</v>
      </c>
      <c r="U15" s="45" t="str">
        <f t="shared" si="8"/>
        <v>4268</v>
      </c>
      <c r="V15" s="2" t="s">
        <v>3225</v>
      </c>
      <c r="W15" s="45" t="str">
        <f t="shared" si="9"/>
        <v>1895</v>
      </c>
    </row>
    <row r="16" spans="1:23" x14ac:dyDescent="0.3">
      <c r="A16" t="s">
        <v>1283</v>
      </c>
      <c r="B16" s="45" t="str">
        <f t="shared" si="0"/>
        <v>Sue</v>
      </c>
      <c r="C16" t="s">
        <v>1051</v>
      </c>
      <c r="D16" t="s">
        <v>3224</v>
      </c>
      <c r="E16" s="45" t="str">
        <f t="shared" si="1"/>
        <v>Gay</v>
      </c>
      <c r="F16" s="45" t="str">
        <f t="shared" si="2"/>
        <v>Sue P Gay</v>
      </c>
      <c r="G16" t="s">
        <v>241</v>
      </c>
      <c r="H16" t="str">
        <f t="shared" si="3"/>
        <v>Female</v>
      </c>
      <c r="I16" t="s">
        <v>3223</v>
      </c>
      <c r="J16" t="s">
        <v>3222</v>
      </c>
      <c r="K16" t="s">
        <v>73</v>
      </c>
      <c r="L16">
        <v>54620</v>
      </c>
      <c r="O16" t="s">
        <v>3221</v>
      </c>
      <c r="P16" s="45" t="str">
        <f t="shared" si="4"/>
        <v>aol</v>
      </c>
      <c r="Q16" t="s">
        <v>3220</v>
      </c>
      <c r="R16" s="45" t="str">
        <f t="shared" si="5"/>
        <v>608|272|8021</v>
      </c>
      <c r="S16" s="45" t="str">
        <f t="shared" si="6"/>
        <v>608</v>
      </c>
      <c r="T16" s="45" t="str">
        <f t="shared" si="7"/>
        <v>272</v>
      </c>
      <c r="U16" s="45" t="str">
        <f t="shared" si="8"/>
        <v>8021</v>
      </c>
      <c r="V16" s="2" t="s">
        <v>3219</v>
      </c>
      <c r="W16" s="45" t="str">
        <f t="shared" si="9"/>
        <v>218</v>
      </c>
    </row>
    <row r="17" spans="1:23" x14ac:dyDescent="0.3">
      <c r="A17" t="s">
        <v>855</v>
      </c>
      <c r="B17" s="45" t="str">
        <f t="shared" si="0"/>
        <v>Mark</v>
      </c>
      <c r="C17" t="s">
        <v>266</v>
      </c>
      <c r="D17" t="s">
        <v>2417</v>
      </c>
      <c r="E17" s="45" t="str">
        <f t="shared" si="1"/>
        <v>Flores</v>
      </c>
      <c r="F17" s="45" t="str">
        <f t="shared" si="2"/>
        <v>Mark S Flores</v>
      </c>
      <c r="G17" t="s">
        <v>264</v>
      </c>
      <c r="H17" t="str">
        <f t="shared" si="3"/>
        <v>Male</v>
      </c>
      <c r="I17" t="s">
        <v>3218</v>
      </c>
      <c r="J17" t="s">
        <v>3217</v>
      </c>
      <c r="K17" t="s">
        <v>74</v>
      </c>
      <c r="L17">
        <v>48607</v>
      </c>
      <c r="O17" t="s">
        <v>3216</v>
      </c>
      <c r="P17" s="45" t="str">
        <f t="shared" si="4"/>
        <v>aol</v>
      </c>
      <c r="Q17" t="s">
        <v>3215</v>
      </c>
      <c r="R17" s="45" t="str">
        <f t="shared" si="5"/>
        <v>989|669|4705</v>
      </c>
      <c r="S17" s="45" t="str">
        <f t="shared" si="6"/>
        <v>989</v>
      </c>
      <c r="T17" s="45" t="str">
        <f t="shared" si="7"/>
        <v>669</v>
      </c>
      <c r="U17" s="45" t="str">
        <f t="shared" si="8"/>
        <v>4705</v>
      </c>
      <c r="V17" s="2" t="s">
        <v>3214</v>
      </c>
      <c r="W17" s="45" t="str">
        <f t="shared" si="9"/>
        <v>239</v>
      </c>
    </row>
    <row r="18" spans="1:23" x14ac:dyDescent="0.3">
      <c r="A18" t="s">
        <v>258</v>
      </c>
      <c r="B18" s="45" t="str">
        <f t="shared" si="0"/>
        <v>Julie</v>
      </c>
      <c r="C18" t="s">
        <v>75</v>
      </c>
      <c r="D18" t="s">
        <v>3213</v>
      </c>
      <c r="E18" s="45" t="str">
        <f t="shared" si="1"/>
        <v>Purington</v>
      </c>
      <c r="F18" s="45" t="str">
        <f t="shared" si="2"/>
        <v>Julie B Purington</v>
      </c>
      <c r="G18" t="s">
        <v>241</v>
      </c>
      <c r="H18" t="str">
        <f t="shared" si="3"/>
        <v>Female</v>
      </c>
      <c r="I18" t="s">
        <v>3212</v>
      </c>
      <c r="J18" t="s">
        <v>3211</v>
      </c>
      <c r="K18" t="s">
        <v>59</v>
      </c>
      <c r="L18">
        <v>8854</v>
      </c>
      <c r="O18" t="s">
        <v>3210</v>
      </c>
      <c r="P18" s="45" t="str">
        <f t="shared" si="4"/>
        <v>hotmail</v>
      </c>
      <c r="Q18" t="s">
        <v>3209</v>
      </c>
      <c r="R18" s="45" t="str">
        <f t="shared" si="5"/>
        <v>732|981|4756</v>
      </c>
      <c r="S18" s="45" t="str">
        <f t="shared" si="6"/>
        <v>732</v>
      </c>
      <c r="T18" s="45" t="str">
        <f t="shared" si="7"/>
        <v>981</v>
      </c>
      <c r="U18" s="45" t="str">
        <f t="shared" si="8"/>
        <v>4756</v>
      </c>
      <c r="V18" s="2" t="s">
        <v>3208</v>
      </c>
      <c r="W18" s="45" t="str">
        <f t="shared" si="9"/>
        <v>8909</v>
      </c>
    </row>
    <row r="19" spans="1:23" x14ac:dyDescent="0.3">
      <c r="A19" t="s">
        <v>3207</v>
      </c>
      <c r="B19" s="45" t="str">
        <f t="shared" si="0"/>
        <v>Debbie</v>
      </c>
      <c r="C19" t="s">
        <v>56</v>
      </c>
      <c r="D19" t="s">
        <v>3206</v>
      </c>
      <c r="E19" s="45" t="str">
        <f t="shared" si="1"/>
        <v>Schuler</v>
      </c>
      <c r="F19" s="45" t="str">
        <f t="shared" si="2"/>
        <v>Debbie J Schuler</v>
      </c>
      <c r="G19" t="s">
        <v>241</v>
      </c>
      <c r="H19" t="str">
        <f t="shared" si="3"/>
        <v>Female</v>
      </c>
      <c r="I19" t="s">
        <v>3205</v>
      </c>
      <c r="J19" t="s">
        <v>3204</v>
      </c>
      <c r="K19" t="s">
        <v>76</v>
      </c>
      <c r="L19">
        <v>38008</v>
      </c>
      <c r="O19" t="s">
        <v>3203</v>
      </c>
      <c r="P19" s="45" t="str">
        <f t="shared" si="4"/>
        <v>hotmail</v>
      </c>
      <c r="Q19" t="s">
        <v>3202</v>
      </c>
      <c r="R19" s="45" t="str">
        <f t="shared" si="5"/>
        <v>731|228|0270</v>
      </c>
      <c r="S19" s="45" t="str">
        <f t="shared" si="6"/>
        <v>731</v>
      </c>
      <c r="T19" s="45" t="str">
        <f t="shared" si="7"/>
        <v>228</v>
      </c>
      <c r="U19" s="45" t="str">
        <f t="shared" si="8"/>
        <v>0270</v>
      </c>
      <c r="V19" s="2" t="s">
        <v>3201</v>
      </c>
      <c r="W19" s="45" t="str">
        <f t="shared" si="9"/>
        <v>160</v>
      </c>
    </row>
    <row r="20" spans="1:23" x14ac:dyDescent="0.3">
      <c r="A20" t="s">
        <v>1177</v>
      </c>
      <c r="B20" s="45" t="str">
        <f t="shared" si="0"/>
        <v>Grace</v>
      </c>
      <c r="C20" t="s">
        <v>77</v>
      </c>
      <c r="D20" t="s">
        <v>3200</v>
      </c>
      <c r="E20" s="45" t="str">
        <f t="shared" si="1"/>
        <v>Renninger</v>
      </c>
      <c r="F20" s="45" t="str">
        <f t="shared" si="2"/>
        <v>Grace C Renninger</v>
      </c>
      <c r="G20" t="s">
        <v>241</v>
      </c>
      <c r="H20" t="str">
        <f t="shared" si="3"/>
        <v>Female</v>
      </c>
      <c r="I20" t="s">
        <v>3199</v>
      </c>
      <c r="J20" t="s">
        <v>78</v>
      </c>
      <c r="K20" t="s">
        <v>57</v>
      </c>
      <c r="L20">
        <v>60661</v>
      </c>
      <c r="O20" t="s">
        <v>3198</v>
      </c>
      <c r="P20" s="45" t="str">
        <f t="shared" si="4"/>
        <v>gmail</v>
      </c>
      <c r="Q20" t="s">
        <v>3197</v>
      </c>
      <c r="R20" s="45" t="str">
        <f t="shared" si="5"/>
        <v>773|250|4788</v>
      </c>
      <c r="S20" s="45" t="str">
        <f t="shared" si="6"/>
        <v>773</v>
      </c>
      <c r="T20" s="45" t="str">
        <f t="shared" si="7"/>
        <v>250</v>
      </c>
      <c r="U20" s="45" t="str">
        <f t="shared" si="8"/>
        <v>4788</v>
      </c>
      <c r="V20" s="2" t="s">
        <v>3196</v>
      </c>
      <c r="W20" s="45" t="str">
        <f t="shared" si="9"/>
        <v>939</v>
      </c>
    </row>
    <row r="21" spans="1:23" x14ac:dyDescent="0.3">
      <c r="A21" t="s">
        <v>563</v>
      </c>
      <c r="B21" s="45" t="str">
        <f t="shared" si="0"/>
        <v>James</v>
      </c>
      <c r="C21" t="s">
        <v>77</v>
      </c>
      <c r="D21" t="s">
        <v>3195</v>
      </c>
      <c r="E21" s="45" t="str">
        <f t="shared" si="1"/>
        <v>Weiss</v>
      </c>
      <c r="F21" s="45" t="str">
        <f t="shared" si="2"/>
        <v>James C Weiss</v>
      </c>
      <c r="G21" t="s">
        <v>264</v>
      </c>
      <c r="H21" t="str">
        <f t="shared" si="3"/>
        <v>Male</v>
      </c>
      <c r="I21" t="s">
        <v>3194</v>
      </c>
      <c r="J21" t="s">
        <v>509</v>
      </c>
      <c r="K21" t="s">
        <v>66</v>
      </c>
      <c r="L21">
        <v>77060</v>
      </c>
      <c r="O21" t="s">
        <v>3193</v>
      </c>
      <c r="P21" s="45" t="str">
        <f t="shared" si="4"/>
        <v>aol</v>
      </c>
      <c r="Q21" t="s">
        <v>3192</v>
      </c>
      <c r="R21" s="45" t="str">
        <f t="shared" si="5"/>
        <v>832|232|4190</v>
      </c>
      <c r="S21" s="45" t="str">
        <f t="shared" si="6"/>
        <v>832</v>
      </c>
      <c r="T21" s="45" t="str">
        <f t="shared" si="7"/>
        <v>232</v>
      </c>
      <c r="U21" s="45" t="str">
        <f t="shared" si="8"/>
        <v>4190</v>
      </c>
      <c r="V21" s="2" t="s">
        <v>3191</v>
      </c>
      <c r="W21" s="45" t="str">
        <f t="shared" si="9"/>
        <v>0787</v>
      </c>
    </row>
    <row r="22" spans="1:23" x14ac:dyDescent="0.3">
      <c r="A22" t="s">
        <v>3190</v>
      </c>
      <c r="B22" s="45" t="str">
        <f t="shared" si="0"/>
        <v>Addie</v>
      </c>
      <c r="C22" t="s">
        <v>56</v>
      </c>
      <c r="D22" t="s">
        <v>3189</v>
      </c>
      <c r="E22" s="45" t="str">
        <f t="shared" si="1"/>
        <v>Stevenson</v>
      </c>
      <c r="F22" s="45" t="str">
        <f t="shared" si="2"/>
        <v>Addie J Stevenson</v>
      </c>
      <c r="G22" t="s">
        <v>241</v>
      </c>
      <c r="H22" t="str">
        <f t="shared" si="3"/>
        <v>Female</v>
      </c>
      <c r="I22" t="s">
        <v>3188</v>
      </c>
      <c r="J22" t="s">
        <v>3187</v>
      </c>
      <c r="K22" t="s">
        <v>79</v>
      </c>
      <c r="L22">
        <v>32256</v>
      </c>
      <c r="O22" t="s">
        <v>3186</v>
      </c>
      <c r="P22" s="45" t="str">
        <f t="shared" si="4"/>
        <v>gmail</v>
      </c>
      <c r="Q22" t="s">
        <v>3185</v>
      </c>
      <c r="R22" s="45" t="str">
        <f t="shared" si="5"/>
        <v>904|248|2500</v>
      </c>
      <c r="S22" s="45" t="str">
        <f t="shared" si="6"/>
        <v>904</v>
      </c>
      <c r="T22" s="45" t="str">
        <f t="shared" si="7"/>
        <v>248</v>
      </c>
      <c r="U22" s="45" t="str">
        <f t="shared" si="8"/>
        <v>2500</v>
      </c>
      <c r="V22" s="2" t="s">
        <v>3184</v>
      </c>
      <c r="W22" s="45" t="str">
        <f t="shared" si="9"/>
        <v>5854</v>
      </c>
    </row>
    <row r="23" spans="1:23" x14ac:dyDescent="0.3">
      <c r="A23" t="s">
        <v>430</v>
      </c>
      <c r="B23" s="45" t="str">
        <f t="shared" si="0"/>
        <v>Patrick</v>
      </c>
      <c r="C23" t="s">
        <v>243</v>
      </c>
      <c r="D23" t="s">
        <v>3183</v>
      </c>
      <c r="E23" s="45" t="str">
        <f t="shared" si="1"/>
        <v>Mccurdy</v>
      </c>
      <c r="F23" s="45" t="str">
        <f t="shared" si="2"/>
        <v>Patrick R Mccurdy</v>
      </c>
      <c r="G23" t="s">
        <v>264</v>
      </c>
      <c r="H23" t="str">
        <f t="shared" si="3"/>
        <v>Male</v>
      </c>
      <c r="I23" t="s">
        <v>3182</v>
      </c>
      <c r="J23" t="s">
        <v>3181</v>
      </c>
      <c r="K23" t="s">
        <v>80</v>
      </c>
      <c r="L23">
        <v>68956</v>
      </c>
      <c r="O23" t="s">
        <v>3180</v>
      </c>
      <c r="P23" s="45" t="str">
        <f t="shared" si="4"/>
        <v>hotmail</v>
      </c>
      <c r="Q23" t="s">
        <v>3179</v>
      </c>
      <c r="R23" s="45" t="str">
        <f t="shared" si="5"/>
        <v>402|752|6280</v>
      </c>
      <c r="S23" s="45" t="str">
        <f t="shared" si="6"/>
        <v>402</v>
      </c>
      <c r="T23" s="45" t="str">
        <f t="shared" si="7"/>
        <v>752</v>
      </c>
      <c r="U23" s="45" t="str">
        <f t="shared" si="8"/>
        <v>6280</v>
      </c>
      <c r="V23" s="2" t="s">
        <v>3178</v>
      </c>
      <c r="W23" s="45" t="str">
        <f t="shared" si="9"/>
        <v>9019</v>
      </c>
    </row>
    <row r="24" spans="1:23" x14ac:dyDescent="0.3">
      <c r="A24" t="s">
        <v>1633</v>
      </c>
      <c r="B24" s="45" t="str">
        <f t="shared" si="0"/>
        <v>Laura</v>
      </c>
      <c r="C24" t="s">
        <v>81</v>
      </c>
      <c r="D24" t="s">
        <v>3177</v>
      </c>
      <c r="E24" s="45" t="str">
        <f t="shared" si="1"/>
        <v>Hailey</v>
      </c>
      <c r="F24" s="45" t="str">
        <f t="shared" si="2"/>
        <v>Laura A Hailey</v>
      </c>
      <c r="G24" t="s">
        <v>241</v>
      </c>
      <c r="H24" t="str">
        <f t="shared" si="3"/>
        <v>Female</v>
      </c>
      <c r="I24" t="s">
        <v>3176</v>
      </c>
      <c r="J24" t="s">
        <v>3175</v>
      </c>
      <c r="K24" t="s">
        <v>82</v>
      </c>
      <c r="L24">
        <v>84627</v>
      </c>
      <c r="O24" t="s">
        <v>3174</v>
      </c>
      <c r="P24" s="45" t="str">
        <f t="shared" si="4"/>
        <v>aol</v>
      </c>
      <c r="Q24" t="s">
        <v>3173</v>
      </c>
      <c r="R24" s="45" t="str">
        <f t="shared" si="5"/>
        <v>435|283|1109</v>
      </c>
      <c r="S24" s="45" t="str">
        <f t="shared" si="6"/>
        <v>435</v>
      </c>
      <c r="T24" s="45" t="str">
        <f t="shared" si="7"/>
        <v>283</v>
      </c>
      <c r="U24" s="45" t="str">
        <f t="shared" si="8"/>
        <v>1109</v>
      </c>
      <c r="V24" s="2" t="s">
        <v>3172</v>
      </c>
      <c r="W24" s="45" t="str">
        <f t="shared" si="9"/>
        <v>701</v>
      </c>
    </row>
    <row r="25" spans="1:23" x14ac:dyDescent="0.3">
      <c r="A25" t="s">
        <v>815</v>
      </c>
      <c r="B25" s="45" t="str">
        <f t="shared" si="0"/>
        <v>Daniel</v>
      </c>
      <c r="C25" t="s">
        <v>60</v>
      </c>
      <c r="D25" t="s">
        <v>3171</v>
      </c>
      <c r="E25" s="45" t="str">
        <f t="shared" si="1"/>
        <v>Girard</v>
      </c>
      <c r="F25" s="45" t="str">
        <f t="shared" si="2"/>
        <v>Daniel M Girard</v>
      </c>
      <c r="G25" t="s">
        <v>264</v>
      </c>
      <c r="H25" t="str">
        <f t="shared" si="3"/>
        <v>Male</v>
      </c>
      <c r="I25" t="s">
        <v>3170</v>
      </c>
      <c r="J25" t="s">
        <v>3169</v>
      </c>
      <c r="K25" t="s">
        <v>83</v>
      </c>
      <c r="L25">
        <v>25443</v>
      </c>
      <c r="O25" t="s">
        <v>3168</v>
      </c>
      <c r="P25" s="45" t="str">
        <f t="shared" si="4"/>
        <v>aol</v>
      </c>
      <c r="Q25" t="s">
        <v>3167</v>
      </c>
      <c r="R25" s="45" t="str">
        <f t="shared" si="5"/>
        <v>304|870|4512</v>
      </c>
      <c r="S25" s="45" t="str">
        <f t="shared" si="6"/>
        <v>304</v>
      </c>
      <c r="T25" s="45" t="str">
        <f t="shared" si="7"/>
        <v>870</v>
      </c>
      <c r="U25" s="45" t="str">
        <f t="shared" si="8"/>
        <v>4512</v>
      </c>
      <c r="V25" s="2" t="s">
        <v>3166</v>
      </c>
      <c r="W25" s="45" t="str">
        <f t="shared" si="9"/>
        <v>7333</v>
      </c>
    </row>
    <row r="26" spans="1:23" x14ac:dyDescent="0.3">
      <c r="A26" t="s">
        <v>3165</v>
      </c>
      <c r="B26" s="45" t="str">
        <f t="shared" si="0"/>
        <v>Queen</v>
      </c>
      <c r="C26" t="s">
        <v>243</v>
      </c>
      <c r="D26" t="s">
        <v>3164</v>
      </c>
      <c r="E26" s="45" t="str">
        <f t="shared" si="1"/>
        <v>Watson</v>
      </c>
      <c r="F26" s="45" t="str">
        <f t="shared" si="2"/>
        <v>Queen R Watson</v>
      </c>
      <c r="G26" t="s">
        <v>241</v>
      </c>
      <c r="H26" t="str">
        <f t="shared" si="3"/>
        <v>Female</v>
      </c>
      <c r="I26" t="s">
        <v>3163</v>
      </c>
      <c r="J26" t="s">
        <v>421</v>
      </c>
      <c r="K26" t="s">
        <v>58</v>
      </c>
      <c r="L26">
        <v>90017</v>
      </c>
      <c r="O26" t="s">
        <v>3162</v>
      </c>
      <c r="P26" s="45" t="str">
        <f t="shared" si="4"/>
        <v>gmail</v>
      </c>
      <c r="Q26" t="s">
        <v>3161</v>
      </c>
      <c r="R26" s="45" t="str">
        <f t="shared" si="5"/>
        <v>760|488|9781</v>
      </c>
      <c r="S26" s="45" t="str">
        <f t="shared" si="6"/>
        <v>760</v>
      </c>
      <c r="T26" s="45" t="str">
        <f t="shared" si="7"/>
        <v>488</v>
      </c>
      <c r="U26" s="45" t="str">
        <f t="shared" si="8"/>
        <v>9781</v>
      </c>
      <c r="V26" s="2" t="s">
        <v>3160</v>
      </c>
      <c r="W26" s="45" t="str">
        <f t="shared" si="9"/>
        <v>6756</v>
      </c>
    </row>
    <row r="27" spans="1:23" x14ac:dyDescent="0.3">
      <c r="A27" t="s">
        <v>2792</v>
      </c>
      <c r="B27" s="45" t="str">
        <f t="shared" si="0"/>
        <v>Lisa</v>
      </c>
      <c r="C27" t="s">
        <v>60</v>
      </c>
      <c r="D27" t="s">
        <v>335</v>
      </c>
      <c r="E27" s="45" t="str">
        <f t="shared" si="1"/>
        <v>Taylor</v>
      </c>
      <c r="F27" s="45" t="str">
        <f t="shared" si="2"/>
        <v>Lisa M Taylor</v>
      </c>
      <c r="G27" t="s">
        <v>241</v>
      </c>
      <c r="H27" t="str">
        <f t="shared" si="3"/>
        <v>Female</v>
      </c>
      <c r="I27" t="s">
        <v>3159</v>
      </c>
      <c r="J27" t="s">
        <v>3158</v>
      </c>
      <c r="K27" t="s">
        <v>68</v>
      </c>
      <c r="L27">
        <v>10601</v>
      </c>
      <c r="O27" t="s">
        <v>3157</v>
      </c>
      <c r="P27" s="45" t="str">
        <f t="shared" si="4"/>
        <v>gmail</v>
      </c>
      <c r="Q27" t="s">
        <v>3156</v>
      </c>
      <c r="R27" s="45" t="str">
        <f t="shared" si="5"/>
        <v>914|890|1038</v>
      </c>
      <c r="S27" s="45" t="str">
        <f t="shared" si="6"/>
        <v>914</v>
      </c>
      <c r="T27" s="45" t="str">
        <f t="shared" si="7"/>
        <v>890</v>
      </c>
      <c r="U27" s="45" t="str">
        <f t="shared" si="8"/>
        <v>1038</v>
      </c>
      <c r="V27" s="2" t="s">
        <v>3155</v>
      </c>
      <c r="W27" s="45" t="str">
        <f t="shared" si="9"/>
        <v>754</v>
      </c>
    </row>
    <row r="28" spans="1:23" x14ac:dyDescent="0.3">
      <c r="A28" t="s">
        <v>3154</v>
      </c>
      <c r="B28" s="45" t="str">
        <f t="shared" si="0"/>
        <v>Efrain</v>
      </c>
      <c r="C28" t="s">
        <v>62</v>
      </c>
      <c r="D28" t="s">
        <v>3153</v>
      </c>
      <c r="E28" s="45" t="str">
        <f t="shared" si="1"/>
        <v>Barrick</v>
      </c>
      <c r="F28" s="45" t="str">
        <f t="shared" si="2"/>
        <v>Efrain D Barrick</v>
      </c>
      <c r="G28" t="s">
        <v>264</v>
      </c>
      <c r="H28" t="str">
        <f t="shared" si="3"/>
        <v>Male</v>
      </c>
      <c r="I28" t="s">
        <v>3152</v>
      </c>
      <c r="J28" t="s">
        <v>560</v>
      </c>
      <c r="K28" t="s">
        <v>84</v>
      </c>
      <c r="L28">
        <v>30338</v>
      </c>
      <c r="O28" t="s">
        <v>3151</v>
      </c>
      <c r="P28" s="45" t="str">
        <f t="shared" si="4"/>
        <v>aol</v>
      </c>
      <c r="Q28" t="s">
        <v>3150</v>
      </c>
      <c r="R28" s="45" t="str">
        <f t="shared" si="5"/>
        <v>770|522|8310</v>
      </c>
      <c r="S28" s="45" t="str">
        <f t="shared" si="6"/>
        <v>770</v>
      </c>
      <c r="T28" s="45" t="str">
        <f t="shared" si="7"/>
        <v>522</v>
      </c>
      <c r="U28" s="45" t="str">
        <f t="shared" si="8"/>
        <v>8310</v>
      </c>
      <c r="V28" s="2" t="s">
        <v>3149</v>
      </c>
      <c r="W28" s="45" t="str">
        <f t="shared" si="9"/>
        <v>855</v>
      </c>
    </row>
    <row r="29" spans="1:23" x14ac:dyDescent="0.3">
      <c r="A29" t="s">
        <v>756</v>
      </c>
      <c r="B29" s="45" t="str">
        <f t="shared" si="0"/>
        <v>Robert</v>
      </c>
      <c r="C29" t="s">
        <v>3148</v>
      </c>
      <c r="D29" t="s">
        <v>3147</v>
      </c>
      <c r="E29" s="45" t="str">
        <f t="shared" si="1"/>
        <v>Saladin</v>
      </c>
      <c r="F29" s="45" t="str">
        <f t="shared" si="2"/>
        <v>Robert Z Saladin</v>
      </c>
      <c r="G29" t="s">
        <v>264</v>
      </c>
      <c r="H29" t="str">
        <f t="shared" si="3"/>
        <v>Male</v>
      </c>
      <c r="I29" t="s">
        <v>3146</v>
      </c>
      <c r="J29" t="s">
        <v>3145</v>
      </c>
      <c r="K29" t="s">
        <v>85</v>
      </c>
      <c r="L29">
        <v>27893</v>
      </c>
      <c r="O29" t="s">
        <v>3144</v>
      </c>
      <c r="P29" s="45" t="str">
        <f t="shared" si="4"/>
        <v>aol</v>
      </c>
      <c r="Q29" t="s">
        <v>3143</v>
      </c>
      <c r="R29" s="45" t="str">
        <f t="shared" si="5"/>
        <v>252|296|0325</v>
      </c>
      <c r="S29" s="45" t="str">
        <f t="shared" si="6"/>
        <v>252</v>
      </c>
      <c r="T29" s="45" t="str">
        <f t="shared" si="7"/>
        <v>296</v>
      </c>
      <c r="U29" s="45" t="str">
        <f t="shared" si="8"/>
        <v>0325</v>
      </c>
      <c r="V29" s="2" t="s">
        <v>3142</v>
      </c>
      <c r="W29" s="45" t="str">
        <f t="shared" si="9"/>
        <v>2433</v>
      </c>
    </row>
    <row r="30" spans="1:23" x14ac:dyDescent="0.3">
      <c r="A30" t="s">
        <v>449</v>
      </c>
      <c r="B30" s="45" t="str">
        <f t="shared" si="0"/>
        <v>Cynthia</v>
      </c>
      <c r="C30" t="s">
        <v>463</v>
      </c>
      <c r="D30" t="s">
        <v>3141</v>
      </c>
      <c r="E30" s="45" t="str">
        <f t="shared" si="1"/>
        <v>Reyes</v>
      </c>
      <c r="F30" s="45" t="str">
        <f t="shared" si="2"/>
        <v>Cynthia W Reyes</v>
      </c>
      <c r="G30" t="s">
        <v>241</v>
      </c>
      <c r="H30" t="str">
        <f t="shared" si="3"/>
        <v>Female</v>
      </c>
      <c r="I30" t="s">
        <v>3140</v>
      </c>
      <c r="J30" t="s">
        <v>2554</v>
      </c>
      <c r="K30" t="s">
        <v>86</v>
      </c>
      <c r="L30">
        <v>2334</v>
      </c>
      <c r="O30" t="s">
        <v>3139</v>
      </c>
      <c r="P30" s="45" t="str">
        <f t="shared" si="4"/>
        <v>hotmail</v>
      </c>
      <c r="Q30" t="s">
        <v>3138</v>
      </c>
      <c r="R30" s="45" t="str">
        <f t="shared" si="5"/>
        <v>508|565|7448</v>
      </c>
      <c r="S30" s="45" t="str">
        <f t="shared" si="6"/>
        <v>508</v>
      </c>
      <c r="T30" s="45" t="str">
        <f t="shared" si="7"/>
        <v>565</v>
      </c>
      <c r="U30" s="45" t="str">
        <f t="shared" si="8"/>
        <v>7448</v>
      </c>
      <c r="V30" s="2" t="s">
        <v>3137</v>
      </c>
      <c r="W30" s="45" t="str">
        <f t="shared" si="9"/>
        <v>2471</v>
      </c>
    </row>
    <row r="31" spans="1:23" x14ac:dyDescent="0.3">
      <c r="A31" t="s">
        <v>2216</v>
      </c>
      <c r="B31" s="45" t="str">
        <f t="shared" si="0"/>
        <v>Patricia</v>
      </c>
      <c r="C31" t="s">
        <v>1011</v>
      </c>
      <c r="D31" t="s">
        <v>3136</v>
      </c>
      <c r="E31" s="45" t="str">
        <f t="shared" si="1"/>
        <v>Alderete</v>
      </c>
      <c r="F31" s="45" t="str">
        <f t="shared" si="2"/>
        <v>Patricia V Alderete</v>
      </c>
      <c r="G31" t="s">
        <v>241</v>
      </c>
      <c r="H31" t="str">
        <f t="shared" si="3"/>
        <v>Female</v>
      </c>
      <c r="I31" t="s">
        <v>3135</v>
      </c>
      <c r="J31" t="s">
        <v>567</v>
      </c>
      <c r="K31" t="s">
        <v>85</v>
      </c>
      <c r="L31">
        <v>28202</v>
      </c>
      <c r="O31" t="s">
        <v>3134</v>
      </c>
      <c r="P31" s="45" t="str">
        <f t="shared" si="4"/>
        <v>gmail</v>
      </c>
      <c r="Q31" t="s">
        <v>3133</v>
      </c>
      <c r="R31" s="45" t="str">
        <f t="shared" si="5"/>
        <v>828|426|4327</v>
      </c>
      <c r="S31" s="45" t="str">
        <f t="shared" si="6"/>
        <v>828</v>
      </c>
      <c r="T31" s="45" t="str">
        <f t="shared" si="7"/>
        <v>426</v>
      </c>
      <c r="U31" s="45" t="str">
        <f t="shared" si="8"/>
        <v>4327</v>
      </c>
      <c r="V31" s="2" t="s">
        <v>3132</v>
      </c>
      <c r="W31" s="45" t="str">
        <f t="shared" si="9"/>
        <v>3161</v>
      </c>
    </row>
    <row r="32" spans="1:23" x14ac:dyDescent="0.3">
      <c r="A32" t="s">
        <v>3131</v>
      </c>
      <c r="B32" s="45" t="str">
        <f t="shared" si="0"/>
        <v>Cyrstal</v>
      </c>
      <c r="C32" t="s">
        <v>243</v>
      </c>
      <c r="D32" t="s">
        <v>3130</v>
      </c>
      <c r="E32" s="45" t="str">
        <f t="shared" si="1"/>
        <v>Reid</v>
      </c>
      <c r="F32" s="45" t="str">
        <f t="shared" si="2"/>
        <v>Cyrstal R Reid</v>
      </c>
      <c r="G32" t="s">
        <v>241</v>
      </c>
      <c r="H32" t="str">
        <f t="shared" si="3"/>
        <v>Female</v>
      </c>
      <c r="I32" t="s">
        <v>3129</v>
      </c>
      <c r="J32" t="s">
        <v>567</v>
      </c>
      <c r="K32" t="s">
        <v>85</v>
      </c>
      <c r="L32">
        <v>28202</v>
      </c>
      <c r="O32" t="s">
        <v>3128</v>
      </c>
      <c r="P32" s="45" t="str">
        <f t="shared" si="4"/>
        <v>aol</v>
      </c>
      <c r="Q32" t="s">
        <v>3127</v>
      </c>
      <c r="R32" s="45" t="str">
        <f t="shared" si="5"/>
        <v>704|330|8800</v>
      </c>
      <c r="S32" s="45" t="str">
        <f t="shared" si="6"/>
        <v>704</v>
      </c>
      <c r="T32" s="45" t="str">
        <f t="shared" si="7"/>
        <v>330</v>
      </c>
      <c r="U32" s="45" t="str">
        <f t="shared" si="8"/>
        <v>8800</v>
      </c>
      <c r="V32" s="2" t="s">
        <v>3126</v>
      </c>
      <c r="W32" s="45" t="str">
        <f t="shared" si="9"/>
        <v>835</v>
      </c>
    </row>
    <row r="33" spans="1:23" x14ac:dyDescent="0.3">
      <c r="A33" t="s">
        <v>3125</v>
      </c>
      <c r="B33" s="45" t="str">
        <f t="shared" si="0"/>
        <v>Jonathan</v>
      </c>
      <c r="C33" t="s">
        <v>77</v>
      </c>
      <c r="D33" t="s">
        <v>3124</v>
      </c>
      <c r="E33" s="45" t="str">
        <f t="shared" si="1"/>
        <v>Tubbs</v>
      </c>
      <c r="F33" s="45" t="str">
        <f t="shared" si="2"/>
        <v>Jonathan C Tubbs</v>
      </c>
      <c r="G33" t="s">
        <v>264</v>
      </c>
      <c r="H33" t="str">
        <f t="shared" si="3"/>
        <v>Male</v>
      </c>
      <c r="I33" t="s">
        <v>3123</v>
      </c>
      <c r="J33" t="s">
        <v>703</v>
      </c>
      <c r="K33" t="s">
        <v>66</v>
      </c>
      <c r="L33">
        <v>75207</v>
      </c>
      <c r="O33" t="s">
        <v>3122</v>
      </c>
      <c r="P33" s="45" t="str">
        <f t="shared" si="4"/>
        <v>gmail</v>
      </c>
      <c r="Q33" t="s">
        <v>3121</v>
      </c>
      <c r="R33" s="45" t="str">
        <f t="shared" si="5"/>
        <v>469|916|2924</v>
      </c>
      <c r="S33" s="45" t="str">
        <f t="shared" si="6"/>
        <v>469</v>
      </c>
      <c r="T33" s="45" t="str">
        <f t="shared" si="7"/>
        <v>916</v>
      </c>
      <c r="U33" s="45" t="str">
        <f t="shared" si="8"/>
        <v>2924</v>
      </c>
      <c r="V33" s="2" t="s">
        <v>3120</v>
      </c>
      <c r="W33" s="45" t="str">
        <f t="shared" si="9"/>
        <v>436</v>
      </c>
    </row>
    <row r="34" spans="1:23" x14ac:dyDescent="0.3">
      <c r="A34" t="s">
        <v>3119</v>
      </c>
      <c r="B34" s="45" t="str">
        <f t="shared" si="0"/>
        <v>Vonda</v>
      </c>
      <c r="C34" t="s">
        <v>77</v>
      </c>
      <c r="D34" t="s">
        <v>3118</v>
      </c>
      <c r="E34" s="45" t="str">
        <f t="shared" si="1"/>
        <v>Orbison</v>
      </c>
      <c r="F34" s="45" t="str">
        <f t="shared" si="2"/>
        <v>Vonda C Orbison</v>
      </c>
      <c r="G34" t="s">
        <v>241</v>
      </c>
      <c r="H34" t="str">
        <f t="shared" si="3"/>
        <v>Female</v>
      </c>
      <c r="I34" t="s">
        <v>3117</v>
      </c>
      <c r="J34" t="s">
        <v>87</v>
      </c>
      <c r="K34" t="s">
        <v>86</v>
      </c>
      <c r="L34">
        <v>2110</v>
      </c>
      <c r="O34" t="s">
        <v>3116</v>
      </c>
      <c r="P34" s="45" t="str">
        <f t="shared" si="4"/>
        <v>hotmail</v>
      </c>
      <c r="Q34" t="s">
        <v>3115</v>
      </c>
      <c r="R34" s="45" t="str">
        <f t="shared" si="5"/>
        <v>978|709|5147</v>
      </c>
      <c r="S34" s="45" t="str">
        <f t="shared" si="6"/>
        <v>978</v>
      </c>
      <c r="T34" s="45" t="str">
        <f t="shared" si="7"/>
        <v>709</v>
      </c>
      <c r="U34" s="45" t="str">
        <f t="shared" si="8"/>
        <v>5147</v>
      </c>
      <c r="V34" s="2" t="s">
        <v>3114</v>
      </c>
      <c r="W34" s="45" t="str">
        <f t="shared" si="9"/>
        <v>4788</v>
      </c>
    </row>
    <row r="35" spans="1:23" x14ac:dyDescent="0.3">
      <c r="A35" t="s">
        <v>867</v>
      </c>
      <c r="B35" s="45" t="str">
        <f t="shared" si="0"/>
        <v>Paula</v>
      </c>
      <c r="C35" t="s">
        <v>361</v>
      </c>
      <c r="D35" t="s">
        <v>3113</v>
      </c>
      <c r="E35" s="45" t="str">
        <f t="shared" si="1"/>
        <v>Osborn</v>
      </c>
      <c r="F35" s="45" t="str">
        <f t="shared" si="2"/>
        <v>Paula T Osborn</v>
      </c>
      <c r="G35" t="s">
        <v>241</v>
      </c>
      <c r="H35" t="str">
        <f t="shared" si="3"/>
        <v>Female</v>
      </c>
      <c r="I35" t="s">
        <v>3112</v>
      </c>
      <c r="J35" t="s">
        <v>2096</v>
      </c>
      <c r="K35" t="s">
        <v>88</v>
      </c>
      <c r="L35">
        <v>43215</v>
      </c>
      <c r="O35" t="s">
        <v>3111</v>
      </c>
      <c r="P35" s="45" t="str">
        <f t="shared" si="4"/>
        <v>hotmail</v>
      </c>
      <c r="Q35" t="s">
        <v>3110</v>
      </c>
      <c r="R35" s="45" t="str">
        <f t="shared" si="5"/>
        <v>740|879|2454</v>
      </c>
      <c r="S35" s="45" t="str">
        <f t="shared" si="6"/>
        <v>740</v>
      </c>
      <c r="T35" s="45" t="str">
        <f t="shared" si="7"/>
        <v>879</v>
      </c>
      <c r="U35" s="45" t="str">
        <f t="shared" si="8"/>
        <v>2454</v>
      </c>
      <c r="V35" s="2" t="s">
        <v>3109</v>
      </c>
      <c r="W35" s="45" t="str">
        <f t="shared" si="9"/>
        <v>501</v>
      </c>
    </row>
    <row r="36" spans="1:23" x14ac:dyDescent="0.3">
      <c r="A36" t="s">
        <v>3108</v>
      </c>
      <c r="B36" s="45" t="str">
        <f t="shared" si="0"/>
        <v>Lillie</v>
      </c>
      <c r="C36" t="s">
        <v>243</v>
      </c>
      <c r="D36" t="s">
        <v>3107</v>
      </c>
      <c r="E36" s="45" t="str">
        <f t="shared" si="1"/>
        <v>Bohanon</v>
      </c>
      <c r="F36" s="45" t="str">
        <f t="shared" si="2"/>
        <v>Lillie R Bohanon</v>
      </c>
      <c r="G36" t="s">
        <v>241</v>
      </c>
      <c r="H36" t="str">
        <f t="shared" si="3"/>
        <v>Female</v>
      </c>
      <c r="I36" t="s">
        <v>3106</v>
      </c>
      <c r="J36" t="s">
        <v>885</v>
      </c>
      <c r="K36" t="s">
        <v>59</v>
      </c>
      <c r="L36">
        <v>7102</v>
      </c>
      <c r="O36" t="s">
        <v>3105</v>
      </c>
      <c r="P36" s="45" t="str">
        <f t="shared" si="4"/>
        <v>hotmail</v>
      </c>
      <c r="Q36" t="s">
        <v>3104</v>
      </c>
      <c r="R36" s="45" t="str">
        <f t="shared" si="5"/>
        <v>908|458|6834</v>
      </c>
      <c r="S36" s="45" t="str">
        <f t="shared" si="6"/>
        <v>908</v>
      </c>
      <c r="T36" s="45" t="str">
        <f t="shared" si="7"/>
        <v>458</v>
      </c>
      <c r="U36" s="45" t="str">
        <f t="shared" si="8"/>
        <v>6834</v>
      </c>
      <c r="V36" s="2" t="s">
        <v>3103</v>
      </c>
      <c r="W36" s="45" t="str">
        <f t="shared" si="9"/>
        <v>061</v>
      </c>
    </row>
    <row r="37" spans="1:23" x14ac:dyDescent="0.3">
      <c r="A37" t="s">
        <v>3102</v>
      </c>
      <c r="B37" s="45" t="str">
        <f t="shared" si="0"/>
        <v>Jane</v>
      </c>
      <c r="C37" t="s">
        <v>56</v>
      </c>
      <c r="D37" t="s">
        <v>3101</v>
      </c>
      <c r="E37" s="45" t="str">
        <f t="shared" si="1"/>
        <v>Tapia</v>
      </c>
      <c r="F37" s="45" t="str">
        <f t="shared" si="2"/>
        <v>Jane J Tapia</v>
      </c>
      <c r="G37" t="s">
        <v>241</v>
      </c>
      <c r="H37" t="str">
        <f t="shared" si="3"/>
        <v>Female</v>
      </c>
      <c r="I37" t="s">
        <v>3100</v>
      </c>
      <c r="J37" t="s">
        <v>2512</v>
      </c>
      <c r="K37" t="s">
        <v>79</v>
      </c>
      <c r="L37">
        <v>33901</v>
      </c>
      <c r="O37" t="s">
        <v>3099</v>
      </c>
      <c r="P37" s="45" t="str">
        <f t="shared" si="4"/>
        <v>hotmail</v>
      </c>
      <c r="Q37" t="s">
        <v>3098</v>
      </c>
      <c r="R37" s="45" t="str">
        <f t="shared" si="5"/>
        <v>941|326|9242</v>
      </c>
      <c r="S37" s="45" t="str">
        <f t="shared" si="6"/>
        <v>941</v>
      </c>
      <c r="T37" s="45" t="str">
        <f t="shared" si="7"/>
        <v>326</v>
      </c>
      <c r="U37" s="45" t="str">
        <f t="shared" si="8"/>
        <v>9242</v>
      </c>
      <c r="V37" s="2" t="s">
        <v>3097</v>
      </c>
      <c r="W37" s="45" t="str">
        <f t="shared" si="9"/>
        <v>559</v>
      </c>
    </row>
    <row r="38" spans="1:23" x14ac:dyDescent="0.3">
      <c r="A38" t="s">
        <v>2058</v>
      </c>
      <c r="B38" s="45" t="str">
        <f t="shared" si="0"/>
        <v>Gene</v>
      </c>
      <c r="C38" t="s">
        <v>72</v>
      </c>
      <c r="D38" t="s">
        <v>3096</v>
      </c>
      <c r="E38" s="45" t="str">
        <f t="shared" si="1"/>
        <v>Vaughn</v>
      </c>
      <c r="F38" s="45" t="str">
        <f t="shared" si="2"/>
        <v>Gene E Vaughn</v>
      </c>
      <c r="G38" t="s">
        <v>264</v>
      </c>
      <c r="H38" t="str">
        <f t="shared" si="3"/>
        <v>Male</v>
      </c>
      <c r="I38" t="s">
        <v>3095</v>
      </c>
      <c r="J38" t="s">
        <v>50</v>
      </c>
      <c r="K38" t="s">
        <v>89</v>
      </c>
      <c r="L38">
        <v>55792</v>
      </c>
      <c r="O38" t="s">
        <v>3094</v>
      </c>
      <c r="P38" s="45" t="str">
        <f t="shared" si="4"/>
        <v>aol</v>
      </c>
      <c r="Q38" t="s">
        <v>3093</v>
      </c>
      <c r="R38" s="45" t="str">
        <f t="shared" si="5"/>
        <v>218|741|8941</v>
      </c>
      <c r="S38" s="45" t="str">
        <f t="shared" si="6"/>
        <v>218</v>
      </c>
      <c r="T38" s="45" t="str">
        <f t="shared" si="7"/>
        <v>741</v>
      </c>
      <c r="U38" s="45" t="str">
        <f t="shared" si="8"/>
        <v>8941</v>
      </c>
      <c r="V38" s="2" t="s">
        <v>3092</v>
      </c>
      <c r="W38" s="45" t="str">
        <f t="shared" si="9"/>
        <v>325</v>
      </c>
    </row>
    <row r="39" spans="1:23" x14ac:dyDescent="0.3">
      <c r="A39" t="s">
        <v>3091</v>
      </c>
      <c r="B39" s="45" t="str">
        <f t="shared" si="0"/>
        <v>Michele</v>
      </c>
      <c r="C39" t="s">
        <v>81</v>
      </c>
      <c r="D39" t="s">
        <v>1725</v>
      </c>
      <c r="E39" s="45" t="str">
        <f t="shared" si="1"/>
        <v>Richard</v>
      </c>
      <c r="F39" s="45" t="str">
        <f t="shared" si="2"/>
        <v>Michele A Richard</v>
      </c>
      <c r="G39" t="s">
        <v>241</v>
      </c>
      <c r="H39" t="str">
        <f t="shared" si="3"/>
        <v>Female</v>
      </c>
      <c r="I39" t="s">
        <v>3090</v>
      </c>
      <c r="J39" t="s">
        <v>3089</v>
      </c>
      <c r="K39" t="s">
        <v>90</v>
      </c>
      <c r="L39">
        <v>99202</v>
      </c>
      <c r="O39" t="s">
        <v>3088</v>
      </c>
      <c r="P39" s="45" t="str">
        <f t="shared" si="4"/>
        <v>aol</v>
      </c>
      <c r="Q39" t="s">
        <v>3087</v>
      </c>
      <c r="R39" s="45" t="str">
        <f t="shared" si="5"/>
        <v>208|305|3790</v>
      </c>
      <c r="S39" s="45" t="str">
        <f t="shared" si="6"/>
        <v>208</v>
      </c>
      <c r="T39" s="45" t="str">
        <f t="shared" si="7"/>
        <v>305</v>
      </c>
      <c r="U39" s="45" t="str">
        <f t="shared" si="8"/>
        <v>3790</v>
      </c>
      <c r="V39" s="2" t="s">
        <v>3086</v>
      </c>
      <c r="W39" s="45" t="str">
        <f t="shared" si="9"/>
        <v>3987</v>
      </c>
    </row>
    <row r="40" spans="1:23" x14ac:dyDescent="0.3">
      <c r="A40" t="s">
        <v>668</v>
      </c>
      <c r="B40" s="45" t="str">
        <f t="shared" si="0"/>
        <v>Anthony</v>
      </c>
      <c r="C40" t="s">
        <v>62</v>
      </c>
      <c r="D40" t="s">
        <v>3085</v>
      </c>
      <c r="E40" s="45" t="str">
        <f t="shared" si="1"/>
        <v>Richmond</v>
      </c>
      <c r="F40" s="45" t="str">
        <f t="shared" si="2"/>
        <v>Anthony D Richmond</v>
      </c>
      <c r="G40" t="s">
        <v>264</v>
      </c>
      <c r="H40" t="str">
        <f t="shared" si="3"/>
        <v>Male</v>
      </c>
      <c r="I40" t="s">
        <v>3084</v>
      </c>
      <c r="J40" t="s">
        <v>3083</v>
      </c>
      <c r="K40" t="s">
        <v>58</v>
      </c>
      <c r="L40">
        <v>94030</v>
      </c>
      <c r="O40" t="s">
        <v>3082</v>
      </c>
      <c r="P40" s="45" t="str">
        <f t="shared" si="4"/>
        <v>aol</v>
      </c>
      <c r="Q40" t="s">
        <v>3081</v>
      </c>
      <c r="R40" s="45" t="str">
        <f t="shared" si="5"/>
        <v>650|652|2518</v>
      </c>
      <c r="S40" s="45" t="str">
        <f t="shared" si="6"/>
        <v>650</v>
      </c>
      <c r="T40" s="45" t="str">
        <f t="shared" si="7"/>
        <v>652</v>
      </c>
      <c r="U40" s="45" t="str">
        <f t="shared" si="8"/>
        <v>2518</v>
      </c>
      <c r="V40" s="2" t="s">
        <v>3080</v>
      </c>
      <c r="W40" s="45" t="str">
        <f t="shared" si="9"/>
        <v>7814</v>
      </c>
    </row>
    <row r="41" spans="1:23" x14ac:dyDescent="0.3">
      <c r="A41" t="s">
        <v>1424</v>
      </c>
      <c r="B41" s="45" t="str">
        <f t="shared" si="0"/>
        <v>George</v>
      </c>
      <c r="C41" t="s">
        <v>91</v>
      </c>
      <c r="D41" t="s">
        <v>1430</v>
      </c>
      <c r="E41" s="45" t="str">
        <f t="shared" si="1"/>
        <v>Barnes</v>
      </c>
      <c r="F41" s="45" t="str">
        <f t="shared" si="2"/>
        <v>George L Barnes</v>
      </c>
      <c r="G41" t="s">
        <v>264</v>
      </c>
      <c r="H41" t="str">
        <f t="shared" si="3"/>
        <v>Male</v>
      </c>
      <c r="I41" t="s">
        <v>3079</v>
      </c>
      <c r="J41" t="s">
        <v>1818</v>
      </c>
      <c r="K41" t="s">
        <v>92</v>
      </c>
      <c r="L41">
        <v>63101</v>
      </c>
      <c r="O41" t="s">
        <v>3078</v>
      </c>
      <c r="P41" s="45" t="str">
        <f t="shared" si="4"/>
        <v>aol</v>
      </c>
      <c r="Q41" t="s">
        <v>3077</v>
      </c>
      <c r="R41" s="45" t="str">
        <f t="shared" si="5"/>
        <v>636|243|3984</v>
      </c>
      <c r="S41" s="45" t="str">
        <f t="shared" si="6"/>
        <v>636</v>
      </c>
      <c r="T41" s="45" t="str">
        <f t="shared" si="7"/>
        <v>243</v>
      </c>
      <c r="U41" s="45" t="str">
        <f t="shared" si="8"/>
        <v>3984</v>
      </c>
      <c r="V41" s="2" t="s">
        <v>3076</v>
      </c>
      <c r="W41" s="45" t="str">
        <f t="shared" si="9"/>
        <v>139</v>
      </c>
    </row>
    <row r="42" spans="1:23" x14ac:dyDescent="0.3">
      <c r="A42" t="s">
        <v>930</v>
      </c>
      <c r="B42" s="45" t="str">
        <f t="shared" si="0"/>
        <v>Craig</v>
      </c>
      <c r="C42" t="s">
        <v>91</v>
      </c>
      <c r="D42" t="s">
        <v>3075</v>
      </c>
      <c r="E42" s="45" t="str">
        <f t="shared" si="1"/>
        <v>Lowe</v>
      </c>
      <c r="F42" s="45" t="str">
        <f t="shared" si="2"/>
        <v>Craig L Lowe</v>
      </c>
      <c r="G42" t="s">
        <v>264</v>
      </c>
      <c r="H42" t="str">
        <f t="shared" si="3"/>
        <v>Male</v>
      </c>
      <c r="I42" t="s">
        <v>3074</v>
      </c>
      <c r="J42" t="s">
        <v>620</v>
      </c>
      <c r="K42" t="s">
        <v>85</v>
      </c>
      <c r="L42">
        <v>27834</v>
      </c>
      <c r="O42" t="s">
        <v>3073</v>
      </c>
      <c r="P42" s="45" t="str">
        <f t="shared" si="4"/>
        <v>aol</v>
      </c>
      <c r="Q42" t="s">
        <v>3072</v>
      </c>
      <c r="R42" s="45" t="str">
        <f t="shared" si="5"/>
        <v>252|902|3809</v>
      </c>
      <c r="S42" s="45" t="str">
        <f t="shared" si="6"/>
        <v>252</v>
      </c>
      <c r="T42" s="45" t="str">
        <f t="shared" si="7"/>
        <v>902</v>
      </c>
      <c r="U42" s="45" t="str">
        <f t="shared" si="8"/>
        <v>3809</v>
      </c>
      <c r="V42" s="2" t="s">
        <v>3071</v>
      </c>
      <c r="W42" s="45" t="str">
        <f t="shared" si="9"/>
        <v>1481</v>
      </c>
    </row>
    <row r="43" spans="1:23" x14ac:dyDescent="0.3">
      <c r="A43" t="s">
        <v>1374</v>
      </c>
      <c r="B43" s="45" t="str">
        <f t="shared" si="0"/>
        <v>Jennifer</v>
      </c>
      <c r="C43" t="s">
        <v>56</v>
      </c>
      <c r="D43" t="s">
        <v>3070</v>
      </c>
      <c r="E43" s="45" t="str">
        <f t="shared" si="1"/>
        <v>Nguyen</v>
      </c>
      <c r="F43" s="45" t="str">
        <f t="shared" si="2"/>
        <v>Jennifer J Nguyen</v>
      </c>
      <c r="G43" t="s">
        <v>241</v>
      </c>
      <c r="H43" t="str">
        <f t="shared" si="3"/>
        <v>Female</v>
      </c>
      <c r="I43" t="s">
        <v>3069</v>
      </c>
      <c r="J43" t="s">
        <v>421</v>
      </c>
      <c r="K43" t="s">
        <v>58</v>
      </c>
      <c r="L43">
        <v>90017</v>
      </c>
      <c r="O43" t="s">
        <v>3068</v>
      </c>
      <c r="P43" s="45" t="str">
        <f t="shared" si="4"/>
        <v>gmail</v>
      </c>
      <c r="Q43" t="s">
        <v>3067</v>
      </c>
      <c r="R43" s="45" t="str">
        <f t="shared" si="5"/>
        <v>213|303|6605</v>
      </c>
      <c r="S43" s="45" t="str">
        <f t="shared" si="6"/>
        <v>213</v>
      </c>
      <c r="T43" s="45" t="str">
        <f t="shared" si="7"/>
        <v>303</v>
      </c>
      <c r="U43" s="45" t="str">
        <f t="shared" si="8"/>
        <v>6605</v>
      </c>
      <c r="V43" s="2" t="s">
        <v>3066</v>
      </c>
      <c r="W43" s="45" t="str">
        <f t="shared" si="9"/>
        <v>156</v>
      </c>
    </row>
    <row r="44" spans="1:23" x14ac:dyDescent="0.3">
      <c r="A44" t="s">
        <v>3065</v>
      </c>
      <c r="B44" s="45" t="str">
        <f t="shared" si="0"/>
        <v>Keith</v>
      </c>
      <c r="C44" t="s">
        <v>93</v>
      </c>
      <c r="D44" t="s">
        <v>448</v>
      </c>
      <c r="E44" s="45" t="str">
        <f t="shared" si="1"/>
        <v>Kizer</v>
      </c>
      <c r="F44" s="45" t="str">
        <f t="shared" si="2"/>
        <v>Keith G Kizer</v>
      </c>
      <c r="G44" t="s">
        <v>264</v>
      </c>
      <c r="H44" t="str">
        <f t="shared" si="3"/>
        <v>Male</v>
      </c>
      <c r="I44" t="s">
        <v>3064</v>
      </c>
      <c r="J44" t="s">
        <v>3063</v>
      </c>
      <c r="K44" t="s">
        <v>94</v>
      </c>
      <c r="L44">
        <v>85205</v>
      </c>
      <c r="O44" t="s">
        <v>3062</v>
      </c>
      <c r="P44" s="45" t="str">
        <f t="shared" si="4"/>
        <v>hotmail</v>
      </c>
      <c r="Q44" t="s">
        <v>3061</v>
      </c>
      <c r="R44" s="45" t="str">
        <f t="shared" si="5"/>
        <v>480|325|0082</v>
      </c>
      <c r="S44" s="45" t="str">
        <f t="shared" si="6"/>
        <v>480</v>
      </c>
      <c r="T44" s="45" t="str">
        <f t="shared" si="7"/>
        <v>325</v>
      </c>
      <c r="U44" s="45" t="str">
        <f t="shared" si="8"/>
        <v>0082</v>
      </c>
      <c r="V44" s="2" t="s">
        <v>3060</v>
      </c>
      <c r="W44" s="45" t="str">
        <f t="shared" si="9"/>
        <v>356</v>
      </c>
    </row>
    <row r="45" spans="1:23" x14ac:dyDescent="0.3">
      <c r="A45" t="s">
        <v>411</v>
      </c>
      <c r="B45" s="45" t="str">
        <f t="shared" si="0"/>
        <v>Joseph</v>
      </c>
      <c r="C45" t="s">
        <v>70</v>
      </c>
      <c r="D45" t="s">
        <v>3059</v>
      </c>
      <c r="E45" s="45" t="str">
        <f t="shared" si="1"/>
        <v>Apodaca</v>
      </c>
      <c r="F45" s="45" t="str">
        <f t="shared" si="2"/>
        <v>Joseph F Apodaca</v>
      </c>
      <c r="G45" t="s">
        <v>264</v>
      </c>
      <c r="H45" t="str">
        <f t="shared" si="3"/>
        <v>Male</v>
      </c>
      <c r="I45" t="s">
        <v>3058</v>
      </c>
      <c r="J45" t="s">
        <v>3057</v>
      </c>
      <c r="K45" t="s">
        <v>61</v>
      </c>
      <c r="L45">
        <v>22963</v>
      </c>
      <c r="O45" t="s">
        <v>3056</v>
      </c>
      <c r="P45" s="45" t="str">
        <f t="shared" si="4"/>
        <v>hotmail</v>
      </c>
      <c r="Q45" t="s">
        <v>3055</v>
      </c>
      <c r="R45" s="45" t="str">
        <f t="shared" si="5"/>
        <v>434|591|6520</v>
      </c>
      <c r="S45" s="45" t="str">
        <f t="shared" si="6"/>
        <v>434</v>
      </c>
      <c r="T45" s="45" t="str">
        <f t="shared" si="7"/>
        <v>591</v>
      </c>
      <c r="U45" s="45" t="str">
        <f t="shared" si="8"/>
        <v>6520</v>
      </c>
      <c r="V45" s="2" t="s">
        <v>3054</v>
      </c>
      <c r="W45" s="45" t="str">
        <f t="shared" si="9"/>
        <v>1851</v>
      </c>
    </row>
    <row r="46" spans="1:23" x14ac:dyDescent="0.3">
      <c r="A46" t="s">
        <v>1595</v>
      </c>
      <c r="B46" s="45" t="str">
        <f t="shared" si="0"/>
        <v>Melissa</v>
      </c>
      <c r="C46" t="s">
        <v>56</v>
      </c>
      <c r="D46" t="s">
        <v>3053</v>
      </c>
      <c r="E46" s="45" t="str">
        <f t="shared" si="1"/>
        <v>Rodriguez</v>
      </c>
      <c r="F46" s="45" t="str">
        <f t="shared" si="2"/>
        <v>Melissa J Rodriguez</v>
      </c>
      <c r="G46" t="s">
        <v>241</v>
      </c>
      <c r="H46" t="str">
        <f t="shared" si="3"/>
        <v>Female</v>
      </c>
      <c r="I46" t="s">
        <v>3052</v>
      </c>
      <c r="J46" t="s">
        <v>421</v>
      </c>
      <c r="K46" t="s">
        <v>58</v>
      </c>
      <c r="L46">
        <v>90017</v>
      </c>
      <c r="O46" t="s">
        <v>3051</v>
      </c>
      <c r="P46" s="45" t="str">
        <f t="shared" si="4"/>
        <v>hotmail</v>
      </c>
      <c r="Q46" t="s">
        <v>3050</v>
      </c>
      <c r="R46" s="45" t="str">
        <f t="shared" si="5"/>
        <v>626|549|9751</v>
      </c>
      <c r="S46" s="45" t="str">
        <f t="shared" si="6"/>
        <v>626</v>
      </c>
      <c r="T46" s="45" t="str">
        <f t="shared" si="7"/>
        <v>549</v>
      </c>
      <c r="U46" s="45" t="str">
        <f t="shared" si="8"/>
        <v>9751</v>
      </c>
      <c r="V46" s="2" t="s">
        <v>3049</v>
      </c>
      <c r="W46" s="45" t="str">
        <f t="shared" si="9"/>
        <v>6767</v>
      </c>
    </row>
    <row r="47" spans="1:23" x14ac:dyDescent="0.3">
      <c r="A47" t="s">
        <v>2216</v>
      </c>
      <c r="B47" s="45" t="str">
        <f t="shared" si="0"/>
        <v>Patricia</v>
      </c>
      <c r="C47" t="s">
        <v>77</v>
      </c>
      <c r="D47" t="s">
        <v>3048</v>
      </c>
      <c r="E47" s="45" t="str">
        <f t="shared" si="1"/>
        <v>Dent</v>
      </c>
      <c r="F47" s="45" t="str">
        <f t="shared" si="2"/>
        <v>Patricia C Dent</v>
      </c>
      <c r="G47" t="s">
        <v>241</v>
      </c>
      <c r="H47" t="str">
        <f t="shared" si="3"/>
        <v>Female</v>
      </c>
      <c r="I47" t="s">
        <v>3047</v>
      </c>
      <c r="J47" t="s">
        <v>3046</v>
      </c>
      <c r="K47" t="s">
        <v>79</v>
      </c>
      <c r="L47">
        <v>33881</v>
      </c>
      <c r="O47" t="s">
        <v>3045</v>
      </c>
      <c r="P47" s="45" t="str">
        <f t="shared" si="4"/>
        <v>aol</v>
      </c>
      <c r="Q47" t="s">
        <v>3044</v>
      </c>
      <c r="R47" s="45" t="str">
        <f t="shared" si="5"/>
        <v>863|401|8012</v>
      </c>
      <c r="S47" s="45" t="str">
        <f t="shared" si="6"/>
        <v>863</v>
      </c>
      <c r="T47" s="45" t="str">
        <f t="shared" si="7"/>
        <v>401</v>
      </c>
      <c r="U47" s="45" t="str">
        <f t="shared" si="8"/>
        <v>8012</v>
      </c>
      <c r="V47" s="2" t="s">
        <v>3043</v>
      </c>
      <c r="W47" s="45" t="str">
        <f t="shared" si="9"/>
        <v>0115</v>
      </c>
    </row>
    <row r="48" spans="1:23" x14ac:dyDescent="0.3">
      <c r="A48" t="s">
        <v>3042</v>
      </c>
      <c r="B48" s="45" t="str">
        <f t="shared" si="0"/>
        <v>Goldie</v>
      </c>
      <c r="C48" t="s">
        <v>62</v>
      </c>
      <c r="D48" t="s">
        <v>2609</v>
      </c>
      <c r="E48" s="45" t="str">
        <f t="shared" si="1"/>
        <v>Castaneda</v>
      </c>
      <c r="F48" s="45" t="str">
        <f t="shared" si="2"/>
        <v>Goldie D Castaneda</v>
      </c>
      <c r="G48" t="s">
        <v>241</v>
      </c>
      <c r="H48" t="str">
        <f t="shared" si="3"/>
        <v>Female</v>
      </c>
      <c r="I48" t="s">
        <v>3041</v>
      </c>
      <c r="J48" t="s">
        <v>421</v>
      </c>
      <c r="K48" t="s">
        <v>58</v>
      </c>
      <c r="L48">
        <v>90017</v>
      </c>
      <c r="O48" t="s">
        <v>3040</v>
      </c>
      <c r="P48" s="45" t="str">
        <f t="shared" si="4"/>
        <v>gmail</v>
      </c>
      <c r="Q48" t="s">
        <v>3039</v>
      </c>
      <c r="R48" s="45" t="str">
        <f t="shared" si="5"/>
        <v>213|968|0522</v>
      </c>
      <c r="S48" s="45" t="str">
        <f t="shared" si="6"/>
        <v>213</v>
      </c>
      <c r="T48" s="45" t="str">
        <f t="shared" si="7"/>
        <v>968</v>
      </c>
      <c r="U48" s="45" t="str">
        <f t="shared" si="8"/>
        <v>0522</v>
      </c>
      <c r="V48" s="2" t="s">
        <v>3038</v>
      </c>
      <c r="W48" s="45" t="str">
        <f t="shared" si="9"/>
        <v>980</v>
      </c>
    </row>
    <row r="49" spans="1:23" x14ac:dyDescent="0.3">
      <c r="A49" t="s">
        <v>3037</v>
      </c>
      <c r="B49" s="45" t="str">
        <f t="shared" si="0"/>
        <v>Kera</v>
      </c>
      <c r="C49" t="s">
        <v>60</v>
      </c>
      <c r="D49" t="s">
        <v>3036</v>
      </c>
      <c r="E49" s="45" t="str">
        <f t="shared" si="1"/>
        <v>Davidson</v>
      </c>
      <c r="F49" s="45" t="str">
        <f t="shared" si="2"/>
        <v>Kera M Davidson</v>
      </c>
      <c r="G49" t="s">
        <v>241</v>
      </c>
      <c r="H49" t="str">
        <f t="shared" si="3"/>
        <v>Female</v>
      </c>
      <c r="I49" t="s">
        <v>3035</v>
      </c>
      <c r="J49" t="s">
        <v>960</v>
      </c>
      <c r="K49" t="s">
        <v>86</v>
      </c>
      <c r="L49">
        <v>2138</v>
      </c>
      <c r="O49" t="s">
        <v>3034</v>
      </c>
      <c r="P49" s="45" t="str">
        <f t="shared" si="4"/>
        <v>hotmail</v>
      </c>
      <c r="Q49" t="s">
        <v>3033</v>
      </c>
      <c r="R49" s="45" t="str">
        <f t="shared" si="5"/>
        <v>781|905|8246</v>
      </c>
      <c r="S49" s="45" t="str">
        <f t="shared" si="6"/>
        <v>781</v>
      </c>
      <c r="T49" s="45" t="str">
        <f t="shared" si="7"/>
        <v>905</v>
      </c>
      <c r="U49" s="45" t="str">
        <f t="shared" si="8"/>
        <v>8246</v>
      </c>
      <c r="V49" s="2" t="s">
        <v>3032</v>
      </c>
      <c r="W49" s="45" t="str">
        <f t="shared" si="9"/>
        <v>945</v>
      </c>
    </row>
    <row r="50" spans="1:23" x14ac:dyDescent="0.3">
      <c r="A50" t="s">
        <v>3031</v>
      </c>
      <c r="B50" s="45" t="str">
        <f t="shared" si="0"/>
        <v>Donna</v>
      </c>
      <c r="C50" t="s">
        <v>75</v>
      </c>
      <c r="D50" t="s">
        <v>3030</v>
      </c>
      <c r="E50" s="45" t="str">
        <f t="shared" si="1"/>
        <v>Barnette</v>
      </c>
      <c r="F50" s="45" t="str">
        <f t="shared" si="2"/>
        <v>Donna B Barnette</v>
      </c>
      <c r="G50" t="s">
        <v>241</v>
      </c>
      <c r="H50" t="str">
        <f t="shared" si="3"/>
        <v>Female</v>
      </c>
      <c r="I50" t="s">
        <v>3029</v>
      </c>
      <c r="J50" t="s">
        <v>703</v>
      </c>
      <c r="K50" t="s">
        <v>66</v>
      </c>
      <c r="L50">
        <v>75247</v>
      </c>
      <c r="O50" t="s">
        <v>3028</v>
      </c>
      <c r="P50" s="45" t="str">
        <f t="shared" si="4"/>
        <v>gmail</v>
      </c>
      <c r="Q50" t="s">
        <v>3027</v>
      </c>
      <c r="R50" s="45" t="str">
        <f t="shared" si="5"/>
        <v>214|336|5063</v>
      </c>
      <c r="S50" s="45" t="str">
        <f t="shared" si="6"/>
        <v>214</v>
      </c>
      <c r="T50" s="45" t="str">
        <f t="shared" si="7"/>
        <v>336</v>
      </c>
      <c r="U50" s="45" t="str">
        <f t="shared" si="8"/>
        <v>5063</v>
      </c>
      <c r="V50" s="2" t="s">
        <v>3026</v>
      </c>
      <c r="W50" s="45" t="str">
        <f t="shared" si="9"/>
        <v>496</v>
      </c>
    </row>
    <row r="51" spans="1:23" x14ac:dyDescent="0.3">
      <c r="A51" t="s">
        <v>3025</v>
      </c>
      <c r="B51" s="45" t="str">
        <f t="shared" si="0"/>
        <v>Kellie</v>
      </c>
      <c r="C51" t="s">
        <v>81</v>
      </c>
      <c r="D51" t="s">
        <v>1677</v>
      </c>
      <c r="E51" s="45" t="str">
        <f t="shared" si="1"/>
        <v>Brown</v>
      </c>
      <c r="F51" s="45" t="str">
        <f t="shared" si="2"/>
        <v>Kellie A Brown</v>
      </c>
      <c r="G51" t="s">
        <v>241</v>
      </c>
      <c r="H51" t="str">
        <f t="shared" si="3"/>
        <v>Female</v>
      </c>
      <c r="I51" t="s">
        <v>3024</v>
      </c>
      <c r="J51" t="s">
        <v>1527</v>
      </c>
      <c r="K51" t="s">
        <v>95</v>
      </c>
      <c r="L51">
        <v>20191</v>
      </c>
      <c r="O51" t="s">
        <v>3023</v>
      </c>
      <c r="P51" s="45" t="str">
        <f t="shared" si="4"/>
        <v>hotmail</v>
      </c>
      <c r="Q51" t="s">
        <v>3022</v>
      </c>
      <c r="R51" s="45" t="str">
        <f t="shared" si="5"/>
        <v>240|363|9620</v>
      </c>
      <c r="S51" s="45" t="str">
        <f t="shared" si="6"/>
        <v>240</v>
      </c>
      <c r="T51" s="45" t="str">
        <f t="shared" si="7"/>
        <v>363</v>
      </c>
      <c r="U51" s="45" t="str">
        <f t="shared" si="8"/>
        <v>9620</v>
      </c>
      <c r="V51" s="2" t="s">
        <v>3021</v>
      </c>
      <c r="W51" s="45" t="str">
        <f t="shared" si="9"/>
        <v>606</v>
      </c>
    </row>
    <row r="52" spans="1:23" x14ac:dyDescent="0.3">
      <c r="A52" t="s">
        <v>3020</v>
      </c>
      <c r="B52" s="45" t="str">
        <f t="shared" si="0"/>
        <v>Vena</v>
      </c>
      <c r="C52" t="s">
        <v>56</v>
      </c>
      <c r="D52" t="s">
        <v>1975</v>
      </c>
      <c r="E52" s="45" t="str">
        <f t="shared" si="1"/>
        <v>Hamilton</v>
      </c>
      <c r="F52" s="45" t="str">
        <f t="shared" si="2"/>
        <v>Vena J Hamilton</v>
      </c>
      <c r="G52" t="s">
        <v>241</v>
      </c>
      <c r="H52" t="str">
        <f t="shared" si="3"/>
        <v>Female</v>
      </c>
      <c r="I52" t="s">
        <v>3019</v>
      </c>
      <c r="J52" t="s">
        <v>3018</v>
      </c>
      <c r="K52" t="s">
        <v>66</v>
      </c>
      <c r="L52">
        <v>77701</v>
      </c>
      <c r="O52" t="s">
        <v>3017</v>
      </c>
      <c r="P52" s="45" t="str">
        <f t="shared" si="4"/>
        <v>hotmail</v>
      </c>
      <c r="Q52" t="s">
        <v>3016</v>
      </c>
      <c r="R52" s="45" t="str">
        <f t="shared" si="5"/>
        <v>409|232|1330</v>
      </c>
      <c r="S52" s="45" t="str">
        <f t="shared" si="6"/>
        <v>409</v>
      </c>
      <c r="T52" s="45" t="str">
        <f t="shared" si="7"/>
        <v>232</v>
      </c>
      <c r="U52" s="45" t="str">
        <f t="shared" si="8"/>
        <v>1330</v>
      </c>
      <c r="V52" s="2" t="s">
        <v>3015</v>
      </c>
      <c r="W52" s="45" t="str">
        <f t="shared" si="9"/>
        <v>7652</v>
      </c>
    </row>
    <row r="53" spans="1:23" x14ac:dyDescent="0.3">
      <c r="A53" t="s">
        <v>258</v>
      </c>
      <c r="B53" s="45" t="str">
        <f t="shared" si="0"/>
        <v>Julie</v>
      </c>
      <c r="C53" t="s">
        <v>70</v>
      </c>
      <c r="D53" t="s">
        <v>3014</v>
      </c>
      <c r="E53" s="45" t="str">
        <f t="shared" si="1"/>
        <v>Prall</v>
      </c>
      <c r="F53" s="45" t="str">
        <f t="shared" si="2"/>
        <v>Julie F Prall</v>
      </c>
      <c r="G53" t="s">
        <v>241</v>
      </c>
      <c r="H53" t="str">
        <f t="shared" si="3"/>
        <v>Female</v>
      </c>
      <c r="I53" t="s">
        <v>3013</v>
      </c>
      <c r="J53" t="s">
        <v>3012</v>
      </c>
      <c r="K53" t="s">
        <v>76</v>
      </c>
      <c r="L53">
        <v>38261</v>
      </c>
      <c r="O53" t="s">
        <v>3011</v>
      </c>
      <c r="P53" s="45" t="str">
        <f t="shared" si="4"/>
        <v>aol</v>
      </c>
      <c r="Q53" t="s">
        <v>3010</v>
      </c>
      <c r="R53" s="45" t="str">
        <f t="shared" si="5"/>
        <v>731|884|2771</v>
      </c>
      <c r="S53" s="45" t="str">
        <f t="shared" si="6"/>
        <v>731</v>
      </c>
      <c r="T53" s="45" t="str">
        <f t="shared" si="7"/>
        <v>884</v>
      </c>
      <c r="U53" s="45" t="str">
        <f t="shared" si="8"/>
        <v>2771</v>
      </c>
      <c r="V53" s="2" t="s">
        <v>3009</v>
      </c>
      <c r="W53" s="45" t="str">
        <f t="shared" si="9"/>
        <v>9769</v>
      </c>
    </row>
    <row r="54" spans="1:23" x14ac:dyDescent="0.3">
      <c r="A54" t="s">
        <v>794</v>
      </c>
      <c r="B54" s="45" t="str">
        <f t="shared" si="0"/>
        <v>Victor</v>
      </c>
      <c r="C54" t="s">
        <v>75</v>
      </c>
      <c r="D54" t="s">
        <v>368</v>
      </c>
      <c r="E54" s="45" t="str">
        <f t="shared" si="1"/>
        <v>Williams</v>
      </c>
      <c r="F54" s="45" t="str">
        <f t="shared" si="2"/>
        <v>Victor B Williams</v>
      </c>
      <c r="G54" t="s">
        <v>264</v>
      </c>
      <c r="H54" t="str">
        <f t="shared" si="3"/>
        <v>Male</v>
      </c>
      <c r="I54" t="s">
        <v>3008</v>
      </c>
      <c r="J54" t="s">
        <v>586</v>
      </c>
      <c r="K54" t="s">
        <v>76</v>
      </c>
      <c r="L54">
        <v>37211</v>
      </c>
      <c r="O54" t="s">
        <v>3007</v>
      </c>
      <c r="P54" s="45" t="str">
        <f t="shared" si="4"/>
        <v>gmail</v>
      </c>
      <c r="Q54" t="s">
        <v>3006</v>
      </c>
      <c r="R54" s="45" t="str">
        <f t="shared" si="5"/>
        <v>931|735|0448</v>
      </c>
      <c r="S54" s="45" t="str">
        <f t="shared" si="6"/>
        <v>931</v>
      </c>
      <c r="T54" s="45" t="str">
        <f t="shared" si="7"/>
        <v>735</v>
      </c>
      <c r="U54" s="45" t="str">
        <f t="shared" si="8"/>
        <v>0448</v>
      </c>
      <c r="V54" s="2" t="s">
        <v>3005</v>
      </c>
      <c r="W54" s="45" t="str">
        <f t="shared" si="9"/>
        <v>6978</v>
      </c>
    </row>
    <row r="55" spans="1:23" x14ac:dyDescent="0.3">
      <c r="A55" t="s">
        <v>3004</v>
      </c>
      <c r="B55" s="45" t="str">
        <f t="shared" si="0"/>
        <v>Gracie</v>
      </c>
      <c r="C55" t="s">
        <v>243</v>
      </c>
      <c r="D55" t="s">
        <v>3003</v>
      </c>
      <c r="E55" s="45" t="str">
        <f t="shared" si="1"/>
        <v>Gonzalez</v>
      </c>
      <c r="F55" s="45" t="str">
        <f t="shared" si="2"/>
        <v>Gracie R Gonzalez</v>
      </c>
      <c r="G55" t="s">
        <v>241</v>
      </c>
      <c r="H55" t="str">
        <f t="shared" si="3"/>
        <v>Female</v>
      </c>
      <c r="I55" t="s">
        <v>3002</v>
      </c>
      <c r="J55" t="s">
        <v>852</v>
      </c>
      <c r="K55" t="s">
        <v>96</v>
      </c>
      <c r="L55">
        <v>80202</v>
      </c>
      <c r="O55" t="s">
        <v>3001</v>
      </c>
      <c r="P55" s="45" t="str">
        <f t="shared" si="4"/>
        <v>aol</v>
      </c>
      <c r="Q55" t="s">
        <v>3000</v>
      </c>
      <c r="R55" s="45" t="str">
        <f t="shared" si="5"/>
        <v>303|376|7959</v>
      </c>
      <c r="S55" s="45" t="str">
        <f t="shared" si="6"/>
        <v>303</v>
      </c>
      <c r="T55" s="45" t="str">
        <f t="shared" si="7"/>
        <v>376</v>
      </c>
      <c r="U55" s="45" t="str">
        <f t="shared" si="8"/>
        <v>7959</v>
      </c>
      <c r="V55" s="2" t="s">
        <v>2999</v>
      </c>
      <c r="W55" s="45" t="str">
        <f t="shared" si="9"/>
        <v>7511</v>
      </c>
    </row>
    <row r="56" spans="1:23" x14ac:dyDescent="0.3">
      <c r="A56" t="s">
        <v>2998</v>
      </c>
      <c r="B56" s="45" t="str">
        <f t="shared" si="0"/>
        <v>Leonila</v>
      </c>
      <c r="C56" t="s">
        <v>266</v>
      </c>
      <c r="D56" t="s">
        <v>2997</v>
      </c>
      <c r="E56" s="45" t="str">
        <f t="shared" si="1"/>
        <v>Bombard</v>
      </c>
      <c r="F56" s="45" t="str">
        <f t="shared" si="2"/>
        <v>Leonila S Bombard</v>
      </c>
      <c r="G56" t="s">
        <v>241</v>
      </c>
      <c r="H56" t="str">
        <f t="shared" si="3"/>
        <v>Female</v>
      </c>
      <c r="I56" t="s">
        <v>2996</v>
      </c>
      <c r="J56" t="s">
        <v>2995</v>
      </c>
      <c r="K56" t="s">
        <v>79</v>
      </c>
      <c r="L56">
        <v>32019</v>
      </c>
      <c r="O56" t="s">
        <v>2994</v>
      </c>
      <c r="P56" s="45" t="str">
        <f t="shared" si="4"/>
        <v>hotmail</v>
      </c>
      <c r="Q56" t="s">
        <v>2993</v>
      </c>
      <c r="R56" s="45" t="str">
        <f t="shared" si="5"/>
        <v>386|562|8256</v>
      </c>
      <c r="S56" s="45" t="str">
        <f t="shared" si="6"/>
        <v>386</v>
      </c>
      <c r="T56" s="45" t="str">
        <f t="shared" si="7"/>
        <v>562</v>
      </c>
      <c r="U56" s="45" t="str">
        <f t="shared" si="8"/>
        <v>8256</v>
      </c>
      <c r="V56" s="2" t="s">
        <v>2992</v>
      </c>
      <c r="W56" s="45" t="str">
        <f t="shared" si="9"/>
        <v>998</v>
      </c>
    </row>
    <row r="57" spans="1:23" x14ac:dyDescent="0.3">
      <c r="A57" t="s">
        <v>2991</v>
      </c>
      <c r="B57" s="45" t="str">
        <f t="shared" si="0"/>
        <v>Christina</v>
      </c>
      <c r="C57" t="s">
        <v>60</v>
      </c>
      <c r="D57" t="s">
        <v>2990</v>
      </c>
      <c r="E57" s="45" t="str">
        <f t="shared" si="1"/>
        <v>Richter</v>
      </c>
      <c r="F57" s="45" t="str">
        <f t="shared" si="2"/>
        <v>Christina M Richter</v>
      </c>
      <c r="G57" t="s">
        <v>241</v>
      </c>
      <c r="H57" t="str">
        <f t="shared" si="3"/>
        <v>Female</v>
      </c>
      <c r="I57" t="s">
        <v>2989</v>
      </c>
      <c r="J57" t="s">
        <v>2512</v>
      </c>
      <c r="K57" t="s">
        <v>79</v>
      </c>
      <c r="L57">
        <v>33901</v>
      </c>
      <c r="O57" t="s">
        <v>2988</v>
      </c>
      <c r="P57" s="45" t="str">
        <f t="shared" si="4"/>
        <v>hotmail</v>
      </c>
      <c r="Q57" t="s">
        <v>2987</v>
      </c>
      <c r="R57" s="45" t="str">
        <f t="shared" si="5"/>
        <v>239|633|4155</v>
      </c>
      <c r="S57" s="45" t="str">
        <f t="shared" si="6"/>
        <v>239</v>
      </c>
      <c r="T57" s="45" t="str">
        <f t="shared" si="7"/>
        <v>633</v>
      </c>
      <c r="U57" s="45" t="str">
        <f t="shared" si="8"/>
        <v>4155</v>
      </c>
      <c r="V57" s="2" t="s">
        <v>2986</v>
      </c>
      <c r="W57" s="45" t="str">
        <f t="shared" si="9"/>
        <v>9162</v>
      </c>
    </row>
    <row r="58" spans="1:23" x14ac:dyDescent="0.3">
      <c r="A58" t="s">
        <v>649</v>
      </c>
      <c r="B58" s="45" t="str">
        <f t="shared" si="0"/>
        <v>Brenda</v>
      </c>
      <c r="C58" t="s">
        <v>65</v>
      </c>
      <c r="D58" t="s">
        <v>2985</v>
      </c>
      <c r="E58" s="45" t="str">
        <f t="shared" si="1"/>
        <v>Hodges</v>
      </c>
      <c r="F58" s="45" t="str">
        <f t="shared" si="2"/>
        <v>Brenda K Hodges</v>
      </c>
      <c r="G58" t="s">
        <v>241</v>
      </c>
      <c r="H58" t="str">
        <f t="shared" si="3"/>
        <v>Female</v>
      </c>
      <c r="I58" t="s">
        <v>2984</v>
      </c>
      <c r="J58" t="s">
        <v>78</v>
      </c>
      <c r="K58" t="s">
        <v>57</v>
      </c>
      <c r="L58">
        <v>60605</v>
      </c>
      <c r="O58" t="s">
        <v>2983</v>
      </c>
      <c r="P58" s="45" t="str">
        <f t="shared" si="4"/>
        <v>aol</v>
      </c>
      <c r="Q58" t="s">
        <v>2982</v>
      </c>
      <c r="R58" s="45" t="str">
        <f t="shared" si="5"/>
        <v>630|354|1426</v>
      </c>
      <c r="S58" s="45" t="str">
        <f t="shared" si="6"/>
        <v>630</v>
      </c>
      <c r="T58" s="45" t="str">
        <f t="shared" si="7"/>
        <v>354</v>
      </c>
      <c r="U58" s="45" t="str">
        <f t="shared" si="8"/>
        <v>1426</v>
      </c>
      <c r="V58" s="2" t="s">
        <v>2981</v>
      </c>
      <c r="W58" s="45" t="str">
        <f t="shared" si="9"/>
        <v>020</v>
      </c>
    </row>
    <row r="59" spans="1:23" x14ac:dyDescent="0.3">
      <c r="A59" t="s">
        <v>2980</v>
      </c>
      <c r="B59" s="45" t="str">
        <f t="shared" si="0"/>
        <v>Carmelo</v>
      </c>
      <c r="C59" t="s">
        <v>81</v>
      </c>
      <c r="D59" t="s">
        <v>2979</v>
      </c>
      <c r="E59" s="45" t="str">
        <f t="shared" si="1"/>
        <v>Preuss</v>
      </c>
      <c r="F59" s="45" t="str">
        <f t="shared" si="2"/>
        <v>Carmelo A Preuss</v>
      </c>
      <c r="G59" t="s">
        <v>264</v>
      </c>
      <c r="H59" t="str">
        <f t="shared" si="3"/>
        <v>Male</v>
      </c>
      <c r="I59" t="s">
        <v>2978</v>
      </c>
      <c r="J59" t="s">
        <v>2977</v>
      </c>
      <c r="K59" t="s">
        <v>82</v>
      </c>
      <c r="L59">
        <v>84734</v>
      </c>
      <c r="O59" t="s">
        <v>2976</v>
      </c>
      <c r="P59" s="45" t="str">
        <f t="shared" si="4"/>
        <v>aol</v>
      </c>
      <c r="Q59" t="s">
        <v>2975</v>
      </c>
      <c r="R59" s="45" t="str">
        <f t="shared" si="5"/>
        <v>435|788|1677</v>
      </c>
      <c r="S59" s="45" t="str">
        <f t="shared" si="6"/>
        <v>435</v>
      </c>
      <c r="T59" s="45" t="str">
        <f t="shared" si="7"/>
        <v>788</v>
      </c>
      <c r="U59" s="45" t="str">
        <f t="shared" si="8"/>
        <v>1677</v>
      </c>
      <c r="V59" s="2" t="s">
        <v>2974</v>
      </c>
      <c r="W59" s="45" t="str">
        <f t="shared" si="9"/>
        <v>635</v>
      </c>
    </row>
    <row r="60" spans="1:23" x14ac:dyDescent="0.3">
      <c r="A60" t="s">
        <v>369</v>
      </c>
      <c r="B60" s="45" t="str">
        <f t="shared" si="0"/>
        <v>David</v>
      </c>
      <c r="C60" t="s">
        <v>77</v>
      </c>
      <c r="D60" t="s">
        <v>2973</v>
      </c>
      <c r="E60" s="45" t="str">
        <f t="shared" si="1"/>
        <v>Sisco</v>
      </c>
      <c r="F60" s="45" t="str">
        <f t="shared" si="2"/>
        <v>David C Sisco</v>
      </c>
      <c r="G60" t="s">
        <v>264</v>
      </c>
      <c r="H60" t="str">
        <f t="shared" si="3"/>
        <v>Male</v>
      </c>
      <c r="I60" t="s">
        <v>2972</v>
      </c>
      <c r="J60" t="s">
        <v>1124</v>
      </c>
      <c r="K60" t="s">
        <v>68</v>
      </c>
      <c r="L60">
        <v>13202</v>
      </c>
      <c r="O60" t="s">
        <v>2971</v>
      </c>
      <c r="P60" s="45" t="str">
        <f t="shared" si="4"/>
        <v>gmail</v>
      </c>
      <c r="Q60" t="s">
        <v>2970</v>
      </c>
      <c r="R60" s="45" t="str">
        <f t="shared" si="5"/>
        <v>315|479|9958</v>
      </c>
      <c r="S60" s="45" t="str">
        <f t="shared" si="6"/>
        <v>315</v>
      </c>
      <c r="T60" s="45" t="str">
        <f t="shared" si="7"/>
        <v>479</v>
      </c>
      <c r="U60" s="45" t="str">
        <f t="shared" si="8"/>
        <v>9958</v>
      </c>
      <c r="V60" s="2" t="s">
        <v>2969</v>
      </c>
      <c r="W60" s="45" t="str">
        <f t="shared" si="9"/>
        <v>354</v>
      </c>
    </row>
    <row r="61" spans="1:23" x14ac:dyDescent="0.3">
      <c r="A61" t="s">
        <v>2838</v>
      </c>
      <c r="B61" s="45" t="str">
        <f t="shared" si="0"/>
        <v>Terry</v>
      </c>
      <c r="C61" t="s">
        <v>56</v>
      </c>
      <c r="D61" t="s">
        <v>354</v>
      </c>
      <c r="E61" s="45" t="str">
        <f t="shared" si="1"/>
        <v>Gilbert</v>
      </c>
      <c r="F61" s="45" t="str">
        <f t="shared" si="2"/>
        <v>Terry J Gilbert</v>
      </c>
      <c r="G61" t="s">
        <v>264</v>
      </c>
      <c r="H61" t="str">
        <f t="shared" si="3"/>
        <v>Male</v>
      </c>
      <c r="I61" t="s">
        <v>2968</v>
      </c>
      <c r="J61" t="s">
        <v>2967</v>
      </c>
      <c r="K61" t="s">
        <v>97</v>
      </c>
      <c r="L61">
        <v>74034</v>
      </c>
      <c r="O61" t="s">
        <v>2966</v>
      </c>
      <c r="P61" s="45" t="str">
        <f t="shared" si="4"/>
        <v>hotmail</v>
      </c>
      <c r="Q61" t="s">
        <v>2965</v>
      </c>
      <c r="R61" s="45" t="str">
        <f t="shared" si="5"/>
        <v>918|356|3119</v>
      </c>
      <c r="S61" s="45" t="str">
        <f t="shared" si="6"/>
        <v>918</v>
      </c>
      <c r="T61" s="45" t="str">
        <f t="shared" si="7"/>
        <v>356</v>
      </c>
      <c r="U61" s="45" t="str">
        <f t="shared" si="8"/>
        <v>3119</v>
      </c>
      <c r="V61" s="2" t="s">
        <v>2964</v>
      </c>
      <c r="W61" s="45" t="str">
        <f t="shared" si="9"/>
        <v>962</v>
      </c>
    </row>
    <row r="62" spans="1:23" x14ac:dyDescent="0.3">
      <c r="A62" t="s">
        <v>2963</v>
      </c>
      <c r="B62" s="45" t="str">
        <f t="shared" si="0"/>
        <v>Homer</v>
      </c>
      <c r="C62" t="s">
        <v>243</v>
      </c>
      <c r="D62" t="s">
        <v>2962</v>
      </c>
      <c r="E62" s="45" t="str">
        <f t="shared" si="1"/>
        <v>Latham</v>
      </c>
      <c r="F62" s="45" t="str">
        <f t="shared" si="2"/>
        <v>Homer R Latham</v>
      </c>
      <c r="G62" t="s">
        <v>264</v>
      </c>
      <c r="H62" t="str">
        <f t="shared" si="3"/>
        <v>Male</v>
      </c>
      <c r="I62" t="s">
        <v>2961</v>
      </c>
      <c r="J62" t="s">
        <v>2960</v>
      </c>
      <c r="K62" t="s">
        <v>98</v>
      </c>
      <c r="L62">
        <v>57238</v>
      </c>
      <c r="O62" t="s">
        <v>2959</v>
      </c>
      <c r="P62" s="45" t="str">
        <f t="shared" si="4"/>
        <v>aol</v>
      </c>
      <c r="Q62" t="s">
        <v>2958</v>
      </c>
      <c r="R62" s="45" t="str">
        <f t="shared" si="5"/>
        <v>605|795|1731</v>
      </c>
      <c r="S62" s="45" t="str">
        <f t="shared" si="6"/>
        <v>605</v>
      </c>
      <c r="T62" s="45" t="str">
        <f t="shared" si="7"/>
        <v>795</v>
      </c>
      <c r="U62" s="45" t="str">
        <f t="shared" si="8"/>
        <v>1731</v>
      </c>
      <c r="V62" s="2" t="s">
        <v>2957</v>
      </c>
      <c r="W62" s="45" t="str">
        <f t="shared" si="9"/>
        <v>6207</v>
      </c>
    </row>
    <row r="63" spans="1:23" x14ac:dyDescent="0.3">
      <c r="A63" t="s">
        <v>2956</v>
      </c>
      <c r="B63" s="45" t="str">
        <f t="shared" si="0"/>
        <v>Argentina</v>
      </c>
      <c r="C63" t="s">
        <v>91</v>
      </c>
      <c r="D63" t="s">
        <v>1050</v>
      </c>
      <c r="E63" s="45" t="str">
        <f t="shared" si="1"/>
        <v>Clark</v>
      </c>
      <c r="F63" s="45" t="str">
        <f t="shared" si="2"/>
        <v>Argentina L Clark</v>
      </c>
      <c r="G63" t="s">
        <v>241</v>
      </c>
      <c r="H63" t="str">
        <f t="shared" si="3"/>
        <v>Female</v>
      </c>
      <c r="I63" t="s">
        <v>2955</v>
      </c>
      <c r="J63" t="s">
        <v>2954</v>
      </c>
      <c r="K63" t="s">
        <v>68</v>
      </c>
      <c r="L63">
        <v>14227</v>
      </c>
      <c r="O63" t="s">
        <v>2953</v>
      </c>
      <c r="P63" s="45" t="str">
        <f t="shared" si="4"/>
        <v>hotmail</v>
      </c>
      <c r="Q63" t="s">
        <v>2952</v>
      </c>
      <c r="R63" s="45" t="str">
        <f t="shared" si="5"/>
        <v>716|228|4814</v>
      </c>
      <c r="S63" s="45" t="str">
        <f t="shared" si="6"/>
        <v>716</v>
      </c>
      <c r="T63" s="45" t="str">
        <f t="shared" si="7"/>
        <v>228</v>
      </c>
      <c r="U63" s="45" t="str">
        <f t="shared" si="8"/>
        <v>4814</v>
      </c>
      <c r="V63" s="2" t="s">
        <v>2951</v>
      </c>
      <c r="W63" s="45" t="str">
        <f t="shared" si="9"/>
        <v>6051</v>
      </c>
    </row>
    <row r="64" spans="1:23" x14ac:dyDescent="0.3">
      <c r="A64" t="s">
        <v>2950</v>
      </c>
      <c r="B64" s="45" t="str">
        <f t="shared" si="0"/>
        <v>Raymond</v>
      </c>
      <c r="C64" t="s">
        <v>60</v>
      </c>
      <c r="D64" t="s">
        <v>335</v>
      </c>
      <c r="E64" s="45" t="str">
        <f t="shared" si="1"/>
        <v>Taylor</v>
      </c>
      <c r="F64" s="45" t="str">
        <f t="shared" si="2"/>
        <v>Raymond M Taylor</v>
      </c>
      <c r="G64" t="s">
        <v>264</v>
      </c>
      <c r="H64" t="str">
        <f t="shared" si="3"/>
        <v>Male</v>
      </c>
      <c r="I64" t="s">
        <v>2949</v>
      </c>
      <c r="J64" t="s">
        <v>2403</v>
      </c>
      <c r="K64" t="s">
        <v>79</v>
      </c>
      <c r="L64">
        <v>33311</v>
      </c>
      <c r="O64" t="s">
        <v>2948</v>
      </c>
      <c r="P64" s="45" t="str">
        <f t="shared" si="4"/>
        <v>gmail</v>
      </c>
      <c r="Q64" t="s">
        <v>2947</v>
      </c>
      <c r="R64" s="45" t="str">
        <f t="shared" si="5"/>
        <v>305|965|4543</v>
      </c>
      <c r="S64" s="45" t="str">
        <f t="shared" si="6"/>
        <v>305</v>
      </c>
      <c r="T64" s="45" t="str">
        <f t="shared" si="7"/>
        <v>965</v>
      </c>
      <c r="U64" s="45" t="str">
        <f t="shared" si="8"/>
        <v>4543</v>
      </c>
      <c r="V64" s="2" t="s">
        <v>2946</v>
      </c>
      <c r="W64" s="45" t="str">
        <f t="shared" si="9"/>
        <v>6996</v>
      </c>
    </row>
    <row r="65" spans="1:23" x14ac:dyDescent="0.3">
      <c r="A65" t="s">
        <v>2216</v>
      </c>
      <c r="B65" s="45" t="str">
        <f t="shared" si="0"/>
        <v>Patricia</v>
      </c>
      <c r="C65" t="s">
        <v>77</v>
      </c>
      <c r="D65" t="s">
        <v>1843</v>
      </c>
      <c r="E65" s="45" t="str">
        <f t="shared" si="1"/>
        <v>Harrison</v>
      </c>
      <c r="F65" s="45" t="str">
        <f t="shared" si="2"/>
        <v>Patricia C Harrison</v>
      </c>
      <c r="G65" t="s">
        <v>241</v>
      </c>
      <c r="H65" t="str">
        <f t="shared" si="3"/>
        <v>Female</v>
      </c>
      <c r="I65" t="s">
        <v>2945</v>
      </c>
      <c r="J65" t="s">
        <v>2944</v>
      </c>
      <c r="K65" t="s">
        <v>66</v>
      </c>
      <c r="L65">
        <v>79106</v>
      </c>
      <c r="O65" t="s">
        <v>2943</v>
      </c>
      <c r="P65" s="45" t="str">
        <f t="shared" si="4"/>
        <v>hotmail</v>
      </c>
      <c r="Q65" t="s">
        <v>2942</v>
      </c>
      <c r="R65" s="45" t="str">
        <f t="shared" si="5"/>
        <v>806|664|5258</v>
      </c>
      <c r="S65" s="45" t="str">
        <f t="shared" si="6"/>
        <v>806</v>
      </c>
      <c r="T65" s="45" t="str">
        <f t="shared" si="7"/>
        <v>664</v>
      </c>
      <c r="U65" s="45" t="str">
        <f t="shared" si="8"/>
        <v>5258</v>
      </c>
      <c r="V65" s="2" t="s">
        <v>2941</v>
      </c>
      <c r="W65" s="45" t="str">
        <f t="shared" si="9"/>
        <v>6390</v>
      </c>
    </row>
    <row r="66" spans="1:23" x14ac:dyDescent="0.3">
      <c r="A66" t="s">
        <v>756</v>
      </c>
      <c r="B66" s="45" t="str">
        <f t="shared" si="0"/>
        <v>Robert</v>
      </c>
      <c r="C66" t="s">
        <v>65</v>
      </c>
      <c r="D66" t="s">
        <v>732</v>
      </c>
      <c r="E66" s="45" t="str">
        <f t="shared" si="1"/>
        <v>King</v>
      </c>
      <c r="F66" s="45" t="str">
        <f t="shared" si="2"/>
        <v>Robert K King</v>
      </c>
      <c r="G66" t="s">
        <v>264</v>
      </c>
      <c r="H66" t="str">
        <f t="shared" si="3"/>
        <v>Male</v>
      </c>
      <c r="I66" t="s">
        <v>2940</v>
      </c>
      <c r="J66" t="s">
        <v>2939</v>
      </c>
      <c r="K66" t="s">
        <v>99</v>
      </c>
      <c r="L66">
        <v>47591</v>
      </c>
      <c r="O66" t="s">
        <v>2938</v>
      </c>
      <c r="P66" s="45" t="str">
        <f t="shared" si="4"/>
        <v>hotmail</v>
      </c>
      <c r="Q66" t="s">
        <v>2937</v>
      </c>
      <c r="R66" s="45" t="str">
        <f t="shared" si="5"/>
        <v>812|881|5928</v>
      </c>
      <c r="S66" s="45" t="str">
        <f t="shared" si="6"/>
        <v>812</v>
      </c>
      <c r="T66" s="45" t="str">
        <f t="shared" si="7"/>
        <v>881</v>
      </c>
      <c r="U66" s="45" t="str">
        <f t="shared" si="8"/>
        <v>5928</v>
      </c>
      <c r="V66" s="2" t="s">
        <v>2936</v>
      </c>
      <c r="W66" s="45" t="str">
        <f t="shared" si="9"/>
        <v>222</v>
      </c>
    </row>
    <row r="67" spans="1:23" x14ac:dyDescent="0.3">
      <c r="A67" t="s">
        <v>2935</v>
      </c>
      <c r="B67" s="45" t="str">
        <f t="shared" ref="B67:B130" si="10">PROPER(A67)</f>
        <v>Pedro</v>
      </c>
      <c r="C67" t="s">
        <v>60</v>
      </c>
      <c r="D67" t="s">
        <v>2934</v>
      </c>
      <c r="E67" s="45" t="str">
        <f t="shared" ref="E67:E130" si="11">PROPER(D67)</f>
        <v>Padgett</v>
      </c>
      <c r="F67" s="45" t="str">
        <f t="shared" ref="F67:F130" si="12">_xlfn.CONCAT(B67," ",C67," ",E67)</f>
        <v>Pedro M Padgett</v>
      </c>
      <c r="G67" t="s">
        <v>264</v>
      </c>
      <c r="H67" t="str">
        <f t="shared" ref="H67:H130" si="13">PROPER(G67)</f>
        <v>Male</v>
      </c>
      <c r="I67" t="s">
        <v>2933</v>
      </c>
      <c r="J67" t="s">
        <v>1302</v>
      </c>
      <c r="K67" t="s">
        <v>59</v>
      </c>
      <c r="L67">
        <v>8104</v>
      </c>
      <c r="O67" t="s">
        <v>2932</v>
      </c>
      <c r="P67" s="45" t="str">
        <f t="shared" ref="P67:P130" si="14">_xlfn.TEXTBEFORE(_xlfn.TEXTAFTER(O67,"@"),".")</f>
        <v>hotmail</v>
      </c>
      <c r="Q67" t="s">
        <v>2931</v>
      </c>
      <c r="R67" s="45" t="str">
        <f t="shared" ref="R67:R130" si="15">SUBSTITUTE(Q67,"-","|")</f>
        <v>609|326|3881</v>
      </c>
      <c r="S67" s="45" t="str">
        <f t="shared" ref="S67:S130" si="16">LEFT(R67,3)</f>
        <v>609</v>
      </c>
      <c r="T67" s="45" t="str">
        <f t="shared" ref="T67:T130" si="17">MID(R67,5,3)</f>
        <v>326</v>
      </c>
      <c r="U67" s="45" t="str">
        <f t="shared" ref="U67:U130" si="18">RIGHT(R67,4)</f>
        <v>3881</v>
      </c>
      <c r="V67" s="2" t="s">
        <v>2930</v>
      </c>
      <c r="W67" s="45" t="str">
        <f t="shared" ref="W67:W130" si="19">RIGHT(V67,LEN(V67)-FIND("-",V67))</f>
        <v>475</v>
      </c>
    </row>
    <row r="68" spans="1:23" x14ac:dyDescent="0.3">
      <c r="A68" t="s">
        <v>523</v>
      </c>
      <c r="B68" s="45" t="str">
        <f t="shared" si="10"/>
        <v>John</v>
      </c>
      <c r="C68" t="s">
        <v>243</v>
      </c>
      <c r="D68" t="s">
        <v>2929</v>
      </c>
      <c r="E68" s="45" t="str">
        <f t="shared" si="11"/>
        <v>Mclaughlin</v>
      </c>
      <c r="F68" s="45" t="str">
        <f t="shared" si="12"/>
        <v>John R Mclaughlin</v>
      </c>
      <c r="G68" t="s">
        <v>264</v>
      </c>
      <c r="H68" t="str">
        <f t="shared" si="13"/>
        <v>Male</v>
      </c>
      <c r="I68" t="s">
        <v>2928</v>
      </c>
      <c r="J68" t="s">
        <v>2927</v>
      </c>
      <c r="K68" t="s">
        <v>100</v>
      </c>
      <c r="L68">
        <v>39322</v>
      </c>
      <c r="O68" t="s">
        <v>2926</v>
      </c>
      <c r="P68" s="45" t="str">
        <f t="shared" si="14"/>
        <v>hotmail</v>
      </c>
      <c r="Q68" t="s">
        <v>2925</v>
      </c>
      <c r="R68" s="45" t="str">
        <f t="shared" si="15"/>
        <v>601|648|9349</v>
      </c>
      <c r="S68" s="45" t="str">
        <f t="shared" si="16"/>
        <v>601</v>
      </c>
      <c r="T68" s="45" t="str">
        <f t="shared" si="17"/>
        <v>648</v>
      </c>
      <c r="U68" s="45" t="str">
        <f t="shared" si="18"/>
        <v>9349</v>
      </c>
      <c r="V68" s="2" t="s">
        <v>2924</v>
      </c>
      <c r="W68" s="45" t="str">
        <f t="shared" si="19"/>
        <v>709</v>
      </c>
    </row>
    <row r="69" spans="1:23" x14ac:dyDescent="0.3">
      <c r="A69" t="s">
        <v>2923</v>
      </c>
      <c r="B69" s="45" t="str">
        <f t="shared" si="10"/>
        <v>Lakesha</v>
      </c>
      <c r="C69" t="s">
        <v>361</v>
      </c>
      <c r="D69" t="s">
        <v>455</v>
      </c>
      <c r="E69" s="45" t="str">
        <f t="shared" si="11"/>
        <v>Johnson</v>
      </c>
      <c r="F69" s="45" t="str">
        <f t="shared" si="12"/>
        <v>Lakesha T Johnson</v>
      </c>
      <c r="G69" t="s">
        <v>241</v>
      </c>
      <c r="H69" t="str">
        <f t="shared" si="13"/>
        <v>Female</v>
      </c>
      <c r="I69" t="s">
        <v>2922</v>
      </c>
      <c r="J69" t="s">
        <v>2921</v>
      </c>
      <c r="K69" t="s">
        <v>101</v>
      </c>
      <c r="L69">
        <v>16668</v>
      </c>
      <c r="O69" t="s">
        <v>2920</v>
      </c>
      <c r="P69" s="45" t="str">
        <f t="shared" si="14"/>
        <v>hotmail</v>
      </c>
      <c r="Q69" t="s">
        <v>2919</v>
      </c>
      <c r="R69" s="45" t="str">
        <f t="shared" si="15"/>
        <v>814|674|1968</v>
      </c>
      <c r="S69" s="45" t="str">
        <f t="shared" si="16"/>
        <v>814</v>
      </c>
      <c r="T69" s="45" t="str">
        <f t="shared" si="17"/>
        <v>674</v>
      </c>
      <c r="U69" s="45" t="str">
        <f t="shared" si="18"/>
        <v>1968</v>
      </c>
      <c r="V69" s="2" t="s">
        <v>2918</v>
      </c>
      <c r="W69" s="45" t="str">
        <f t="shared" si="19"/>
        <v>7331</v>
      </c>
    </row>
    <row r="70" spans="1:23" x14ac:dyDescent="0.3">
      <c r="A70" t="s">
        <v>2917</v>
      </c>
      <c r="B70" s="45" t="str">
        <f t="shared" si="10"/>
        <v>Lucinda</v>
      </c>
      <c r="C70" t="s">
        <v>243</v>
      </c>
      <c r="D70" t="s">
        <v>2916</v>
      </c>
      <c r="E70" s="45" t="str">
        <f t="shared" si="11"/>
        <v>Gribble</v>
      </c>
      <c r="F70" s="45" t="str">
        <f t="shared" si="12"/>
        <v>Lucinda R Gribble</v>
      </c>
      <c r="G70" t="s">
        <v>241</v>
      </c>
      <c r="H70" t="str">
        <f t="shared" si="13"/>
        <v>Female</v>
      </c>
      <c r="I70" t="s">
        <v>2915</v>
      </c>
      <c r="J70" t="s">
        <v>509</v>
      </c>
      <c r="K70" t="s">
        <v>66</v>
      </c>
      <c r="L70">
        <v>77002</v>
      </c>
      <c r="O70" t="s">
        <v>2914</v>
      </c>
      <c r="P70" s="45" t="str">
        <f t="shared" si="14"/>
        <v>aol</v>
      </c>
      <c r="Q70" t="s">
        <v>2913</v>
      </c>
      <c r="R70" s="45" t="str">
        <f t="shared" si="15"/>
        <v>713|609|8148</v>
      </c>
      <c r="S70" s="45" t="str">
        <f t="shared" si="16"/>
        <v>713</v>
      </c>
      <c r="T70" s="45" t="str">
        <f t="shared" si="17"/>
        <v>609</v>
      </c>
      <c r="U70" s="45" t="str">
        <f t="shared" si="18"/>
        <v>8148</v>
      </c>
      <c r="V70" s="2" t="s">
        <v>2912</v>
      </c>
      <c r="W70" s="45" t="str">
        <f t="shared" si="19"/>
        <v>976</v>
      </c>
    </row>
    <row r="71" spans="1:23" x14ac:dyDescent="0.3">
      <c r="A71" t="s">
        <v>1543</v>
      </c>
      <c r="B71" s="45" t="str">
        <f t="shared" si="10"/>
        <v>Mildred</v>
      </c>
      <c r="C71" t="s">
        <v>62</v>
      </c>
      <c r="D71" t="s">
        <v>2911</v>
      </c>
      <c r="E71" s="45" t="str">
        <f t="shared" si="11"/>
        <v>Greene</v>
      </c>
      <c r="F71" s="45" t="str">
        <f t="shared" si="12"/>
        <v>Mildred D Greene</v>
      </c>
      <c r="G71" t="s">
        <v>241</v>
      </c>
      <c r="H71" t="str">
        <f t="shared" si="13"/>
        <v>Female</v>
      </c>
      <c r="I71" t="s">
        <v>2910</v>
      </c>
      <c r="J71" t="s">
        <v>2909</v>
      </c>
      <c r="K71" t="s">
        <v>66</v>
      </c>
      <c r="L71">
        <v>79703</v>
      </c>
      <c r="O71" t="s">
        <v>2908</v>
      </c>
      <c r="P71" s="45" t="str">
        <f t="shared" si="14"/>
        <v>aol</v>
      </c>
      <c r="Q71" t="s">
        <v>2907</v>
      </c>
      <c r="R71" s="45" t="str">
        <f t="shared" si="15"/>
        <v>432|495|7060</v>
      </c>
      <c r="S71" s="45" t="str">
        <f t="shared" si="16"/>
        <v>432</v>
      </c>
      <c r="T71" s="45" t="str">
        <f t="shared" si="17"/>
        <v>495</v>
      </c>
      <c r="U71" s="45" t="str">
        <f t="shared" si="18"/>
        <v>7060</v>
      </c>
      <c r="V71" s="2" t="s">
        <v>2906</v>
      </c>
      <c r="W71" s="45" t="str">
        <f t="shared" si="19"/>
        <v>596</v>
      </c>
    </row>
    <row r="72" spans="1:23" x14ac:dyDescent="0.3">
      <c r="A72" t="s">
        <v>2905</v>
      </c>
      <c r="B72" s="45" t="str">
        <f t="shared" si="10"/>
        <v>Sally</v>
      </c>
      <c r="C72" t="s">
        <v>62</v>
      </c>
      <c r="D72" t="s">
        <v>2904</v>
      </c>
      <c r="E72" s="45" t="str">
        <f t="shared" si="11"/>
        <v>Hayes</v>
      </c>
      <c r="F72" s="45" t="str">
        <f t="shared" si="12"/>
        <v>Sally D Hayes</v>
      </c>
      <c r="G72" t="s">
        <v>241</v>
      </c>
      <c r="H72" t="str">
        <f t="shared" si="13"/>
        <v>Female</v>
      </c>
      <c r="I72" t="s">
        <v>2903</v>
      </c>
      <c r="J72" t="s">
        <v>2902</v>
      </c>
      <c r="K72" t="s">
        <v>102</v>
      </c>
      <c r="L72">
        <v>50401</v>
      </c>
      <c r="O72" t="s">
        <v>2901</v>
      </c>
      <c r="P72" s="45" t="str">
        <f t="shared" si="14"/>
        <v>hotmail</v>
      </c>
      <c r="Q72" t="s">
        <v>2900</v>
      </c>
      <c r="R72" s="45" t="str">
        <f t="shared" si="15"/>
        <v>641|422|1921</v>
      </c>
      <c r="S72" s="45" t="str">
        <f t="shared" si="16"/>
        <v>641</v>
      </c>
      <c r="T72" s="45" t="str">
        <f t="shared" si="17"/>
        <v>422</v>
      </c>
      <c r="U72" s="45" t="str">
        <f t="shared" si="18"/>
        <v>1921</v>
      </c>
      <c r="V72" s="2" t="s">
        <v>2899</v>
      </c>
      <c r="W72" s="45" t="str">
        <f t="shared" si="19"/>
        <v>0077</v>
      </c>
    </row>
    <row r="73" spans="1:23" x14ac:dyDescent="0.3">
      <c r="A73" t="s">
        <v>2898</v>
      </c>
      <c r="B73" s="45" t="str">
        <f t="shared" si="10"/>
        <v>Augustine</v>
      </c>
      <c r="C73" t="s">
        <v>65</v>
      </c>
      <c r="D73" t="s">
        <v>335</v>
      </c>
      <c r="E73" s="45" t="str">
        <f t="shared" si="11"/>
        <v>Taylor</v>
      </c>
      <c r="F73" s="45" t="str">
        <f t="shared" si="12"/>
        <v>Augustine K Taylor</v>
      </c>
      <c r="G73" t="s">
        <v>264</v>
      </c>
      <c r="H73" t="str">
        <f t="shared" si="13"/>
        <v>Male</v>
      </c>
      <c r="I73" t="s">
        <v>2897</v>
      </c>
      <c r="J73" t="s">
        <v>1876</v>
      </c>
      <c r="K73" t="s">
        <v>58</v>
      </c>
      <c r="L73">
        <v>94010</v>
      </c>
      <c r="O73" t="s">
        <v>2896</v>
      </c>
      <c r="P73" s="45" t="str">
        <f t="shared" si="14"/>
        <v>aol</v>
      </c>
      <c r="Q73" t="s">
        <v>2895</v>
      </c>
      <c r="R73" s="45" t="str">
        <f t="shared" si="15"/>
        <v>650|548|4339</v>
      </c>
      <c r="S73" s="45" t="str">
        <f t="shared" si="16"/>
        <v>650</v>
      </c>
      <c r="T73" s="45" t="str">
        <f t="shared" si="17"/>
        <v>548</v>
      </c>
      <c r="U73" s="45" t="str">
        <f t="shared" si="18"/>
        <v>4339</v>
      </c>
      <c r="V73" s="2" t="s">
        <v>2894</v>
      </c>
      <c r="W73" s="45" t="str">
        <f t="shared" si="19"/>
        <v>981</v>
      </c>
    </row>
    <row r="74" spans="1:23" x14ac:dyDescent="0.3">
      <c r="A74" t="s">
        <v>2117</v>
      </c>
      <c r="B74" s="45" t="str">
        <f t="shared" si="10"/>
        <v>Edward</v>
      </c>
      <c r="C74" t="s">
        <v>56</v>
      </c>
      <c r="D74" t="s">
        <v>2893</v>
      </c>
      <c r="E74" s="45" t="str">
        <f t="shared" si="11"/>
        <v>Kelley</v>
      </c>
      <c r="F74" s="45" t="str">
        <f t="shared" si="12"/>
        <v>Edward J Kelley</v>
      </c>
      <c r="G74" t="s">
        <v>264</v>
      </c>
      <c r="H74" t="str">
        <f t="shared" si="13"/>
        <v>Male</v>
      </c>
      <c r="I74" t="s">
        <v>2892</v>
      </c>
      <c r="J74" t="s">
        <v>1929</v>
      </c>
      <c r="K74" t="s">
        <v>76</v>
      </c>
      <c r="L74">
        <v>37929</v>
      </c>
      <c r="O74" t="s">
        <v>2891</v>
      </c>
      <c r="P74" s="45" t="str">
        <f t="shared" si="14"/>
        <v>aol</v>
      </c>
      <c r="Q74" t="s">
        <v>2890</v>
      </c>
      <c r="R74" s="45" t="str">
        <f t="shared" si="15"/>
        <v>865|377|0614</v>
      </c>
      <c r="S74" s="45" t="str">
        <f t="shared" si="16"/>
        <v>865</v>
      </c>
      <c r="T74" s="45" t="str">
        <f t="shared" si="17"/>
        <v>377</v>
      </c>
      <c r="U74" s="45" t="str">
        <f t="shared" si="18"/>
        <v>0614</v>
      </c>
      <c r="V74" s="2" t="s">
        <v>2889</v>
      </c>
      <c r="W74" s="45" t="str">
        <f t="shared" si="19"/>
        <v>865</v>
      </c>
    </row>
    <row r="75" spans="1:23" x14ac:dyDescent="0.3">
      <c r="A75" t="s">
        <v>2888</v>
      </c>
      <c r="B75" s="45" t="str">
        <f t="shared" si="10"/>
        <v>Mei</v>
      </c>
      <c r="C75" t="s">
        <v>243</v>
      </c>
      <c r="D75" t="s">
        <v>2887</v>
      </c>
      <c r="E75" s="45" t="str">
        <f t="shared" si="11"/>
        <v>Lopez</v>
      </c>
      <c r="F75" s="45" t="str">
        <f t="shared" si="12"/>
        <v>Mei R Lopez</v>
      </c>
      <c r="G75" t="s">
        <v>241</v>
      </c>
      <c r="H75" t="str">
        <f t="shared" si="13"/>
        <v>Female</v>
      </c>
      <c r="I75" t="s">
        <v>2886</v>
      </c>
      <c r="J75" t="s">
        <v>1224</v>
      </c>
      <c r="K75" t="s">
        <v>101</v>
      </c>
      <c r="L75">
        <v>15205</v>
      </c>
      <c r="O75" t="s">
        <v>2885</v>
      </c>
      <c r="P75" s="45" t="str">
        <f t="shared" si="14"/>
        <v>hotmail</v>
      </c>
      <c r="Q75" t="s">
        <v>2884</v>
      </c>
      <c r="R75" s="45" t="str">
        <f t="shared" si="15"/>
        <v>412|978|6619</v>
      </c>
      <c r="S75" s="45" t="str">
        <f t="shared" si="16"/>
        <v>412</v>
      </c>
      <c r="T75" s="45" t="str">
        <f t="shared" si="17"/>
        <v>978</v>
      </c>
      <c r="U75" s="45" t="str">
        <f t="shared" si="18"/>
        <v>6619</v>
      </c>
      <c r="V75" s="2" t="s">
        <v>2883</v>
      </c>
      <c r="W75" s="45" t="str">
        <f t="shared" si="19"/>
        <v>120</v>
      </c>
    </row>
    <row r="76" spans="1:23" x14ac:dyDescent="0.3">
      <c r="A76" t="s">
        <v>2882</v>
      </c>
      <c r="B76" s="45" t="str">
        <f t="shared" si="10"/>
        <v>Katherine</v>
      </c>
      <c r="C76" t="s">
        <v>77</v>
      </c>
      <c r="D76" t="s">
        <v>2881</v>
      </c>
      <c r="E76" s="45" t="str">
        <f t="shared" si="11"/>
        <v>Kennedy</v>
      </c>
      <c r="F76" s="45" t="str">
        <f t="shared" si="12"/>
        <v>Katherine C Kennedy</v>
      </c>
      <c r="G76" t="s">
        <v>241</v>
      </c>
      <c r="H76" t="str">
        <f t="shared" si="13"/>
        <v>Female</v>
      </c>
      <c r="I76" t="s">
        <v>2880</v>
      </c>
      <c r="J76" t="s">
        <v>2096</v>
      </c>
      <c r="K76" t="s">
        <v>88</v>
      </c>
      <c r="L76">
        <v>43215</v>
      </c>
      <c r="O76" t="s">
        <v>2879</v>
      </c>
      <c r="P76" s="45" t="str">
        <f t="shared" si="14"/>
        <v>hotmail</v>
      </c>
      <c r="Q76" t="s">
        <v>2878</v>
      </c>
      <c r="R76" s="45" t="str">
        <f t="shared" si="15"/>
        <v>614|245|0377</v>
      </c>
      <c r="S76" s="45" t="str">
        <f t="shared" si="16"/>
        <v>614</v>
      </c>
      <c r="T76" s="45" t="str">
        <f t="shared" si="17"/>
        <v>245</v>
      </c>
      <c r="U76" s="45" t="str">
        <f t="shared" si="18"/>
        <v>0377</v>
      </c>
      <c r="V76" s="2" t="s">
        <v>2877</v>
      </c>
      <c r="W76" s="45" t="str">
        <f t="shared" si="19"/>
        <v>367</v>
      </c>
    </row>
    <row r="77" spans="1:23" x14ac:dyDescent="0.3">
      <c r="A77" t="s">
        <v>1374</v>
      </c>
      <c r="B77" s="45" t="str">
        <f t="shared" si="10"/>
        <v>Jennifer</v>
      </c>
      <c r="C77" t="s">
        <v>91</v>
      </c>
      <c r="D77" t="s">
        <v>2876</v>
      </c>
      <c r="E77" s="45" t="str">
        <f t="shared" si="11"/>
        <v>Trevino</v>
      </c>
      <c r="F77" s="45" t="str">
        <f t="shared" si="12"/>
        <v>Jennifer L Trevino</v>
      </c>
      <c r="G77" t="s">
        <v>241</v>
      </c>
      <c r="H77" t="str">
        <f t="shared" si="13"/>
        <v>Female</v>
      </c>
      <c r="I77" t="s">
        <v>2875</v>
      </c>
      <c r="J77" t="s">
        <v>2874</v>
      </c>
      <c r="K77" t="s">
        <v>58</v>
      </c>
      <c r="L77">
        <v>95667</v>
      </c>
      <c r="O77" t="s">
        <v>2873</v>
      </c>
      <c r="P77" s="45" t="str">
        <f t="shared" si="14"/>
        <v>aol</v>
      </c>
      <c r="Q77" t="s">
        <v>2872</v>
      </c>
      <c r="R77" s="45" t="str">
        <f t="shared" si="15"/>
        <v>530|621|7352</v>
      </c>
      <c r="S77" s="45" t="str">
        <f t="shared" si="16"/>
        <v>530</v>
      </c>
      <c r="T77" s="45" t="str">
        <f t="shared" si="17"/>
        <v>621</v>
      </c>
      <c r="U77" s="45" t="str">
        <f t="shared" si="18"/>
        <v>7352</v>
      </c>
      <c r="V77" s="2" t="s">
        <v>2871</v>
      </c>
      <c r="W77" s="45" t="str">
        <f t="shared" si="19"/>
        <v>7087</v>
      </c>
    </row>
    <row r="78" spans="1:23" x14ac:dyDescent="0.3">
      <c r="A78" t="s">
        <v>563</v>
      </c>
      <c r="B78" s="45" t="str">
        <f t="shared" si="10"/>
        <v>James</v>
      </c>
      <c r="C78" t="s">
        <v>60</v>
      </c>
      <c r="D78" t="s">
        <v>2550</v>
      </c>
      <c r="E78" s="45" t="str">
        <f t="shared" si="11"/>
        <v>Moore</v>
      </c>
      <c r="F78" s="45" t="str">
        <f t="shared" si="12"/>
        <v>James M Moore</v>
      </c>
      <c r="G78" t="s">
        <v>264</v>
      </c>
      <c r="H78" t="str">
        <f t="shared" si="13"/>
        <v>Male</v>
      </c>
      <c r="I78" t="s">
        <v>2870</v>
      </c>
      <c r="J78" t="s">
        <v>909</v>
      </c>
      <c r="K78" t="s">
        <v>59</v>
      </c>
      <c r="L78">
        <v>8901</v>
      </c>
      <c r="O78" t="s">
        <v>2869</v>
      </c>
      <c r="P78" s="45" t="str">
        <f t="shared" si="14"/>
        <v>aol</v>
      </c>
      <c r="Q78" t="s">
        <v>2868</v>
      </c>
      <c r="R78" s="45" t="str">
        <f t="shared" si="15"/>
        <v>732|628|4048</v>
      </c>
      <c r="S78" s="45" t="str">
        <f t="shared" si="16"/>
        <v>732</v>
      </c>
      <c r="T78" s="45" t="str">
        <f t="shared" si="17"/>
        <v>628</v>
      </c>
      <c r="U78" s="45" t="str">
        <f t="shared" si="18"/>
        <v>4048</v>
      </c>
      <c r="V78" s="2" t="s">
        <v>2867</v>
      </c>
      <c r="W78" s="45" t="str">
        <f t="shared" si="19"/>
        <v>8126</v>
      </c>
    </row>
    <row r="79" spans="1:23" x14ac:dyDescent="0.3">
      <c r="A79" t="s">
        <v>815</v>
      </c>
      <c r="B79" s="45" t="str">
        <f t="shared" si="10"/>
        <v>Daniel</v>
      </c>
      <c r="C79" t="s">
        <v>60</v>
      </c>
      <c r="D79" t="s">
        <v>2866</v>
      </c>
      <c r="E79" s="45" t="str">
        <f t="shared" si="11"/>
        <v>Weatherly</v>
      </c>
      <c r="F79" s="45" t="str">
        <f t="shared" si="12"/>
        <v>Daniel M Weatherly</v>
      </c>
      <c r="G79" t="s">
        <v>264</v>
      </c>
      <c r="H79" t="str">
        <f t="shared" si="13"/>
        <v>Male</v>
      </c>
      <c r="I79" t="s">
        <v>2865</v>
      </c>
      <c r="J79" t="s">
        <v>2864</v>
      </c>
      <c r="K79" t="s">
        <v>103</v>
      </c>
      <c r="L79">
        <v>41039</v>
      </c>
      <c r="O79" t="s">
        <v>2863</v>
      </c>
      <c r="P79" s="45" t="str">
        <f t="shared" si="14"/>
        <v>hotmail</v>
      </c>
      <c r="Q79" t="s">
        <v>2862</v>
      </c>
      <c r="R79" s="45" t="str">
        <f t="shared" si="15"/>
        <v>606|267|0391</v>
      </c>
      <c r="S79" s="45" t="str">
        <f t="shared" si="16"/>
        <v>606</v>
      </c>
      <c r="T79" s="45" t="str">
        <f t="shared" si="17"/>
        <v>267</v>
      </c>
      <c r="U79" s="45" t="str">
        <f t="shared" si="18"/>
        <v>0391</v>
      </c>
      <c r="V79" s="2" t="s">
        <v>2861</v>
      </c>
      <c r="W79" s="45" t="str">
        <f t="shared" si="19"/>
        <v>591</v>
      </c>
    </row>
    <row r="80" spans="1:23" x14ac:dyDescent="0.3">
      <c r="A80" t="s">
        <v>1354</v>
      </c>
      <c r="B80" s="45" t="str">
        <f t="shared" si="10"/>
        <v>Christine</v>
      </c>
      <c r="C80" t="s">
        <v>463</v>
      </c>
      <c r="D80" t="s">
        <v>2860</v>
      </c>
      <c r="E80" s="45" t="str">
        <f t="shared" si="11"/>
        <v>Staff</v>
      </c>
      <c r="F80" s="45" t="str">
        <f t="shared" si="12"/>
        <v>Christine W Staff</v>
      </c>
      <c r="G80" t="s">
        <v>241</v>
      </c>
      <c r="H80" t="str">
        <f t="shared" si="13"/>
        <v>Female</v>
      </c>
      <c r="I80" t="s">
        <v>2859</v>
      </c>
      <c r="J80" t="s">
        <v>1882</v>
      </c>
      <c r="K80" t="s">
        <v>85</v>
      </c>
      <c r="L80">
        <v>28405</v>
      </c>
      <c r="O80" t="s">
        <v>2858</v>
      </c>
      <c r="P80" s="45" t="str">
        <f t="shared" si="14"/>
        <v>gmail</v>
      </c>
      <c r="Q80" t="s">
        <v>2857</v>
      </c>
      <c r="R80" s="45" t="str">
        <f t="shared" si="15"/>
        <v>910|617|0285</v>
      </c>
      <c r="S80" s="45" t="str">
        <f t="shared" si="16"/>
        <v>910</v>
      </c>
      <c r="T80" s="45" t="str">
        <f t="shared" si="17"/>
        <v>617</v>
      </c>
      <c r="U80" s="45" t="str">
        <f t="shared" si="18"/>
        <v>0285</v>
      </c>
      <c r="V80" s="2" t="s">
        <v>2856</v>
      </c>
      <c r="W80" s="45" t="str">
        <f t="shared" si="19"/>
        <v>5678</v>
      </c>
    </row>
    <row r="81" spans="1:23" x14ac:dyDescent="0.3">
      <c r="A81" t="s">
        <v>498</v>
      </c>
      <c r="B81" s="45" t="str">
        <f t="shared" si="10"/>
        <v>Mary</v>
      </c>
      <c r="C81" t="s">
        <v>266</v>
      </c>
      <c r="D81" t="s">
        <v>2855</v>
      </c>
      <c r="E81" s="45" t="str">
        <f t="shared" si="11"/>
        <v>Castle</v>
      </c>
      <c r="F81" s="45" t="str">
        <f t="shared" si="12"/>
        <v>Mary S Castle</v>
      </c>
      <c r="G81" t="s">
        <v>241</v>
      </c>
      <c r="H81" t="str">
        <f t="shared" si="13"/>
        <v>Female</v>
      </c>
      <c r="I81" t="s">
        <v>2854</v>
      </c>
      <c r="J81" t="s">
        <v>2853</v>
      </c>
      <c r="K81" t="s">
        <v>79</v>
      </c>
      <c r="L81">
        <v>33166</v>
      </c>
      <c r="O81" t="s">
        <v>2852</v>
      </c>
      <c r="P81" s="45" t="str">
        <f t="shared" si="14"/>
        <v>aol</v>
      </c>
      <c r="Q81" t="s">
        <v>2851</v>
      </c>
      <c r="R81" s="45" t="str">
        <f t="shared" si="15"/>
        <v>305|886|6290</v>
      </c>
      <c r="S81" s="45" t="str">
        <f t="shared" si="16"/>
        <v>305</v>
      </c>
      <c r="T81" s="45" t="str">
        <f t="shared" si="17"/>
        <v>886</v>
      </c>
      <c r="U81" s="45" t="str">
        <f t="shared" si="18"/>
        <v>6290</v>
      </c>
      <c r="V81" s="2" t="s">
        <v>2850</v>
      </c>
      <c r="W81" s="45" t="str">
        <f t="shared" si="19"/>
        <v>6026</v>
      </c>
    </row>
    <row r="82" spans="1:23" x14ac:dyDescent="0.3">
      <c r="A82" t="s">
        <v>1651</v>
      </c>
      <c r="B82" s="45" t="str">
        <f t="shared" si="10"/>
        <v>Antonio</v>
      </c>
      <c r="C82" t="s">
        <v>65</v>
      </c>
      <c r="D82" t="s">
        <v>2849</v>
      </c>
      <c r="E82" s="45" t="str">
        <f t="shared" si="11"/>
        <v>Eder</v>
      </c>
      <c r="F82" s="45" t="str">
        <f t="shared" si="12"/>
        <v>Antonio K Eder</v>
      </c>
      <c r="G82" t="s">
        <v>264</v>
      </c>
      <c r="H82" t="str">
        <f t="shared" si="13"/>
        <v>Male</v>
      </c>
      <c r="I82" t="s">
        <v>2848</v>
      </c>
      <c r="J82" t="s">
        <v>2847</v>
      </c>
      <c r="K82" t="s">
        <v>57</v>
      </c>
      <c r="L82">
        <v>62094</v>
      </c>
      <c r="O82" t="s">
        <v>2846</v>
      </c>
      <c r="P82" s="45" t="str">
        <f t="shared" si="14"/>
        <v>gmail</v>
      </c>
      <c r="Q82" t="s">
        <v>2845</v>
      </c>
      <c r="R82" s="45" t="str">
        <f t="shared" si="15"/>
        <v>217|594|5606</v>
      </c>
      <c r="S82" s="45" t="str">
        <f t="shared" si="16"/>
        <v>217</v>
      </c>
      <c r="T82" s="45" t="str">
        <f t="shared" si="17"/>
        <v>594</v>
      </c>
      <c r="U82" s="45" t="str">
        <f t="shared" si="18"/>
        <v>5606</v>
      </c>
      <c r="V82" s="2" t="s">
        <v>2844</v>
      </c>
      <c r="W82" s="45" t="str">
        <f t="shared" si="19"/>
        <v>9044</v>
      </c>
    </row>
    <row r="83" spans="1:23" x14ac:dyDescent="0.3">
      <c r="A83" t="s">
        <v>756</v>
      </c>
      <c r="B83" s="45" t="str">
        <f t="shared" si="10"/>
        <v>Robert</v>
      </c>
      <c r="C83" t="s">
        <v>77</v>
      </c>
      <c r="D83" t="s">
        <v>2843</v>
      </c>
      <c r="E83" s="45" t="str">
        <f t="shared" si="11"/>
        <v>Eldredge</v>
      </c>
      <c r="F83" s="45" t="str">
        <f t="shared" si="12"/>
        <v>Robert C Eldredge</v>
      </c>
      <c r="G83" t="s">
        <v>264</v>
      </c>
      <c r="H83" t="str">
        <f t="shared" si="13"/>
        <v>Male</v>
      </c>
      <c r="I83" t="s">
        <v>2842</v>
      </c>
      <c r="J83" t="s">
        <v>1262</v>
      </c>
      <c r="K83" t="s">
        <v>92</v>
      </c>
      <c r="L83">
        <v>65207</v>
      </c>
      <c r="O83" t="s">
        <v>2841</v>
      </c>
      <c r="P83" s="45" t="str">
        <f t="shared" si="14"/>
        <v>hotmail</v>
      </c>
      <c r="Q83" t="s">
        <v>2840</v>
      </c>
      <c r="R83" s="45" t="str">
        <f t="shared" si="15"/>
        <v>573|304|9439</v>
      </c>
      <c r="S83" s="45" t="str">
        <f t="shared" si="16"/>
        <v>573</v>
      </c>
      <c r="T83" s="45" t="str">
        <f t="shared" si="17"/>
        <v>304</v>
      </c>
      <c r="U83" s="45" t="str">
        <f t="shared" si="18"/>
        <v>9439</v>
      </c>
      <c r="V83" s="2" t="s">
        <v>2839</v>
      </c>
      <c r="W83" s="45" t="str">
        <f t="shared" si="19"/>
        <v>0649</v>
      </c>
    </row>
    <row r="84" spans="1:23" x14ac:dyDescent="0.3">
      <c r="A84" t="s">
        <v>2838</v>
      </c>
      <c r="B84" s="45" t="str">
        <f t="shared" si="10"/>
        <v>Terry</v>
      </c>
      <c r="C84" t="s">
        <v>81</v>
      </c>
      <c r="D84" t="s">
        <v>2837</v>
      </c>
      <c r="E84" s="45" t="str">
        <f t="shared" si="11"/>
        <v>Abernathy</v>
      </c>
      <c r="F84" s="45" t="str">
        <f t="shared" si="12"/>
        <v>Terry A Abernathy</v>
      </c>
      <c r="G84" t="s">
        <v>264</v>
      </c>
      <c r="H84" t="str">
        <f t="shared" si="13"/>
        <v>Male</v>
      </c>
      <c r="I84" t="s">
        <v>2836</v>
      </c>
      <c r="J84" t="s">
        <v>2835</v>
      </c>
      <c r="K84" t="s">
        <v>74</v>
      </c>
      <c r="L84">
        <v>48637</v>
      </c>
      <c r="O84" t="s">
        <v>2834</v>
      </c>
      <c r="P84" s="45" t="str">
        <f t="shared" si="14"/>
        <v>aol</v>
      </c>
      <c r="Q84" t="s">
        <v>2833</v>
      </c>
      <c r="R84" s="45" t="str">
        <f t="shared" si="15"/>
        <v>989|643|6862</v>
      </c>
      <c r="S84" s="45" t="str">
        <f t="shared" si="16"/>
        <v>989</v>
      </c>
      <c r="T84" s="45" t="str">
        <f t="shared" si="17"/>
        <v>643</v>
      </c>
      <c r="U84" s="45" t="str">
        <f t="shared" si="18"/>
        <v>6862</v>
      </c>
      <c r="V84" s="2" t="s">
        <v>2832</v>
      </c>
      <c r="W84" s="45" t="str">
        <f t="shared" si="19"/>
        <v>6263</v>
      </c>
    </row>
    <row r="85" spans="1:23" x14ac:dyDescent="0.3">
      <c r="A85" t="s">
        <v>498</v>
      </c>
      <c r="B85" s="45" t="str">
        <f t="shared" si="10"/>
        <v>Mary</v>
      </c>
      <c r="C85" t="s">
        <v>91</v>
      </c>
      <c r="D85" t="s">
        <v>410</v>
      </c>
      <c r="E85" s="45" t="str">
        <f t="shared" si="11"/>
        <v>Oliver</v>
      </c>
      <c r="F85" s="45" t="str">
        <f t="shared" si="12"/>
        <v>Mary L Oliver</v>
      </c>
      <c r="G85" t="s">
        <v>241</v>
      </c>
      <c r="H85" t="str">
        <f t="shared" si="13"/>
        <v>Female</v>
      </c>
      <c r="I85" t="s">
        <v>2831</v>
      </c>
      <c r="J85" t="s">
        <v>339</v>
      </c>
      <c r="K85" t="s">
        <v>67</v>
      </c>
      <c r="L85">
        <v>35222</v>
      </c>
      <c r="O85" t="s">
        <v>2830</v>
      </c>
      <c r="P85" s="45" t="str">
        <f t="shared" si="14"/>
        <v>gmail</v>
      </c>
      <c r="Q85" t="s">
        <v>2829</v>
      </c>
      <c r="R85" s="45" t="str">
        <f t="shared" si="15"/>
        <v>256|375|9210</v>
      </c>
      <c r="S85" s="45" t="str">
        <f t="shared" si="16"/>
        <v>256</v>
      </c>
      <c r="T85" s="45" t="str">
        <f t="shared" si="17"/>
        <v>375</v>
      </c>
      <c r="U85" s="45" t="str">
        <f t="shared" si="18"/>
        <v>9210</v>
      </c>
      <c r="V85" s="2" t="s">
        <v>2828</v>
      </c>
      <c r="W85" s="45" t="str">
        <f t="shared" si="19"/>
        <v>3721</v>
      </c>
    </row>
    <row r="86" spans="1:23" x14ac:dyDescent="0.3">
      <c r="A86" t="s">
        <v>2827</v>
      </c>
      <c r="B86" s="45" t="str">
        <f t="shared" si="10"/>
        <v>Sylvia</v>
      </c>
      <c r="C86" t="s">
        <v>1051</v>
      </c>
      <c r="D86" t="s">
        <v>2826</v>
      </c>
      <c r="E86" s="45" t="str">
        <f t="shared" si="11"/>
        <v>Provencher</v>
      </c>
      <c r="F86" s="45" t="str">
        <f t="shared" si="12"/>
        <v>Sylvia P Provencher</v>
      </c>
      <c r="G86" t="s">
        <v>241</v>
      </c>
      <c r="H86" t="str">
        <f t="shared" si="13"/>
        <v>Female</v>
      </c>
      <c r="I86" t="s">
        <v>2825</v>
      </c>
      <c r="J86" t="s">
        <v>2824</v>
      </c>
      <c r="K86" t="s">
        <v>68</v>
      </c>
      <c r="L86">
        <v>12842</v>
      </c>
      <c r="O86" t="s">
        <v>2823</v>
      </c>
      <c r="P86" s="45" t="str">
        <f t="shared" si="14"/>
        <v>hotmail</v>
      </c>
      <c r="Q86" t="s">
        <v>2822</v>
      </c>
      <c r="R86" s="45" t="str">
        <f t="shared" si="15"/>
        <v>518|648|2133</v>
      </c>
      <c r="S86" s="45" t="str">
        <f t="shared" si="16"/>
        <v>518</v>
      </c>
      <c r="T86" s="45" t="str">
        <f t="shared" si="17"/>
        <v>648</v>
      </c>
      <c r="U86" s="45" t="str">
        <f t="shared" si="18"/>
        <v>2133</v>
      </c>
      <c r="V86" s="2" t="s">
        <v>2821</v>
      </c>
      <c r="W86" s="45" t="str">
        <f t="shared" si="19"/>
        <v>743</v>
      </c>
    </row>
    <row r="87" spans="1:23" x14ac:dyDescent="0.3">
      <c r="A87" t="s">
        <v>808</v>
      </c>
      <c r="B87" s="45" t="str">
        <f t="shared" si="10"/>
        <v>Michael</v>
      </c>
      <c r="C87" t="s">
        <v>56</v>
      </c>
      <c r="D87" t="s">
        <v>2820</v>
      </c>
      <c r="E87" s="45" t="str">
        <f t="shared" si="11"/>
        <v>Butters</v>
      </c>
      <c r="F87" s="45" t="str">
        <f t="shared" si="12"/>
        <v>Michael J Butters</v>
      </c>
      <c r="G87" t="s">
        <v>264</v>
      </c>
      <c r="H87" t="str">
        <f t="shared" si="13"/>
        <v>Male</v>
      </c>
      <c r="I87" t="s">
        <v>2819</v>
      </c>
      <c r="J87" t="s">
        <v>408</v>
      </c>
      <c r="K87" t="s">
        <v>88</v>
      </c>
      <c r="L87">
        <v>44115</v>
      </c>
      <c r="O87" t="s">
        <v>2818</v>
      </c>
      <c r="P87" s="45" t="str">
        <f t="shared" si="14"/>
        <v>aol</v>
      </c>
      <c r="Q87" t="s">
        <v>2817</v>
      </c>
      <c r="R87" s="45" t="str">
        <f t="shared" si="15"/>
        <v>216|357|0590</v>
      </c>
      <c r="S87" s="45" t="str">
        <f t="shared" si="16"/>
        <v>216</v>
      </c>
      <c r="T87" s="45" t="str">
        <f t="shared" si="17"/>
        <v>357</v>
      </c>
      <c r="U87" s="45" t="str">
        <f t="shared" si="18"/>
        <v>0590</v>
      </c>
      <c r="V87" s="2" t="s">
        <v>2816</v>
      </c>
      <c r="W87" s="45" t="str">
        <f t="shared" si="19"/>
        <v>6212</v>
      </c>
    </row>
    <row r="88" spans="1:23" x14ac:dyDescent="0.3">
      <c r="A88" t="s">
        <v>1120</v>
      </c>
      <c r="B88" s="45" t="str">
        <f t="shared" si="10"/>
        <v>Eduardo</v>
      </c>
      <c r="C88" t="s">
        <v>60</v>
      </c>
      <c r="D88" t="s">
        <v>515</v>
      </c>
      <c r="E88" s="45" t="str">
        <f t="shared" si="11"/>
        <v>Harris</v>
      </c>
      <c r="F88" s="45" t="str">
        <f t="shared" si="12"/>
        <v>Eduardo M Harris</v>
      </c>
      <c r="G88" t="s">
        <v>264</v>
      </c>
      <c r="H88" t="str">
        <f t="shared" si="13"/>
        <v>Male</v>
      </c>
      <c r="I88" t="s">
        <v>2815</v>
      </c>
      <c r="J88" t="s">
        <v>239</v>
      </c>
      <c r="K88" t="s">
        <v>95</v>
      </c>
      <c r="L88">
        <v>21202</v>
      </c>
      <c r="O88" t="s">
        <v>2814</v>
      </c>
      <c r="P88" s="45" t="str">
        <f t="shared" si="14"/>
        <v>gmail</v>
      </c>
      <c r="Q88" t="s">
        <v>2813</v>
      </c>
      <c r="R88" s="45" t="str">
        <f t="shared" si="15"/>
        <v>410|403|8606</v>
      </c>
      <c r="S88" s="45" t="str">
        <f t="shared" si="16"/>
        <v>410</v>
      </c>
      <c r="T88" s="45" t="str">
        <f t="shared" si="17"/>
        <v>403</v>
      </c>
      <c r="U88" s="45" t="str">
        <f t="shared" si="18"/>
        <v>8606</v>
      </c>
      <c r="V88" s="2" t="s">
        <v>2812</v>
      </c>
      <c r="W88" s="45" t="str">
        <f t="shared" si="19"/>
        <v>9829</v>
      </c>
    </row>
    <row r="89" spans="1:23" x14ac:dyDescent="0.3">
      <c r="A89" t="s">
        <v>1665</v>
      </c>
      <c r="B89" s="45" t="str">
        <f t="shared" si="10"/>
        <v>Janet</v>
      </c>
      <c r="C89" t="s">
        <v>75</v>
      </c>
      <c r="D89" t="s">
        <v>2811</v>
      </c>
      <c r="E89" s="45" t="str">
        <f t="shared" si="11"/>
        <v>Godfrey</v>
      </c>
      <c r="F89" s="45" t="str">
        <f t="shared" si="12"/>
        <v>Janet B Godfrey</v>
      </c>
      <c r="G89" t="s">
        <v>241</v>
      </c>
      <c r="H89" t="str">
        <f t="shared" si="13"/>
        <v>Female</v>
      </c>
      <c r="I89" t="s">
        <v>2810</v>
      </c>
      <c r="J89" t="s">
        <v>2809</v>
      </c>
      <c r="K89" t="s">
        <v>85</v>
      </c>
      <c r="L89">
        <v>27601</v>
      </c>
      <c r="O89" t="s">
        <v>2808</v>
      </c>
      <c r="P89" s="45" t="str">
        <f t="shared" si="14"/>
        <v>hotmail</v>
      </c>
      <c r="Q89" t="s">
        <v>2807</v>
      </c>
      <c r="R89" s="45" t="str">
        <f t="shared" si="15"/>
        <v>919|860|7881</v>
      </c>
      <c r="S89" s="45" t="str">
        <f t="shared" si="16"/>
        <v>919</v>
      </c>
      <c r="T89" s="45" t="str">
        <f t="shared" si="17"/>
        <v>860</v>
      </c>
      <c r="U89" s="45" t="str">
        <f t="shared" si="18"/>
        <v>7881</v>
      </c>
      <c r="V89" s="2" t="s">
        <v>2806</v>
      </c>
      <c r="W89" s="45" t="str">
        <f t="shared" si="19"/>
        <v>9086</v>
      </c>
    </row>
    <row r="90" spans="1:23" x14ac:dyDescent="0.3">
      <c r="A90" t="s">
        <v>1157</v>
      </c>
      <c r="B90" s="45" t="str">
        <f t="shared" si="10"/>
        <v>Thelma</v>
      </c>
      <c r="C90" t="s">
        <v>243</v>
      </c>
      <c r="D90" t="s">
        <v>2805</v>
      </c>
      <c r="E90" s="45" t="str">
        <f t="shared" si="11"/>
        <v>Mccarthy</v>
      </c>
      <c r="F90" s="45" t="str">
        <f t="shared" si="12"/>
        <v>Thelma R Mccarthy</v>
      </c>
      <c r="G90" t="s">
        <v>241</v>
      </c>
      <c r="H90" t="str">
        <f t="shared" si="13"/>
        <v>Female</v>
      </c>
      <c r="I90" t="s">
        <v>2804</v>
      </c>
      <c r="J90" t="s">
        <v>2803</v>
      </c>
      <c r="K90" t="s">
        <v>86</v>
      </c>
      <c r="L90">
        <v>1801</v>
      </c>
      <c r="O90" t="s">
        <v>2802</v>
      </c>
      <c r="P90" s="45" t="str">
        <f t="shared" si="14"/>
        <v>hotmail</v>
      </c>
      <c r="Q90" t="s">
        <v>2801</v>
      </c>
      <c r="R90" s="45" t="str">
        <f t="shared" si="15"/>
        <v>781|405|0924</v>
      </c>
      <c r="S90" s="45" t="str">
        <f t="shared" si="16"/>
        <v>781</v>
      </c>
      <c r="T90" s="45" t="str">
        <f t="shared" si="17"/>
        <v>405</v>
      </c>
      <c r="U90" s="45" t="str">
        <f t="shared" si="18"/>
        <v>0924</v>
      </c>
      <c r="V90" s="2" t="s">
        <v>2800</v>
      </c>
      <c r="W90" s="45" t="str">
        <f t="shared" si="19"/>
        <v>414</v>
      </c>
    </row>
    <row r="91" spans="1:23" x14ac:dyDescent="0.3">
      <c r="A91" t="s">
        <v>2799</v>
      </c>
      <c r="B91" s="45" t="str">
        <f t="shared" si="10"/>
        <v>Fran</v>
      </c>
      <c r="C91" t="s">
        <v>60</v>
      </c>
      <c r="D91" t="s">
        <v>2798</v>
      </c>
      <c r="E91" s="45" t="str">
        <f t="shared" si="11"/>
        <v>Ritchie</v>
      </c>
      <c r="F91" s="45" t="str">
        <f t="shared" si="12"/>
        <v>Fran M Ritchie</v>
      </c>
      <c r="G91" t="s">
        <v>241</v>
      </c>
      <c r="H91" t="str">
        <f t="shared" si="13"/>
        <v>Female</v>
      </c>
      <c r="I91" t="s">
        <v>2797</v>
      </c>
      <c r="J91" t="s">
        <v>2796</v>
      </c>
      <c r="K91" t="s">
        <v>68</v>
      </c>
      <c r="L91">
        <v>12547</v>
      </c>
      <c r="O91" t="s">
        <v>2795</v>
      </c>
      <c r="P91" s="45" t="str">
        <f t="shared" si="14"/>
        <v>hotmail</v>
      </c>
      <c r="Q91" t="s">
        <v>2794</v>
      </c>
      <c r="R91" s="45" t="str">
        <f t="shared" si="15"/>
        <v>845|795|1923</v>
      </c>
      <c r="S91" s="45" t="str">
        <f t="shared" si="16"/>
        <v>845</v>
      </c>
      <c r="T91" s="45" t="str">
        <f t="shared" si="17"/>
        <v>795</v>
      </c>
      <c r="U91" s="45" t="str">
        <f t="shared" si="18"/>
        <v>1923</v>
      </c>
      <c r="V91" s="2" t="s">
        <v>2793</v>
      </c>
      <c r="W91" s="45" t="str">
        <f t="shared" si="19"/>
        <v>094</v>
      </c>
    </row>
    <row r="92" spans="1:23" x14ac:dyDescent="0.3">
      <c r="A92" t="s">
        <v>2792</v>
      </c>
      <c r="B92" s="45" t="str">
        <f t="shared" si="10"/>
        <v>Lisa</v>
      </c>
      <c r="C92" t="s">
        <v>62</v>
      </c>
      <c r="D92" t="s">
        <v>2791</v>
      </c>
      <c r="E92" s="45" t="str">
        <f t="shared" si="11"/>
        <v>Thompson</v>
      </c>
      <c r="F92" s="45" t="str">
        <f t="shared" si="12"/>
        <v>Lisa D Thompson</v>
      </c>
      <c r="G92" t="s">
        <v>241</v>
      </c>
      <c r="H92" t="str">
        <f t="shared" si="13"/>
        <v>Female</v>
      </c>
      <c r="I92" t="s">
        <v>2790</v>
      </c>
      <c r="J92" t="s">
        <v>2789</v>
      </c>
      <c r="K92" t="s">
        <v>97</v>
      </c>
      <c r="L92">
        <v>74401</v>
      </c>
      <c r="O92" t="s">
        <v>2788</v>
      </c>
      <c r="P92" s="45" t="str">
        <f t="shared" si="14"/>
        <v>hotmail</v>
      </c>
      <c r="Q92" t="s">
        <v>2787</v>
      </c>
      <c r="R92" s="45" t="str">
        <f t="shared" si="15"/>
        <v>918|684|5481</v>
      </c>
      <c r="S92" s="45" t="str">
        <f t="shared" si="16"/>
        <v>918</v>
      </c>
      <c r="T92" s="45" t="str">
        <f t="shared" si="17"/>
        <v>684</v>
      </c>
      <c r="U92" s="45" t="str">
        <f t="shared" si="18"/>
        <v>5481</v>
      </c>
      <c r="V92" s="2" t="s">
        <v>2786</v>
      </c>
      <c r="W92" s="45" t="str">
        <f t="shared" si="19"/>
        <v>289</v>
      </c>
    </row>
    <row r="93" spans="1:23" x14ac:dyDescent="0.3">
      <c r="A93" t="s">
        <v>1424</v>
      </c>
      <c r="B93" s="45" t="str">
        <f t="shared" si="10"/>
        <v>George</v>
      </c>
      <c r="C93" t="s">
        <v>91</v>
      </c>
      <c r="D93" t="s">
        <v>2785</v>
      </c>
      <c r="E93" s="45" t="str">
        <f t="shared" si="11"/>
        <v>Greggs</v>
      </c>
      <c r="F93" s="45" t="str">
        <f t="shared" si="12"/>
        <v>George L Greggs</v>
      </c>
      <c r="G93" t="s">
        <v>264</v>
      </c>
      <c r="H93" t="str">
        <f t="shared" si="13"/>
        <v>Male</v>
      </c>
      <c r="I93" t="s">
        <v>2784</v>
      </c>
      <c r="J93" t="s">
        <v>2783</v>
      </c>
      <c r="K93" t="s">
        <v>95</v>
      </c>
      <c r="L93">
        <v>20781</v>
      </c>
      <c r="O93" t="s">
        <v>2782</v>
      </c>
      <c r="P93" s="45" t="str">
        <f t="shared" si="14"/>
        <v>aol</v>
      </c>
      <c r="Q93" t="s">
        <v>2781</v>
      </c>
      <c r="R93" s="45" t="str">
        <f t="shared" si="15"/>
        <v>301|403|7868</v>
      </c>
      <c r="S93" s="45" t="str">
        <f t="shared" si="16"/>
        <v>301</v>
      </c>
      <c r="T93" s="45" t="str">
        <f t="shared" si="17"/>
        <v>403</v>
      </c>
      <c r="U93" s="45" t="str">
        <f t="shared" si="18"/>
        <v>7868</v>
      </c>
      <c r="V93" s="2" t="s">
        <v>2780</v>
      </c>
      <c r="W93" s="45" t="str">
        <f t="shared" si="19"/>
        <v>3869</v>
      </c>
    </row>
    <row r="94" spans="1:23" x14ac:dyDescent="0.3">
      <c r="A94" t="s">
        <v>2779</v>
      </c>
      <c r="B94" s="45" t="str">
        <f t="shared" si="10"/>
        <v>Dora</v>
      </c>
      <c r="C94" t="s">
        <v>266</v>
      </c>
      <c r="D94" t="s">
        <v>2778</v>
      </c>
      <c r="E94" s="45" t="str">
        <f t="shared" si="11"/>
        <v>Burris</v>
      </c>
      <c r="F94" s="45" t="str">
        <f t="shared" si="12"/>
        <v>Dora S Burris</v>
      </c>
      <c r="G94" t="s">
        <v>241</v>
      </c>
      <c r="H94" t="str">
        <f t="shared" si="13"/>
        <v>Female</v>
      </c>
      <c r="I94" t="s">
        <v>2777</v>
      </c>
      <c r="J94" t="s">
        <v>421</v>
      </c>
      <c r="K94" t="s">
        <v>58</v>
      </c>
      <c r="L94">
        <v>90017</v>
      </c>
      <c r="O94" t="s">
        <v>2776</v>
      </c>
      <c r="P94" s="45" t="str">
        <f t="shared" si="14"/>
        <v>gmail</v>
      </c>
      <c r="Q94" t="s">
        <v>2775</v>
      </c>
      <c r="R94" s="45" t="str">
        <f t="shared" si="15"/>
        <v>909|960|4178</v>
      </c>
      <c r="S94" s="45" t="str">
        <f t="shared" si="16"/>
        <v>909</v>
      </c>
      <c r="T94" s="45" t="str">
        <f t="shared" si="17"/>
        <v>960</v>
      </c>
      <c r="U94" s="45" t="str">
        <f t="shared" si="18"/>
        <v>4178</v>
      </c>
      <c r="V94" s="2" t="s">
        <v>2774</v>
      </c>
      <c r="W94" s="45" t="str">
        <f t="shared" si="19"/>
        <v>9420</v>
      </c>
    </row>
    <row r="95" spans="1:23" x14ac:dyDescent="0.3">
      <c r="A95" t="s">
        <v>2773</v>
      </c>
      <c r="B95" s="45" t="str">
        <f t="shared" si="10"/>
        <v>Wanda</v>
      </c>
      <c r="C95" t="s">
        <v>62</v>
      </c>
      <c r="D95" t="s">
        <v>2772</v>
      </c>
      <c r="E95" s="45" t="str">
        <f t="shared" si="11"/>
        <v>Schultz</v>
      </c>
      <c r="F95" s="45" t="str">
        <f t="shared" si="12"/>
        <v>Wanda D Schultz</v>
      </c>
      <c r="G95" t="s">
        <v>241</v>
      </c>
      <c r="H95" t="str">
        <f t="shared" si="13"/>
        <v>Female</v>
      </c>
      <c r="I95" t="s">
        <v>2771</v>
      </c>
      <c r="J95" t="s">
        <v>717</v>
      </c>
      <c r="K95" t="s">
        <v>58</v>
      </c>
      <c r="L95">
        <v>94112</v>
      </c>
      <c r="O95" t="s">
        <v>2770</v>
      </c>
      <c r="P95" s="45" t="str">
        <f t="shared" si="14"/>
        <v>hotmail</v>
      </c>
      <c r="Q95" t="s">
        <v>2769</v>
      </c>
      <c r="R95" s="45" t="str">
        <f t="shared" si="15"/>
        <v>415|239|2560</v>
      </c>
      <c r="S95" s="45" t="str">
        <f t="shared" si="16"/>
        <v>415</v>
      </c>
      <c r="T95" s="45" t="str">
        <f t="shared" si="17"/>
        <v>239</v>
      </c>
      <c r="U95" s="45" t="str">
        <f t="shared" si="18"/>
        <v>2560</v>
      </c>
      <c r="V95" s="2" t="s">
        <v>2768</v>
      </c>
      <c r="W95" s="45" t="str">
        <f t="shared" si="19"/>
        <v>281</v>
      </c>
    </row>
    <row r="96" spans="1:23" x14ac:dyDescent="0.3">
      <c r="A96" t="s">
        <v>1658</v>
      </c>
      <c r="B96" s="45" t="str">
        <f t="shared" si="10"/>
        <v>Jason</v>
      </c>
      <c r="C96" t="s">
        <v>91</v>
      </c>
      <c r="D96" t="s">
        <v>2767</v>
      </c>
      <c r="E96" s="45" t="str">
        <f t="shared" si="11"/>
        <v>Pavon</v>
      </c>
      <c r="F96" s="45" t="str">
        <f t="shared" si="12"/>
        <v>Jason L Pavon</v>
      </c>
      <c r="G96" t="s">
        <v>264</v>
      </c>
      <c r="H96" t="str">
        <f t="shared" si="13"/>
        <v>Male</v>
      </c>
      <c r="I96" t="s">
        <v>2766</v>
      </c>
      <c r="J96" t="s">
        <v>2765</v>
      </c>
      <c r="K96" t="s">
        <v>103</v>
      </c>
      <c r="L96">
        <v>40391</v>
      </c>
      <c r="O96" t="s">
        <v>2764</v>
      </c>
      <c r="P96" s="45" t="str">
        <f t="shared" si="14"/>
        <v>hotmail</v>
      </c>
      <c r="Q96" t="s">
        <v>2763</v>
      </c>
      <c r="R96" s="45" t="str">
        <f t="shared" si="15"/>
        <v>859|319|0659</v>
      </c>
      <c r="S96" s="45" t="str">
        <f t="shared" si="16"/>
        <v>859</v>
      </c>
      <c r="T96" s="45" t="str">
        <f t="shared" si="17"/>
        <v>319</v>
      </c>
      <c r="U96" s="45" t="str">
        <f t="shared" si="18"/>
        <v>0659</v>
      </c>
      <c r="V96" s="2" t="s">
        <v>2762</v>
      </c>
      <c r="W96" s="45" t="str">
        <f t="shared" si="19"/>
        <v>060</v>
      </c>
    </row>
    <row r="97" spans="1:23" x14ac:dyDescent="0.3">
      <c r="A97" t="s">
        <v>2761</v>
      </c>
      <c r="B97" s="45" t="str">
        <f t="shared" si="10"/>
        <v>Jannette</v>
      </c>
      <c r="C97" t="s">
        <v>56</v>
      </c>
      <c r="D97" t="s">
        <v>668</v>
      </c>
      <c r="E97" s="45" t="str">
        <f t="shared" si="11"/>
        <v>Anthony</v>
      </c>
      <c r="F97" s="45" t="str">
        <f t="shared" si="12"/>
        <v>Jannette J Anthony</v>
      </c>
      <c r="G97" t="s">
        <v>241</v>
      </c>
      <c r="H97" t="str">
        <f t="shared" si="13"/>
        <v>Female</v>
      </c>
      <c r="I97" t="s">
        <v>2760</v>
      </c>
      <c r="J97" t="s">
        <v>2759</v>
      </c>
      <c r="K97" t="s">
        <v>58</v>
      </c>
      <c r="L97">
        <v>94704</v>
      </c>
      <c r="O97" t="s">
        <v>2758</v>
      </c>
      <c r="P97" s="45" t="str">
        <f t="shared" si="14"/>
        <v>gmail</v>
      </c>
      <c r="Q97" t="s">
        <v>2757</v>
      </c>
      <c r="R97" s="45" t="str">
        <f t="shared" si="15"/>
        <v>510|849|5795</v>
      </c>
      <c r="S97" s="45" t="str">
        <f t="shared" si="16"/>
        <v>510</v>
      </c>
      <c r="T97" s="45" t="str">
        <f t="shared" si="17"/>
        <v>849</v>
      </c>
      <c r="U97" s="45" t="str">
        <f t="shared" si="18"/>
        <v>5795</v>
      </c>
      <c r="V97" s="2" t="s">
        <v>2756</v>
      </c>
      <c r="W97" s="45" t="str">
        <f t="shared" si="19"/>
        <v>8295</v>
      </c>
    </row>
    <row r="98" spans="1:23" x14ac:dyDescent="0.3">
      <c r="A98" t="s">
        <v>1329</v>
      </c>
      <c r="B98" s="45" t="str">
        <f t="shared" si="10"/>
        <v>Katrina</v>
      </c>
      <c r="C98" t="s">
        <v>243</v>
      </c>
      <c r="D98" t="s">
        <v>2755</v>
      </c>
      <c r="E98" s="45" t="str">
        <f t="shared" si="11"/>
        <v>Stull</v>
      </c>
      <c r="F98" s="45" t="str">
        <f t="shared" si="12"/>
        <v>Katrina R Stull</v>
      </c>
      <c r="G98" t="s">
        <v>241</v>
      </c>
      <c r="H98" t="str">
        <f t="shared" si="13"/>
        <v>Female</v>
      </c>
      <c r="I98" t="s">
        <v>2754</v>
      </c>
      <c r="J98" t="s">
        <v>1662</v>
      </c>
      <c r="K98" t="s">
        <v>57</v>
      </c>
      <c r="L98">
        <v>62701</v>
      </c>
      <c r="O98" t="s">
        <v>2753</v>
      </c>
      <c r="P98" s="45" t="str">
        <f t="shared" si="14"/>
        <v>hotmail</v>
      </c>
      <c r="Q98" t="s">
        <v>2752</v>
      </c>
      <c r="R98" s="45" t="str">
        <f t="shared" si="15"/>
        <v>217|470|3255</v>
      </c>
      <c r="S98" s="45" t="str">
        <f t="shared" si="16"/>
        <v>217</v>
      </c>
      <c r="T98" s="45" t="str">
        <f t="shared" si="17"/>
        <v>470</v>
      </c>
      <c r="U98" s="45" t="str">
        <f t="shared" si="18"/>
        <v>3255</v>
      </c>
      <c r="V98" s="2" t="s">
        <v>2751</v>
      </c>
      <c r="W98" s="45" t="str">
        <f t="shared" si="19"/>
        <v>269</v>
      </c>
    </row>
    <row r="99" spans="1:23" x14ac:dyDescent="0.3">
      <c r="A99" t="s">
        <v>762</v>
      </c>
      <c r="B99" s="45" t="str">
        <f t="shared" si="10"/>
        <v>Russell</v>
      </c>
      <c r="C99" t="s">
        <v>56</v>
      </c>
      <c r="D99" t="s">
        <v>2750</v>
      </c>
      <c r="E99" s="45" t="str">
        <f t="shared" si="11"/>
        <v>Lofton</v>
      </c>
      <c r="F99" s="45" t="str">
        <f t="shared" si="12"/>
        <v>Russell J Lofton</v>
      </c>
      <c r="G99" t="s">
        <v>264</v>
      </c>
      <c r="H99" t="str">
        <f t="shared" si="13"/>
        <v>Male</v>
      </c>
      <c r="I99" t="s">
        <v>2749</v>
      </c>
      <c r="J99" t="s">
        <v>509</v>
      </c>
      <c r="K99" t="s">
        <v>66</v>
      </c>
      <c r="L99">
        <v>77032</v>
      </c>
      <c r="O99" t="s">
        <v>2748</v>
      </c>
      <c r="P99" s="45" t="str">
        <f t="shared" si="14"/>
        <v>aol</v>
      </c>
      <c r="Q99" t="s">
        <v>2747</v>
      </c>
      <c r="R99" s="45" t="str">
        <f t="shared" si="15"/>
        <v>832|265|2122</v>
      </c>
      <c r="S99" s="45" t="str">
        <f t="shared" si="16"/>
        <v>832</v>
      </c>
      <c r="T99" s="45" t="str">
        <f t="shared" si="17"/>
        <v>265</v>
      </c>
      <c r="U99" s="45" t="str">
        <f t="shared" si="18"/>
        <v>2122</v>
      </c>
      <c r="V99" s="2" t="s">
        <v>2746</v>
      </c>
      <c r="W99" s="45" t="str">
        <f t="shared" si="19"/>
        <v>7539</v>
      </c>
    </row>
    <row r="100" spans="1:23" x14ac:dyDescent="0.3">
      <c r="A100" t="s">
        <v>523</v>
      </c>
      <c r="B100" s="45" t="str">
        <f t="shared" si="10"/>
        <v>John</v>
      </c>
      <c r="C100" t="s">
        <v>75</v>
      </c>
      <c r="D100" t="s">
        <v>2745</v>
      </c>
      <c r="E100" s="45" t="str">
        <f t="shared" si="11"/>
        <v>May</v>
      </c>
      <c r="F100" s="45" t="str">
        <f t="shared" si="12"/>
        <v>John B May</v>
      </c>
      <c r="G100" t="s">
        <v>264</v>
      </c>
      <c r="H100" t="str">
        <f t="shared" si="13"/>
        <v>Male</v>
      </c>
      <c r="I100" t="s">
        <v>2744</v>
      </c>
      <c r="J100" t="s">
        <v>78</v>
      </c>
      <c r="K100" t="s">
        <v>57</v>
      </c>
      <c r="L100">
        <v>60634</v>
      </c>
      <c r="O100" t="s">
        <v>2743</v>
      </c>
      <c r="P100" s="45" t="str">
        <f t="shared" si="14"/>
        <v>hotmail</v>
      </c>
      <c r="Q100" t="s">
        <v>2742</v>
      </c>
      <c r="R100" s="45" t="str">
        <f t="shared" si="15"/>
        <v>312|826|8635</v>
      </c>
      <c r="S100" s="45" t="str">
        <f t="shared" si="16"/>
        <v>312</v>
      </c>
      <c r="T100" s="45" t="str">
        <f t="shared" si="17"/>
        <v>826</v>
      </c>
      <c r="U100" s="45" t="str">
        <f t="shared" si="18"/>
        <v>8635</v>
      </c>
      <c r="V100" s="2" t="s">
        <v>2741</v>
      </c>
      <c r="W100" s="45" t="str">
        <f t="shared" si="19"/>
        <v>6483</v>
      </c>
    </row>
    <row r="101" spans="1:23" x14ac:dyDescent="0.3">
      <c r="A101" t="s">
        <v>2740</v>
      </c>
      <c r="B101" s="45" t="str">
        <f t="shared" si="10"/>
        <v>Ann</v>
      </c>
      <c r="C101" t="s">
        <v>77</v>
      </c>
      <c r="D101" t="s">
        <v>2739</v>
      </c>
      <c r="E101" s="45" t="str">
        <f t="shared" si="11"/>
        <v>Tilton</v>
      </c>
      <c r="F101" s="45" t="str">
        <f t="shared" si="12"/>
        <v>Ann C Tilton</v>
      </c>
      <c r="G101" t="s">
        <v>241</v>
      </c>
      <c r="H101" t="str">
        <f t="shared" si="13"/>
        <v>Female</v>
      </c>
      <c r="I101" t="s">
        <v>2738</v>
      </c>
      <c r="J101" t="s">
        <v>2737</v>
      </c>
      <c r="K101" t="s">
        <v>104</v>
      </c>
      <c r="L101">
        <v>3455</v>
      </c>
      <c r="O101" t="s">
        <v>2736</v>
      </c>
      <c r="P101" s="45" t="str">
        <f t="shared" si="14"/>
        <v>hotmail</v>
      </c>
      <c r="Q101" t="s">
        <v>2735</v>
      </c>
      <c r="R101" s="45" t="str">
        <f t="shared" si="15"/>
        <v>603|876|8330</v>
      </c>
      <c r="S101" s="45" t="str">
        <f t="shared" si="16"/>
        <v>603</v>
      </c>
      <c r="T101" s="45" t="str">
        <f t="shared" si="17"/>
        <v>876</v>
      </c>
      <c r="U101" s="45" t="str">
        <f t="shared" si="18"/>
        <v>8330</v>
      </c>
      <c r="V101" s="2" t="s">
        <v>2734</v>
      </c>
      <c r="W101" s="45" t="str">
        <f t="shared" si="19"/>
        <v>1094</v>
      </c>
    </row>
    <row r="102" spans="1:23" x14ac:dyDescent="0.3">
      <c r="A102" t="s">
        <v>2733</v>
      </c>
      <c r="B102" s="45" t="str">
        <f t="shared" si="10"/>
        <v>Eric</v>
      </c>
      <c r="C102" t="s">
        <v>361</v>
      </c>
      <c r="D102" t="s">
        <v>334</v>
      </c>
      <c r="E102" s="45" t="str">
        <f t="shared" si="11"/>
        <v>Young</v>
      </c>
      <c r="F102" s="45" t="str">
        <f t="shared" si="12"/>
        <v>Eric T Young</v>
      </c>
      <c r="G102" t="s">
        <v>264</v>
      </c>
      <c r="H102" t="str">
        <f t="shared" si="13"/>
        <v>Male</v>
      </c>
      <c r="I102" t="s">
        <v>2732</v>
      </c>
      <c r="J102" t="s">
        <v>2731</v>
      </c>
      <c r="K102" t="s">
        <v>58</v>
      </c>
      <c r="L102">
        <v>94005</v>
      </c>
      <c r="O102" t="s">
        <v>2730</v>
      </c>
      <c r="P102" s="45" t="str">
        <f t="shared" si="14"/>
        <v>hotmail</v>
      </c>
      <c r="Q102" t="s">
        <v>2729</v>
      </c>
      <c r="R102" s="45" t="str">
        <f t="shared" si="15"/>
        <v>650|776|7291</v>
      </c>
      <c r="S102" s="45" t="str">
        <f t="shared" si="16"/>
        <v>650</v>
      </c>
      <c r="T102" s="45" t="str">
        <f t="shared" si="17"/>
        <v>776</v>
      </c>
      <c r="U102" s="45" t="str">
        <f t="shared" si="18"/>
        <v>7291</v>
      </c>
      <c r="V102" s="2" t="s">
        <v>2728</v>
      </c>
      <c r="W102" s="45" t="str">
        <f t="shared" si="19"/>
        <v>681</v>
      </c>
    </row>
    <row r="103" spans="1:23" x14ac:dyDescent="0.3">
      <c r="A103" t="s">
        <v>563</v>
      </c>
      <c r="B103" s="45" t="str">
        <f t="shared" si="10"/>
        <v>James</v>
      </c>
      <c r="C103" t="s">
        <v>70</v>
      </c>
      <c r="D103" t="s">
        <v>2727</v>
      </c>
      <c r="E103" s="45" t="str">
        <f t="shared" si="11"/>
        <v>Friar</v>
      </c>
      <c r="F103" s="45" t="str">
        <f t="shared" si="12"/>
        <v>James F Friar</v>
      </c>
      <c r="G103" t="s">
        <v>264</v>
      </c>
      <c r="H103" t="str">
        <f t="shared" si="13"/>
        <v>Male</v>
      </c>
      <c r="I103" t="s">
        <v>2726</v>
      </c>
      <c r="J103" t="s">
        <v>2725</v>
      </c>
      <c r="K103" t="s">
        <v>85</v>
      </c>
      <c r="L103">
        <v>28801</v>
      </c>
      <c r="O103" t="s">
        <v>2724</v>
      </c>
      <c r="P103" s="45" t="str">
        <f t="shared" si="14"/>
        <v>aol</v>
      </c>
      <c r="Q103" t="s">
        <v>2723</v>
      </c>
      <c r="R103" s="45" t="str">
        <f t="shared" si="15"/>
        <v>828|377|2478</v>
      </c>
      <c r="S103" s="45" t="str">
        <f t="shared" si="16"/>
        <v>828</v>
      </c>
      <c r="T103" s="45" t="str">
        <f t="shared" si="17"/>
        <v>377</v>
      </c>
      <c r="U103" s="45" t="str">
        <f t="shared" si="18"/>
        <v>2478</v>
      </c>
      <c r="V103" s="2" t="s">
        <v>2722</v>
      </c>
      <c r="W103" s="45" t="str">
        <f t="shared" si="19"/>
        <v>368</v>
      </c>
    </row>
    <row r="104" spans="1:23" x14ac:dyDescent="0.3">
      <c r="A104" t="s">
        <v>369</v>
      </c>
      <c r="B104" s="45" t="str">
        <f t="shared" si="10"/>
        <v>David</v>
      </c>
      <c r="C104" t="s">
        <v>62</v>
      </c>
      <c r="D104" t="s">
        <v>2721</v>
      </c>
      <c r="E104" s="45" t="str">
        <f t="shared" si="11"/>
        <v>Crum</v>
      </c>
      <c r="F104" s="45" t="str">
        <f t="shared" si="12"/>
        <v>David D Crum</v>
      </c>
      <c r="G104" t="s">
        <v>264</v>
      </c>
      <c r="H104" t="str">
        <f t="shared" si="13"/>
        <v>Male</v>
      </c>
      <c r="I104" t="s">
        <v>2720</v>
      </c>
      <c r="J104" t="s">
        <v>1490</v>
      </c>
      <c r="K104" t="s">
        <v>74</v>
      </c>
      <c r="L104">
        <v>48201</v>
      </c>
      <c r="O104" t="s">
        <v>2719</v>
      </c>
      <c r="P104" s="45" t="str">
        <f t="shared" si="14"/>
        <v>gmail</v>
      </c>
      <c r="Q104" t="s">
        <v>2718</v>
      </c>
      <c r="R104" s="45" t="str">
        <f t="shared" si="15"/>
        <v>313|577|3173</v>
      </c>
      <c r="S104" s="45" t="str">
        <f t="shared" si="16"/>
        <v>313</v>
      </c>
      <c r="T104" s="45" t="str">
        <f t="shared" si="17"/>
        <v>577</v>
      </c>
      <c r="U104" s="45" t="str">
        <f t="shared" si="18"/>
        <v>3173</v>
      </c>
      <c r="V104" s="2" t="s">
        <v>2717</v>
      </c>
      <c r="W104" s="45" t="str">
        <f t="shared" si="19"/>
        <v>5201</v>
      </c>
    </row>
    <row r="105" spans="1:23" x14ac:dyDescent="0.3">
      <c r="A105" t="s">
        <v>1486</v>
      </c>
      <c r="B105" s="45" t="str">
        <f t="shared" si="10"/>
        <v>Gloria</v>
      </c>
      <c r="C105" t="s">
        <v>266</v>
      </c>
      <c r="D105" t="s">
        <v>2405</v>
      </c>
      <c r="E105" s="45" t="str">
        <f t="shared" si="11"/>
        <v>Torres</v>
      </c>
      <c r="F105" s="45" t="str">
        <f t="shared" si="12"/>
        <v>Gloria S Torres</v>
      </c>
      <c r="G105" t="s">
        <v>241</v>
      </c>
      <c r="H105" t="str">
        <f t="shared" si="13"/>
        <v>Female</v>
      </c>
      <c r="I105" t="s">
        <v>2716</v>
      </c>
      <c r="J105" t="s">
        <v>2715</v>
      </c>
      <c r="K105" t="s">
        <v>105</v>
      </c>
      <c r="L105">
        <v>99503</v>
      </c>
      <c r="O105" t="s">
        <v>2714</v>
      </c>
      <c r="P105" s="45" t="str">
        <f t="shared" si="14"/>
        <v>gmail</v>
      </c>
      <c r="Q105" t="s">
        <v>2713</v>
      </c>
      <c r="R105" s="45" t="str">
        <f t="shared" si="15"/>
        <v>907|563|9002</v>
      </c>
      <c r="S105" s="45" t="str">
        <f t="shared" si="16"/>
        <v>907</v>
      </c>
      <c r="T105" s="45" t="str">
        <f t="shared" si="17"/>
        <v>563</v>
      </c>
      <c r="U105" s="45" t="str">
        <f t="shared" si="18"/>
        <v>9002</v>
      </c>
      <c r="V105" s="2" t="s">
        <v>2712</v>
      </c>
      <c r="W105" s="45" t="str">
        <f t="shared" si="19"/>
        <v>490</v>
      </c>
    </row>
    <row r="106" spans="1:23" x14ac:dyDescent="0.3">
      <c r="A106" t="s">
        <v>2711</v>
      </c>
      <c r="B106" s="45" t="str">
        <f t="shared" si="10"/>
        <v>Derrick</v>
      </c>
      <c r="C106" t="s">
        <v>807</v>
      </c>
      <c r="D106" t="s">
        <v>1677</v>
      </c>
      <c r="E106" s="45" t="str">
        <f t="shared" si="11"/>
        <v>Brown</v>
      </c>
      <c r="F106" s="45" t="str">
        <f t="shared" si="12"/>
        <v>Derrick N Brown</v>
      </c>
      <c r="G106" t="s">
        <v>264</v>
      </c>
      <c r="H106" t="str">
        <f t="shared" si="13"/>
        <v>Male</v>
      </c>
      <c r="I106" t="s">
        <v>2710</v>
      </c>
      <c r="J106" t="s">
        <v>2709</v>
      </c>
      <c r="K106" t="s">
        <v>67</v>
      </c>
      <c r="L106">
        <v>36067</v>
      </c>
      <c r="O106" t="s">
        <v>2708</v>
      </c>
      <c r="P106" s="45" t="str">
        <f t="shared" si="14"/>
        <v>gmail</v>
      </c>
      <c r="Q106" t="s">
        <v>2707</v>
      </c>
      <c r="R106" s="45" t="str">
        <f t="shared" si="15"/>
        <v>334|569|9587</v>
      </c>
      <c r="S106" s="45" t="str">
        <f t="shared" si="16"/>
        <v>334</v>
      </c>
      <c r="T106" s="45" t="str">
        <f t="shared" si="17"/>
        <v>569</v>
      </c>
      <c r="U106" s="45" t="str">
        <f t="shared" si="18"/>
        <v>9587</v>
      </c>
      <c r="V106" s="2" t="s">
        <v>2706</v>
      </c>
      <c r="W106" s="45" t="str">
        <f t="shared" si="19"/>
        <v>747</v>
      </c>
    </row>
    <row r="107" spans="1:23" x14ac:dyDescent="0.3">
      <c r="A107" t="s">
        <v>369</v>
      </c>
      <c r="B107" s="45" t="str">
        <f t="shared" si="10"/>
        <v>David</v>
      </c>
      <c r="C107" t="s">
        <v>77</v>
      </c>
      <c r="D107" t="s">
        <v>2705</v>
      </c>
      <c r="E107" s="45" t="str">
        <f t="shared" si="11"/>
        <v>Allen</v>
      </c>
      <c r="F107" s="45" t="str">
        <f t="shared" si="12"/>
        <v>David C Allen</v>
      </c>
      <c r="G107" t="s">
        <v>264</v>
      </c>
      <c r="H107" t="str">
        <f t="shared" si="13"/>
        <v>Male</v>
      </c>
      <c r="I107" t="s">
        <v>2704</v>
      </c>
      <c r="J107" t="s">
        <v>2703</v>
      </c>
      <c r="K107" t="s">
        <v>106</v>
      </c>
      <c r="L107">
        <v>5301</v>
      </c>
      <c r="O107" t="s">
        <v>2702</v>
      </c>
      <c r="P107" s="45" t="str">
        <f t="shared" si="14"/>
        <v>hotmail</v>
      </c>
      <c r="Q107" t="s">
        <v>2701</v>
      </c>
      <c r="R107" s="45" t="str">
        <f t="shared" si="15"/>
        <v>802|817|4962</v>
      </c>
      <c r="S107" s="45" t="str">
        <f t="shared" si="16"/>
        <v>802</v>
      </c>
      <c r="T107" s="45" t="str">
        <f t="shared" si="17"/>
        <v>817</v>
      </c>
      <c r="U107" s="45" t="str">
        <f t="shared" si="18"/>
        <v>4962</v>
      </c>
      <c r="V107" s="2" t="s">
        <v>2700</v>
      </c>
      <c r="W107" s="45" t="str">
        <f t="shared" si="19"/>
        <v>9079</v>
      </c>
    </row>
    <row r="108" spans="1:23" x14ac:dyDescent="0.3">
      <c r="A108" t="s">
        <v>2699</v>
      </c>
      <c r="B108" s="45" t="str">
        <f t="shared" si="10"/>
        <v>Tracie</v>
      </c>
      <c r="C108" t="s">
        <v>75</v>
      </c>
      <c r="D108" t="s">
        <v>2698</v>
      </c>
      <c r="E108" s="45" t="str">
        <f t="shared" si="11"/>
        <v>Sellers</v>
      </c>
      <c r="F108" s="45" t="str">
        <f t="shared" si="12"/>
        <v>Tracie B Sellers</v>
      </c>
      <c r="G108" t="s">
        <v>241</v>
      </c>
      <c r="H108" t="str">
        <f t="shared" si="13"/>
        <v>Female</v>
      </c>
      <c r="I108" t="s">
        <v>2697</v>
      </c>
      <c r="J108" t="s">
        <v>2696</v>
      </c>
      <c r="K108" t="s">
        <v>85</v>
      </c>
      <c r="L108">
        <v>28501</v>
      </c>
      <c r="O108" t="s">
        <v>2695</v>
      </c>
      <c r="P108" s="45" t="str">
        <f t="shared" si="14"/>
        <v>hotmail</v>
      </c>
      <c r="Q108" t="s">
        <v>2694</v>
      </c>
      <c r="R108" s="45" t="str">
        <f t="shared" si="15"/>
        <v>252|939|9519</v>
      </c>
      <c r="S108" s="45" t="str">
        <f t="shared" si="16"/>
        <v>252</v>
      </c>
      <c r="T108" s="45" t="str">
        <f t="shared" si="17"/>
        <v>939</v>
      </c>
      <c r="U108" s="45" t="str">
        <f t="shared" si="18"/>
        <v>9519</v>
      </c>
      <c r="V108" s="2" t="s">
        <v>2693</v>
      </c>
      <c r="W108" s="45" t="str">
        <f t="shared" si="19"/>
        <v>977</v>
      </c>
    </row>
    <row r="109" spans="1:23" x14ac:dyDescent="0.3">
      <c r="A109" t="s">
        <v>2692</v>
      </c>
      <c r="B109" s="45" t="str">
        <f t="shared" si="10"/>
        <v>Rocky</v>
      </c>
      <c r="C109" t="s">
        <v>77</v>
      </c>
      <c r="D109" t="s">
        <v>2691</v>
      </c>
      <c r="E109" s="45" t="str">
        <f t="shared" si="11"/>
        <v>Weatherspoon</v>
      </c>
      <c r="F109" s="45" t="str">
        <f t="shared" si="12"/>
        <v>Rocky C Weatherspoon</v>
      </c>
      <c r="G109" t="s">
        <v>264</v>
      </c>
      <c r="H109" t="str">
        <f t="shared" si="13"/>
        <v>Male</v>
      </c>
      <c r="I109" t="s">
        <v>2690</v>
      </c>
      <c r="J109" t="s">
        <v>2665</v>
      </c>
      <c r="K109" t="s">
        <v>68</v>
      </c>
      <c r="L109">
        <v>11801</v>
      </c>
      <c r="O109" t="s">
        <v>2689</v>
      </c>
      <c r="P109" s="45" t="str">
        <f t="shared" si="14"/>
        <v>hotmail</v>
      </c>
      <c r="Q109" t="s">
        <v>2688</v>
      </c>
      <c r="R109" s="45" t="str">
        <f t="shared" si="15"/>
        <v>516|545|5590</v>
      </c>
      <c r="S109" s="45" t="str">
        <f t="shared" si="16"/>
        <v>516</v>
      </c>
      <c r="T109" s="45" t="str">
        <f t="shared" si="17"/>
        <v>545</v>
      </c>
      <c r="U109" s="45" t="str">
        <f t="shared" si="18"/>
        <v>5590</v>
      </c>
      <c r="V109" s="2" t="s">
        <v>2687</v>
      </c>
      <c r="W109" s="45" t="str">
        <f t="shared" si="19"/>
        <v>3513</v>
      </c>
    </row>
    <row r="110" spans="1:23" x14ac:dyDescent="0.3">
      <c r="A110" t="s">
        <v>288</v>
      </c>
      <c r="B110" s="45" t="str">
        <f t="shared" si="10"/>
        <v>Kevin</v>
      </c>
      <c r="C110" t="s">
        <v>60</v>
      </c>
      <c r="D110" t="s">
        <v>2686</v>
      </c>
      <c r="E110" s="45" t="str">
        <f t="shared" si="11"/>
        <v>Gibson</v>
      </c>
      <c r="F110" s="45" t="str">
        <f t="shared" si="12"/>
        <v>Kevin M Gibson</v>
      </c>
      <c r="G110" t="s">
        <v>264</v>
      </c>
      <c r="H110" t="str">
        <f t="shared" si="13"/>
        <v>Male</v>
      </c>
      <c r="I110" t="s">
        <v>2685</v>
      </c>
      <c r="J110" t="s">
        <v>421</v>
      </c>
      <c r="K110" t="s">
        <v>58</v>
      </c>
      <c r="L110">
        <v>90017</v>
      </c>
      <c r="O110" t="s">
        <v>2684</v>
      </c>
      <c r="P110" s="45" t="str">
        <f t="shared" si="14"/>
        <v>hotmail</v>
      </c>
      <c r="Q110" t="s">
        <v>2683</v>
      </c>
      <c r="R110" s="45" t="str">
        <f t="shared" si="15"/>
        <v>213|517|4820</v>
      </c>
      <c r="S110" s="45" t="str">
        <f t="shared" si="16"/>
        <v>213</v>
      </c>
      <c r="T110" s="45" t="str">
        <f t="shared" si="17"/>
        <v>517</v>
      </c>
      <c r="U110" s="45" t="str">
        <f t="shared" si="18"/>
        <v>4820</v>
      </c>
      <c r="V110" s="2" t="s">
        <v>2682</v>
      </c>
      <c r="W110" s="45" t="str">
        <f t="shared" si="19"/>
        <v>868</v>
      </c>
    </row>
    <row r="111" spans="1:23" x14ac:dyDescent="0.3">
      <c r="A111" t="s">
        <v>2681</v>
      </c>
      <c r="B111" s="45" t="str">
        <f t="shared" si="10"/>
        <v>Elaine</v>
      </c>
      <c r="C111" t="s">
        <v>75</v>
      </c>
      <c r="D111" t="s">
        <v>2680</v>
      </c>
      <c r="E111" s="45" t="str">
        <f t="shared" si="11"/>
        <v>Cunningham</v>
      </c>
      <c r="F111" s="45" t="str">
        <f t="shared" si="12"/>
        <v>Elaine B Cunningham</v>
      </c>
      <c r="G111" t="s">
        <v>241</v>
      </c>
      <c r="H111" t="str">
        <f t="shared" si="13"/>
        <v>Female</v>
      </c>
      <c r="I111" t="s">
        <v>2679</v>
      </c>
      <c r="J111" t="s">
        <v>2678</v>
      </c>
      <c r="K111" t="s">
        <v>88</v>
      </c>
      <c r="L111">
        <v>43085</v>
      </c>
      <c r="O111" t="s">
        <v>2677</v>
      </c>
      <c r="P111" s="45" t="str">
        <f t="shared" si="14"/>
        <v>gmail</v>
      </c>
      <c r="Q111" t="s">
        <v>2676</v>
      </c>
      <c r="R111" s="45" t="str">
        <f t="shared" si="15"/>
        <v>740|721|7555</v>
      </c>
      <c r="S111" s="45" t="str">
        <f t="shared" si="16"/>
        <v>740</v>
      </c>
      <c r="T111" s="45" t="str">
        <f t="shared" si="17"/>
        <v>721</v>
      </c>
      <c r="U111" s="45" t="str">
        <f t="shared" si="18"/>
        <v>7555</v>
      </c>
      <c r="V111" s="2" t="s">
        <v>2675</v>
      </c>
      <c r="W111" s="45" t="str">
        <f t="shared" si="19"/>
        <v>618</v>
      </c>
    </row>
    <row r="112" spans="1:23" x14ac:dyDescent="0.3">
      <c r="A112" t="s">
        <v>556</v>
      </c>
      <c r="B112" s="45" t="str">
        <f t="shared" si="10"/>
        <v>Charles</v>
      </c>
      <c r="C112" t="s">
        <v>266</v>
      </c>
      <c r="D112" t="s">
        <v>2674</v>
      </c>
      <c r="E112" s="45" t="str">
        <f t="shared" si="11"/>
        <v>Castro</v>
      </c>
      <c r="F112" s="45" t="str">
        <f t="shared" si="12"/>
        <v>Charles S Castro</v>
      </c>
      <c r="G112" t="s">
        <v>264</v>
      </c>
      <c r="H112" t="str">
        <f t="shared" si="13"/>
        <v>Male</v>
      </c>
      <c r="I112" t="s">
        <v>2673</v>
      </c>
      <c r="J112" t="s">
        <v>2672</v>
      </c>
      <c r="K112" t="s">
        <v>101</v>
      </c>
      <c r="L112">
        <v>15672</v>
      </c>
      <c r="O112" t="s">
        <v>2671</v>
      </c>
      <c r="P112" s="45" t="str">
        <f t="shared" si="14"/>
        <v>gmail</v>
      </c>
      <c r="Q112" t="s">
        <v>2670</v>
      </c>
      <c r="R112" s="45" t="str">
        <f t="shared" si="15"/>
        <v>724|696|9820</v>
      </c>
      <c r="S112" s="45" t="str">
        <f t="shared" si="16"/>
        <v>724</v>
      </c>
      <c r="T112" s="45" t="str">
        <f t="shared" si="17"/>
        <v>696</v>
      </c>
      <c r="U112" s="45" t="str">
        <f t="shared" si="18"/>
        <v>9820</v>
      </c>
      <c r="V112" s="2" t="s">
        <v>2669</v>
      </c>
      <c r="W112" s="45" t="str">
        <f t="shared" si="19"/>
        <v>532</v>
      </c>
    </row>
    <row r="113" spans="1:23" x14ac:dyDescent="0.3">
      <c r="A113" t="s">
        <v>2668</v>
      </c>
      <c r="B113" s="45" t="str">
        <f t="shared" si="10"/>
        <v>Les</v>
      </c>
      <c r="C113" t="s">
        <v>807</v>
      </c>
      <c r="D113" t="s">
        <v>2667</v>
      </c>
      <c r="E113" s="45" t="str">
        <f t="shared" si="11"/>
        <v>Lawhon</v>
      </c>
      <c r="F113" s="45" t="str">
        <f t="shared" si="12"/>
        <v>Les N Lawhon</v>
      </c>
      <c r="G113" t="s">
        <v>264</v>
      </c>
      <c r="H113" t="str">
        <f t="shared" si="13"/>
        <v>Male</v>
      </c>
      <c r="I113" t="s">
        <v>2666</v>
      </c>
      <c r="J113" t="s">
        <v>2665</v>
      </c>
      <c r="K113" t="s">
        <v>68</v>
      </c>
      <c r="L113">
        <v>11612</v>
      </c>
      <c r="O113" t="s">
        <v>2664</v>
      </c>
      <c r="P113" s="45" t="str">
        <f t="shared" si="14"/>
        <v>hotmail</v>
      </c>
      <c r="Q113" t="s">
        <v>2663</v>
      </c>
      <c r="R113" s="45" t="str">
        <f t="shared" si="15"/>
        <v>516|802|1216</v>
      </c>
      <c r="S113" s="45" t="str">
        <f t="shared" si="16"/>
        <v>516</v>
      </c>
      <c r="T113" s="45" t="str">
        <f t="shared" si="17"/>
        <v>802</v>
      </c>
      <c r="U113" s="45" t="str">
        <f t="shared" si="18"/>
        <v>1216</v>
      </c>
      <c r="V113" s="2" t="s">
        <v>2662</v>
      </c>
      <c r="W113" s="45" t="str">
        <f t="shared" si="19"/>
        <v>827</v>
      </c>
    </row>
    <row r="114" spans="1:23" x14ac:dyDescent="0.3">
      <c r="A114" t="s">
        <v>417</v>
      </c>
      <c r="B114" s="45" t="str">
        <f t="shared" si="10"/>
        <v>Ronald</v>
      </c>
      <c r="C114" t="s">
        <v>72</v>
      </c>
      <c r="D114" t="s">
        <v>2661</v>
      </c>
      <c r="E114" s="45" t="str">
        <f t="shared" si="11"/>
        <v>Gordon</v>
      </c>
      <c r="F114" s="45" t="str">
        <f t="shared" si="12"/>
        <v>Ronald E Gordon</v>
      </c>
      <c r="G114" t="s">
        <v>264</v>
      </c>
      <c r="H114" t="str">
        <f t="shared" si="13"/>
        <v>Male</v>
      </c>
      <c r="I114" t="s">
        <v>2660</v>
      </c>
      <c r="J114" t="s">
        <v>1777</v>
      </c>
      <c r="K114" t="s">
        <v>107</v>
      </c>
      <c r="L114">
        <v>55402</v>
      </c>
      <c r="O114" t="s">
        <v>2659</v>
      </c>
      <c r="P114" s="45" t="str">
        <f t="shared" si="14"/>
        <v>gmail</v>
      </c>
      <c r="Q114" t="s">
        <v>2658</v>
      </c>
      <c r="R114" s="45" t="str">
        <f t="shared" si="15"/>
        <v>701|555|3444</v>
      </c>
      <c r="S114" s="45" t="str">
        <f t="shared" si="16"/>
        <v>701</v>
      </c>
      <c r="T114" s="45" t="str">
        <f t="shared" si="17"/>
        <v>555</v>
      </c>
      <c r="U114" s="45" t="str">
        <f t="shared" si="18"/>
        <v>3444</v>
      </c>
      <c r="V114" s="2" t="s">
        <v>2657</v>
      </c>
      <c r="W114" s="45" t="str">
        <f t="shared" si="19"/>
        <v>2475</v>
      </c>
    </row>
    <row r="115" spans="1:23" x14ac:dyDescent="0.3">
      <c r="A115" t="s">
        <v>1671</v>
      </c>
      <c r="B115" s="45" t="str">
        <f t="shared" si="10"/>
        <v>Kenneth</v>
      </c>
      <c r="C115" t="s">
        <v>108</v>
      </c>
      <c r="D115" t="s">
        <v>515</v>
      </c>
      <c r="E115" s="45" t="str">
        <f t="shared" si="11"/>
        <v>Harris</v>
      </c>
      <c r="F115" s="45" t="str">
        <f t="shared" si="12"/>
        <v>Kenneth I Harris</v>
      </c>
      <c r="G115" t="s">
        <v>264</v>
      </c>
      <c r="H115" t="str">
        <f t="shared" si="13"/>
        <v>Male</v>
      </c>
      <c r="I115" t="s">
        <v>2656</v>
      </c>
      <c r="J115" t="s">
        <v>78</v>
      </c>
      <c r="K115" t="s">
        <v>57</v>
      </c>
      <c r="L115">
        <v>60605</v>
      </c>
      <c r="O115" t="s">
        <v>2655</v>
      </c>
      <c r="P115" s="45" t="str">
        <f t="shared" si="14"/>
        <v>hotmail</v>
      </c>
      <c r="Q115" t="s">
        <v>2654</v>
      </c>
      <c r="R115" s="45" t="str">
        <f t="shared" si="15"/>
        <v>312|675|4767</v>
      </c>
      <c r="S115" s="45" t="str">
        <f t="shared" si="16"/>
        <v>312</v>
      </c>
      <c r="T115" s="45" t="str">
        <f t="shared" si="17"/>
        <v>675</v>
      </c>
      <c r="U115" s="45" t="str">
        <f t="shared" si="18"/>
        <v>4767</v>
      </c>
      <c r="V115" s="2" t="s">
        <v>2653</v>
      </c>
      <c r="W115" s="45" t="str">
        <f t="shared" si="19"/>
        <v>905</v>
      </c>
    </row>
    <row r="116" spans="1:23" x14ac:dyDescent="0.3">
      <c r="A116" t="s">
        <v>2652</v>
      </c>
      <c r="B116" s="45" t="str">
        <f t="shared" si="10"/>
        <v>Nicole</v>
      </c>
      <c r="C116" t="s">
        <v>75</v>
      </c>
      <c r="D116" t="s">
        <v>2651</v>
      </c>
      <c r="E116" s="45" t="str">
        <f t="shared" si="11"/>
        <v>Perez</v>
      </c>
      <c r="F116" s="45" t="str">
        <f t="shared" si="12"/>
        <v>Nicole B Perez</v>
      </c>
      <c r="G116" t="s">
        <v>241</v>
      </c>
      <c r="H116" t="str">
        <f t="shared" si="13"/>
        <v>Female</v>
      </c>
      <c r="I116" t="s">
        <v>2650</v>
      </c>
      <c r="J116" t="s">
        <v>2649</v>
      </c>
      <c r="K116" t="s">
        <v>66</v>
      </c>
      <c r="L116">
        <v>78205</v>
      </c>
      <c r="O116" t="s">
        <v>2648</v>
      </c>
      <c r="P116" s="45" t="str">
        <f t="shared" si="14"/>
        <v>aol</v>
      </c>
      <c r="Q116" t="s">
        <v>2647</v>
      </c>
      <c r="R116" s="45" t="str">
        <f t="shared" si="15"/>
        <v>210|332|7713</v>
      </c>
      <c r="S116" s="45" t="str">
        <f t="shared" si="16"/>
        <v>210</v>
      </c>
      <c r="T116" s="45" t="str">
        <f t="shared" si="17"/>
        <v>332</v>
      </c>
      <c r="U116" s="45" t="str">
        <f t="shared" si="18"/>
        <v>7713</v>
      </c>
      <c r="V116" s="2" t="s">
        <v>2646</v>
      </c>
      <c r="W116" s="45" t="str">
        <f t="shared" si="19"/>
        <v>2864</v>
      </c>
    </row>
    <row r="117" spans="1:23" x14ac:dyDescent="0.3">
      <c r="A117" t="s">
        <v>2645</v>
      </c>
      <c r="B117" s="45" t="str">
        <f t="shared" si="10"/>
        <v>Michelle</v>
      </c>
      <c r="C117" t="s">
        <v>77</v>
      </c>
      <c r="D117" t="s">
        <v>2644</v>
      </c>
      <c r="E117" s="45" t="str">
        <f t="shared" si="11"/>
        <v>Keown</v>
      </c>
      <c r="F117" s="45" t="str">
        <f t="shared" si="12"/>
        <v>Michelle C Keown</v>
      </c>
      <c r="G117" t="s">
        <v>241</v>
      </c>
      <c r="H117" t="str">
        <f t="shared" si="13"/>
        <v>Female</v>
      </c>
      <c r="I117" t="s">
        <v>2643</v>
      </c>
      <c r="J117" t="s">
        <v>1073</v>
      </c>
      <c r="K117" t="s">
        <v>101</v>
      </c>
      <c r="L117">
        <v>19146</v>
      </c>
      <c r="O117" t="s">
        <v>2642</v>
      </c>
      <c r="P117" s="45" t="str">
        <f t="shared" si="14"/>
        <v>gmail</v>
      </c>
      <c r="Q117" t="s">
        <v>2641</v>
      </c>
      <c r="R117" s="45" t="str">
        <f t="shared" si="15"/>
        <v>215|790|4399</v>
      </c>
      <c r="S117" s="45" t="str">
        <f t="shared" si="16"/>
        <v>215</v>
      </c>
      <c r="T117" s="45" t="str">
        <f t="shared" si="17"/>
        <v>790</v>
      </c>
      <c r="U117" s="45" t="str">
        <f t="shared" si="18"/>
        <v>4399</v>
      </c>
      <c r="V117" s="2" t="s">
        <v>2640</v>
      </c>
      <c r="W117" s="45" t="str">
        <f t="shared" si="19"/>
        <v>5193</v>
      </c>
    </row>
    <row r="118" spans="1:23" x14ac:dyDescent="0.3">
      <c r="A118" t="s">
        <v>1283</v>
      </c>
      <c r="B118" s="45" t="str">
        <f t="shared" si="10"/>
        <v>Sue</v>
      </c>
      <c r="C118" t="s">
        <v>56</v>
      </c>
      <c r="D118" t="s">
        <v>2639</v>
      </c>
      <c r="E118" s="45" t="str">
        <f t="shared" si="11"/>
        <v>Doucette</v>
      </c>
      <c r="F118" s="45" t="str">
        <f t="shared" si="12"/>
        <v>Sue J Doucette</v>
      </c>
      <c r="G118" t="s">
        <v>241</v>
      </c>
      <c r="H118" t="str">
        <f t="shared" si="13"/>
        <v>Female</v>
      </c>
      <c r="I118" t="s">
        <v>2638</v>
      </c>
      <c r="J118" t="s">
        <v>2403</v>
      </c>
      <c r="K118" t="s">
        <v>79</v>
      </c>
      <c r="L118">
        <v>33311</v>
      </c>
      <c r="O118" t="s">
        <v>2637</v>
      </c>
      <c r="P118" s="45" t="str">
        <f t="shared" si="14"/>
        <v>hotmail</v>
      </c>
      <c r="Q118" t="s">
        <v>2636</v>
      </c>
      <c r="R118" s="45" t="str">
        <f t="shared" si="15"/>
        <v>305|308|0272</v>
      </c>
      <c r="S118" s="45" t="str">
        <f t="shared" si="16"/>
        <v>305</v>
      </c>
      <c r="T118" s="45" t="str">
        <f t="shared" si="17"/>
        <v>308</v>
      </c>
      <c r="U118" s="45" t="str">
        <f t="shared" si="18"/>
        <v>0272</v>
      </c>
      <c r="V118" s="2" t="s">
        <v>2635</v>
      </c>
      <c r="W118" s="45" t="str">
        <f t="shared" si="19"/>
        <v>925</v>
      </c>
    </row>
    <row r="119" spans="1:23" x14ac:dyDescent="0.3">
      <c r="A119" t="s">
        <v>2634</v>
      </c>
      <c r="B119" s="45" t="str">
        <f t="shared" si="10"/>
        <v>Lillian</v>
      </c>
      <c r="C119" t="s">
        <v>56</v>
      </c>
      <c r="D119" t="s">
        <v>2633</v>
      </c>
      <c r="E119" s="45" t="str">
        <f t="shared" si="11"/>
        <v>Kline</v>
      </c>
      <c r="F119" s="45" t="str">
        <f t="shared" si="12"/>
        <v>Lillian J Kline</v>
      </c>
      <c r="G119" t="s">
        <v>241</v>
      </c>
      <c r="H119" t="str">
        <f t="shared" si="13"/>
        <v>Female</v>
      </c>
      <c r="I119" t="s">
        <v>2632</v>
      </c>
      <c r="J119" t="s">
        <v>2631</v>
      </c>
      <c r="K119" t="s">
        <v>109</v>
      </c>
      <c r="L119">
        <v>98908</v>
      </c>
      <c r="O119" t="s">
        <v>2630</v>
      </c>
      <c r="P119" s="45" t="str">
        <f t="shared" si="14"/>
        <v>hotmail</v>
      </c>
      <c r="Q119" t="s">
        <v>2629</v>
      </c>
      <c r="R119" s="45" t="str">
        <f t="shared" si="15"/>
        <v>509|790|0804</v>
      </c>
      <c r="S119" s="45" t="str">
        <f t="shared" si="16"/>
        <v>509</v>
      </c>
      <c r="T119" s="45" t="str">
        <f t="shared" si="17"/>
        <v>790</v>
      </c>
      <c r="U119" s="45" t="str">
        <f t="shared" si="18"/>
        <v>0804</v>
      </c>
      <c r="V119" s="2" t="s">
        <v>2628</v>
      </c>
      <c r="W119" s="45" t="str">
        <f t="shared" si="19"/>
        <v>431</v>
      </c>
    </row>
    <row r="120" spans="1:23" x14ac:dyDescent="0.3">
      <c r="A120" t="s">
        <v>516</v>
      </c>
      <c r="B120" s="45" t="str">
        <f t="shared" si="10"/>
        <v>Linda</v>
      </c>
      <c r="C120" t="s">
        <v>69</v>
      </c>
      <c r="D120" t="s">
        <v>2627</v>
      </c>
      <c r="E120" s="45" t="str">
        <f t="shared" si="11"/>
        <v>Chasse</v>
      </c>
      <c r="F120" s="45" t="str">
        <f t="shared" si="12"/>
        <v>Linda H Chasse</v>
      </c>
      <c r="G120" t="s">
        <v>241</v>
      </c>
      <c r="H120" t="str">
        <f t="shared" si="13"/>
        <v>Female</v>
      </c>
      <c r="I120" t="s">
        <v>2626</v>
      </c>
      <c r="J120" t="s">
        <v>2173</v>
      </c>
      <c r="K120" t="s">
        <v>57</v>
      </c>
      <c r="L120">
        <v>60173</v>
      </c>
      <c r="O120" t="s">
        <v>2625</v>
      </c>
      <c r="P120" s="45" t="str">
        <f t="shared" si="14"/>
        <v>aol</v>
      </c>
      <c r="Q120" t="s">
        <v>2624</v>
      </c>
      <c r="R120" s="45" t="str">
        <f t="shared" si="15"/>
        <v>630|602|5913</v>
      </c>
      <c r="S120" s="45" t="str">
        <f t="shared" si="16"/>
        <v>630</v>
      </c>
      <c r="T120" s="45" t="str">
        <f t="shared" si="17"/>
        <v>602</v>
      </c>
      <c r="U120" s="45" t="str">
        <f t="shared" si="18"/>
        <v>5913</v>
      </c>
      <c r="V120" s="2" t="s">
        <v>2623</v>
      </c>
      <c r="W120" s="45" t="str">
        <f t="shared" si="19"/>
        <v>3647</v>
      </c>
    </row>
    <row r="121" spans="1:23" x14ac:dyDescent="0.3">
      <c r="A121" t="s">
        <v>2622</v>
      </c>
      <c r="B121" s="45" t="str">
        <f t="shared" si="10"/>
        <v>Jean</v>
      </c>
      <c r="C121" t="s">
        <v>243</v>
      </c>
      <c r="D121" t="s">
        <v>2621</v>
      </c>
      <c r="E121" s="45" t="str">
        <f t="shared" si="11"/>
        <v>Garcia</v>
      </c>
      <c r="F121" s="45" t="str">
        <f t="shared" si="12"/>
        <v>Jean R Garcia</v>
      </c>
      <c r="G121" t="s">
        <v>241</v>
      </c>
      <c r="H121" t="str">
        <f t="shared" si="13"/>
        <v>Female</v>
      </c>
      <c r="I121" t="s">
        <v>2620</v>
      </c>
      <c r="J121" t="s">
        <v>960</v>
      </c>
      <c r="K121" t="s">
        <v>86</v>
      </c>
      <c r="L121">
        <v>2138</v>
      </c>
      <c r="O121" t="s">
        <v>2619</v>
      </c>
      <c r="P121" s="45" t="str">
        <f t="shared" si="14"/>
        <v>hotmail</v>
      </c>
      <c r="Q121" t="s">
        <v>2618</v>
      </c>
      <c r="R121" s="45" t="str">
        <f t="shared" si="15"/>
        <v>617|226|8333</v>
      </c>
      <c r="S121" s="45" t="str">
        <f t="shared" si="16"/>
        <v>617</v>
      </c>
      <c r="T121" s="45" t="str">
        <f t="shared" si="17"/>
        <v>226</v>
      </c>
      <c r="U121" s="45" t="str">
        <f t="shared" si="18"/>
        <v>8333</v>
      </c>
      <c r="V121" s="2" t="s">
        <v>2617</v>
      </c>
      <c r="W121" s="45" t="str">
        <f t="shared" si="19"/>
        <v>8139</v>
      </c>
    </row>
    <row r="122" spans="1:23" x14ac:dyDescent="0.3">
      <c r="A122" t="s">
        <v>2616</v>
      </c>
      <c r="B122" s="45" t="str">
        <f t="shared" si="10"/>
        <v>Sean</v>
      </c>
      <c r="C122" t="s">
        <v>77</v>
      </c>
      <c r="D122" t="s">
        <v>2615</v>
      </c>
      <c r="E122" s="45" t="str">
        <f t="shared" si="11"/>
        <v>Baltes</v>
      </c>
      <c r="F122" s="45" t="str">
        <f t="shared" si="12"/>
        <v>Sean C Baltes</v>
      </c>
      <c r="G122" t="s">
        <v>264</v>
      </c>
      <c r="H122" t="str">
        <f t="shared" si="13"/>
        <v>Male</v>
      </c>
      <c r="I122" t="s">
        <v>2614</v>
      </c>
      <c r="J122" t="s">
        <v>239</v>
      </c>
      <c r="K122" t="s">
        <v>95</v>
      </c>
      <c r="L122">
        <v>21202</v>
      </c>
      <c r="O122" t="s">
        <v>2613</v>
      </c>
      <c r="P122" s="45" t="str">
        <f t="shared" si="14"/>
        <v>aol</v>
      </c>
      <c r="Q122" t="s">
        <v>2612</v>
      </c>
      <c r="R122" s="45" t="str">
        <f t="shared" si="15"/>
        <v>443|425|0071</v>
      </c>
      <c r="S122" s="45" t="str">
        <f t="shared" si="16"/>
        <v>443</v>
      </c>
      <c r="T122" s="45" t="str">
        <f t="shared" si="17"/>
        <v>425</v>
      </c>
      <c r="U122" s="45" t="str">
        <f t="shared" si="18"/>
        <v>0071</v>
      </c>
      <c r="V122" s="2" t="s">
        <v>2611</v>
      </c>
      <c r="W122" s="45" t="str">
        <f t="shared" si="19"/>
        <v>4734</v>
      </c>
    </row>
    <row r="123" spans="1:23" x14ac:dyDescent="0.3">
      <c r="A123" t="s">
        <v>2610</v>
      </c>
      <c r="B123" s="45" t="str">
        <f t="shared" si="10"/>
        <v>Benjamin</v>
      </c>
      <c r="C123" t="s">
        <v>243</v>
      </c>
      <c r="D123" t="s">
        <v>2609</v>
      </c>
      <c r="E123" s="45" t="str">
        <f t="shared" si="11"/>
        <v>Castaneda</v>
      </c>
      <c r="F123" s="45" t="str">
        <f t="shared" si="12"/>
        <v>Benjamin R Castaneda</v>
      </c>
      <c r="G123" t="s">
        <v>264</v>
      </c>
      <c r="H123" t="str">
        <f t="shared" si="13"/>
        <v>Male</v>
      </c>
      <c r="I123" t="s">
        <v>2608</v>
      </c>
      <c r="J123" t="s">
        <v>2607</v>
      </c>
      <c r="K123" t="s">
        <v>110</v>
      </c>
      <c r="L123">
        <v>66202</v>
      </c>
      <c r="O123" t="s">
        <v>2606</v>
      </c>
      <c r="P123" s="45" t="str">
        <f t="shared" si="14"/>
        <v>aol</v>
      </c>
      <c r="Q123" t="s">
        <v>2605</v>
      </c>
      <c r="R123" s="45" t="str">
        <f t="shared" si="15"/>
        <v>913|424|4228</v>
      </c>
      <c r="S123" s="45" t="str">
        <f t="shared" si="16"/>
        <v>913</v>
      </c>
      <c r="T123" s="45" t="str">
        <f t="shared" si="17"/>
        <v>424</v>
      </c>
      <c r="U123" s="45" t="str">
        <f t="shared" si="18"/>
        <v>4228</v>
      </c>
      <c r="V123" s="2" t="s">
        <v>2604</v>
      </c>
      <c r="W123" s="45" t="str">
        <f t="shared" si="19"/>
        <v>9381</v>
      </c>
    </row>
    <row r="124" spans="1:23" x14ac:dyDescent="0.3">
      <c r="A124" t="s">
        <v>2406</v>
      </c>
      <c r="B124" s="45" t="str">
        <f t="shared" si="10"/>
        <v>Jerry</v>
      </c>
      <c r="C124" t="s">
        <v>60</v>
      </c>
      <c r="D124" t="s">
        <v>2603</v>
      </c>
      <c r="E124" s="45" t="str">
        <f t="shared" si="11"/>
        <v>Mills</v>
      </c>
      <c r="F124" s="45" t="str">
        <f t="shared" si="12"/>
        <v>Jerry M Mills</v>
      </c>
      <c r="G124" t="s">
        <v>264</v>
      </c>
      <c r="H124" t="str">
        <f t="shared" si="13"/>
        <v>Male</v>
      </c>
      <c r="I124" t="s">
        <v>2602</v>
      </c>
      <c r="J124" t="s">
        <v>2601</v>
      </c>
      <c r="K124" t="s">
        <v>97</v>
      </c>
      <c r="L124">
        <v>73622</v>
      </c>
      <c r="O124" t="s">
        <v>2600</v>
      </c>
      <c r="P124" s="45" t="str">
        <f t="shared" si="14"/>
        <v>gmail</v>
      </c>
      <c r="Q124" t="s">
        <v>2599</v>
      </c>
      <c r="R124" s="45" t="str">
        <f t="shared" si="15"/>
        <v>580|373|5226</v>
      </c>
      <c r="S124" s="45" t="str">
        <f t="shared" si="16"/>
        <v>580</v>
      </c>
      <c r="T124" s="45" t="str">
        <f t="shared" si="17"/>
        <v>373</v>
      </c>
      <c r="U124" s="45" t="str">
        <f t="shared" si="18"/>
        <v>5226</v>
      </c>
      <c r="V124" s="2" t="s">
        <v>2598</v>
      </c>
      <c r="W124" s="45" t="str">
        <f t="shared" si="19"/>
        <v>523</v>
      </c>
    </row>
    <row r="125" spans="1:23" x14ac:dyDescent="0.3">
      <c r="A125" t="s">
        <v>2597</v>
      </c>
      <c r="B125" s="45" t="str">
        <f t="shared" si="10"/>
        <v>Douglas</v>
      </c>
      <c r="C125" t="s">
        <v>60</v>
      </c>
      <c r="D125" t="s">
        <v>1497</v>
      </c>
      <c r="E125" s="45" t="str">
        <f t="shared" si="11"/>
        <v>Wright</v>
      </c>
      <c r="F125" s="45" t="str">
        <f t="shared" si="12"/>
        <v>Douglas M Wright</v>
      </c>
      <c r="G125" t="s">
        <v>264</v>
      </c>
      <c r="H125" t="str">
        <f t="shared" si="13"/>
        <v>Male</v>
      </c>
      <c r="I125" t="s">
        <v>2596</v>
      </c>
      <c r="J125" t="s">
        <v>2595</v>
      </c>
      <c r="K125" t="s">
        <v>95</v>
      </c>
      <c r="L125">
        <v>20772</v>
      </c>
      <c r="O125" t="s">
        <v>2594</v>
      </c>
      <c r="P125" s="45" t="str">
        <f t="shared" si="14"/>
        <v>hotmail</v>
      </c>
      <c r="Q125" t="s">
        <v>2593</v>
      </c>
      <c r="R125" s="45" t="str">
        <f t="shared" si="15"/>
        <v>301|627|9555</v>
      </c>
      <c r="S125" s="45" t="str">
        <f t="shared" si="16"/>
        <v>301</v>
      </c>
      <c r="T125" s="45" t="str">
        <f t="shared" si="17"/>
        <v>627</v>
      </c>
      <c r="U125" s="45" t="str">
        <f t="shared" si="18"/>
        <v>9555</v>
      </c>
      <c r="V125" s="2" t="s">
        <v>2592</v>
      </c>
      <c r="W125" s="45" t="str">
        <f t="shared" si="19"/>
        <v>6416</v>
      </c>
    </row>
    <row r="126" spans="1:23" x14ac:dyDescent="0.3">
      <c r="A126" t="s">
        <v>442</v>
      </c>
      <c r="B126" s="45" t="str">
        <f t="shared" si="10"/>
        <v>Christopher</v>
      </c>
      <c r="C126" t="s">
        <v>75</v>
      </c>
      <c r="D126" t="s">
        <v>768</v>
      </c>
      <c r="E126" s="45" t="str">
        <f t="shared" si="11"/>
        <v>Lane</v>
      </c>
      <c r="F126" s="45" t="str">
        <f t="shared" si="12"/>
        <v>Christopher B Lane</v>
      </c>
      <c r="G126" t="s">
        <v>264</v>
      </c>
      <c r="H126" t="str">
        <f t="shared" si="13"/>
        <v>Male</v>
      </c>
      <c r="I126" t="s">
        <v>2591</v>
      </c>
      <c r="J126" t="s">
        <v>2590</v>
      </c>
      <c r="K126" t="s">
        <v>111</v>
      </c>
      <c r="L126">
        <v>4958</v>
      </c>
      <c r="O126" t="s">
        <v>2589</v>
      </c>
      <c r="P126" s="45" t="str">
        <f t="shared" si="14"/>
        <v>aol</v>
      </c>
      <c r="Q126" t="s">
        <v>2588</v>
      </c>
      <c r="R126" s="45" t="str">
        <f t="shared" si="15"/>
        <v>207|566|8114</v>
      </c>
      <c r="S126" s="45" t="str">
        <f t="shared" si="16"/>
        <v>207</v>
      </c>
      <c r="T126" s="45" t="str">
        <f t="shared" si="17"/>
        <v>566</v>
      </c>
      <c r="U126" s="45" t="str">
        <f t="shared" si="18"/>
        <v>8114</v>
      </c>
      <c r="V126" s="2" t="s">
        <v>2587</v>
      </c>
      <c r="W126" s="45" t="str">
        <f t="shared" si="19"/>
        <v>132</v>
      </c>
    </row>
    <row r="127" spans="1:23" x14ac:dyDescent="0.3">
      <c r="A127" t="s">
        <v>1492</v>
      </c>
      <c r="B127" s="45" t="str">
        <f t="shared" si="10"/>
        <v>Monte</v>
      </c>
      <c r="C127" t="s">
        <v>65</v>
      </c>
      <c r="D127" t="s">
        <v>2586</v>
      </c>
      <c r="E127" s="45" t="str">
        <f t="shared" si="11"/>
        <v>Mellott</v>
      </c>
      <c r="F127" s="45" t="str">
        <f t="shared" si="12"/>
        <v>Monte K Mellott</v>
      </c>
      <c r="G127" t="s">
        <v>264</v>
      </c>
      <c r="H127" t="str">
        <f t="shared" si="13"/>
        <v>Male</v>
      </c>
      <c r="I127" t="s">
        <v>2585</v>
      </c>
      <c r="J127" t="s">
        <v>2584</v>
      </c>
      <c r="K127" t="s">
        <v>66</v>
      </c>
      <c r="L127">
        <v>76854</v>
      </c>
      <c r="O127" t="s">
        <v>2583</v>
      </c>
      <c r="P127" s="45" t="str">
        <f t="shared" si="14"/>
        <v>aol</v>
      </c>
      <c r="Q127" t="s">
        <v>2582</v>
      </c>
      <c r="R127" s="45" t="str">
        <f t="shared" si="15"/>
        <v>325|475|8182</v>
      </c>
      <c r="S127" s="45" t="str">
        <f t="shared" si="16"/>
        <v>325</v>
      </c>
      <c r="T127" s="45" t="str">
        <f t="shared" si="17"/>
        <v>475</v>
      </c>
      <c r="U127" s="45" t="str">
        <f t="shared" si="18"/>
        <v>8182</v>
      </c>
      <c r="V127" s="2" t="s">
        <v>2581</v>
      </c>
      <c r="W127" s="45" t="str">
        <f t="shared" si="19"/>
        <v>5240</v>
      </c>
    </row>
    <row r="128" spans="1:23" x14ac:dyDescent="0.3">
      <c r="A128" t="s">
        <v>2580</v>
      </c>
      <c r="B128" s="45" t="str">
        <f t="shared" si="10"/>
        <v>Leighann</v>
      </c>
      <c r="C128" t="s">
        <v>56</v>
      </c>
      <c r="D128" t="s">
        <v>2579</v>
      </c>
      <c r="E128" s="45" t="str">
        <f t="shared" si="11"/>
        <v>Mccorkle</v>
      </c>
      <c r="F128" s="45" t="str">
        <f t="shared" si="12"/>
        <v>Leighann J Mccorkle</v>
      </c>
      <c r="G128" t="s">
        <v>241</v>
      </c>
      <c r="H128" t="str">
        <f t="shared" si="13"/>
        <v>Female</v>
      </c>
      <c r="I128" t="s">
        <v>2578</v>
      </c>
      <c r="J128" t="s">
        <v>1023</v>
      </c>
      <c r="K128" t="s">
        <v>58</v>
      </c>
      <c r="L128">
        <v>92705</v>
      </c>
      <c r="O128" t="s">
        <v>2577</v>
      </c>
      <c r="P128" s="45" t="str">
        <f t="shared" si="14"/>
        <v>hotmail</v>
      </c>
      <c r="Q128" t="s">
        <v>2576</v>
      </c>
      <c r="R128" s="45" t="str">
        <f t="shared" si="15"/>
        <v>213|471|6747</v>
      </c>
      <c r="S128" s="45" t="str">
        <f t="shared" si="16"/>
        <v>213</v>
      </c>
      <c r="T128" s="45" t="str">
        <f t="shared" si="17"/>
        <v>471</v>
      </c>
      <c r="U128" s="45" t="str">
        <f t="shared" si="18"/>
        <v>6747</v>
      </c>
      <c r="V128" s="2" t="s">
        <v>2575</v>
      </c>
      <c r="W128" s="45" t="str">
        <f t="shared" si="19"/>
        <v>254</v>
      </c>
    </row>
    <row r="129" spans="1:23" x14ac:dyDescent="0.3">
      <c r="A129" t="s">
        <v>2574</v>
      </c>
      <c r="B129" s="45" t="str">
        <f t="shared" si="10"/>
        <v>Lester</v>
      </c>
      <c r="C129" t="s">
        <v>56</v>
      </c>
      <c r="D129" t="s">
        <v>2573</v>
      </c>
      <c r="E129" s="45" t="str">
        <f t="shared" si="11"/>
        <v>Baer</v>
      </c>
      <c r="F129" s="45" t="str">
        <f t="shared" si="12"/>
        <v>Lester J Baer</v>
      </c>
      <c r="G129" t="s">
        <v>264</v>
      </c>
      <c r="H129" t="str">
        <f t="shared" si="13"/>
        <v>Male</v>
      </c>
      <c r="I129" t="s">
        <v>2572</v>
      </c>
      <c r="J129" t="s">
        <v>2571</v>
      </c>
      <c r="K129" t="s">
        <v>82</v>
      </c>
      <c r="L129">
        <v>84321</v>
      </c>
      <c r="O129" t="s">
        <v>2570</v>
      </c>
      <c r="P129" s="45" t="str">
        <f t="shared" si="14"/>
        <v>aol</v>
      </c>
      <c r="Q129" t="s">
        <v>2569</v>
      </c>
      <c r="R129" s="45" t="str">
        <f t="shared" si="15"/>
        <v>435|757|3720</v>
      </c>
      <c r="S129" s="45" t="str">
        <f t="shared" si="16"/>
        <v>435</v>
      </c>
      <c r="T129" s="45" t="str">
        <f t="shared" si="17"/>
        <v>757</v>
      </c>
      <c r="U129" s="45" t="str">
        <f t="shared" si="18"/>
        <v>3720</v>
      </c>
      <c r="V129" s="2" t="s">
        <v>2568</v>
      </c>
      <c r="W129" s="45" t="str">
        <f t="shared" si="19"/>
        <v>9569</v>
      </c>
    </row>
    <row r="130" spans="1:23" x14ac:dyDescent="0.3">
      <c r="A130" t="s">
        <v>2567</v>
      </c>
      <c r="B130" s="45" t="str">
        <f t="shared" si="10"/>
        <v>Shani</v>
      </c>
      <c r="C130" t="s">
        <v>60</v>
      </c>
      <c r="D130" t="s">
        <v>1975</v>
      </c>
      <c r="E130" s="45" t="str">
        <f t="shared" si="11"/>
        <v>Hamilton</v>
      </c>
      <c r="F130" s="45" t="str">
        <f t="shared" si="12"/>
        <v>Shani M Hamilton</v>
      </c>
      <c r="G130" t="s">
        <v>241</v>
      </c>
      <c r="H130" t="str">
        <f t="shared" si="13"/>
        <v>Female</v>
      </c>
      <c r="I130" t="s">
        <v>2566</v>
      </c>
      <c r="J130" t="s">
        <v>2565</v>
      </c>
      <c r="K130" t="s">
        <v>109</v>
      </c>
      <c r="L130">
        <v>98626</v>
      </c>
      <c r="O130" t="s">
        <v>2564</v>
      </c>
      <c r="P130" s="45" t="str">
        <f t="shared" si="14"/>
        <v>hotmail</v>
      </c>
      <c r="Q130" t="s">
        <v>2563</v>
      </c>
      <c r="R130" s="45" t="str">
        <f t="shared" si="15"/>
        <v>360|749|8772</v>
      </c>
      <c r="S130" s="45" t="str">
        <f t="shared" si="16"/>
        <v>360</v>
      </c>
      <c r="T130" s="45" t="str">
        <f t="shared" si="17"/>
        <v>749</v>
      </c>
      <c r="U130" s="45" t="str">
        <f t="shared" si="18"/>
        <v>8772</v>
      </c>
      <c r="V130" s="2" t="s">
        <v>2562</v>
      </c>
      <c r="W130" s="45" t="str">
        <f t="shared" si="19"/>
        <v>3666</v>
      </c>
    </row>
    <row r="131" spans="1:23" x14ac:dyDescent="0.3">
      <c r="A131" t="s">
        <v>629</v>
      </c>
      <c r="B131" s="45" t="str">
        <f t="shared" ref="B131:B194" si="20">PROPER(A131)</f>
        <v>Leroy</v>
      </c>
      <c r="C131" t="s">
        <v>243</v>
      </c>
      <c r="D131" t="s">
        <v>2561</v>
      </c>
      <c r="E131" s="45" t="str">
        <f t="shared" ref="E131:E194" si="21">PROPER(D131)</f>
        <v>Carroll</v>
      </c>
      <c r="F131" s="45" t="str">
        <f t="shared" ref="F131:F194" si="22">_xlfn.CONCAT(B131," ",C131," ",E131)</f>
        <v>Leroy R Carroll</v>
      </c>
      <c r="G131" t="s">
        <v>264</v>
      </c>
      <c r="H131" t="str">
        <f t="shared" ref="H131:H194" si="23">PROPER(G131)</f>
        <v>Male</v>
      </c>
      <c r="I131" t="s">
        <v>2560</v>
      </c>
      <c r="J131" t="s">
        <v>626</v>
      </c>
      <c r="K131" t="s">
        <v>88</v>
      </c>
      <c r="L131">
        <v>45202</v>
      </c>
      <c r="O131" t="s">
        <v>2559</v>
      </c>
      <c r="P131" s="45" t="str">
        <f t="shared" ref="P131:P194" si="24">_xlfn.TEXTBEFORE(_xlfn.TEXTAFTER(O131,"@"),".")</f>
        <v>aol</v>
      </c>
      <c r="Q131" t="s">
        <v>2558</v>
      </c>
      <c r="R131" s="45" t="str">
        <f t="shared" ref="R131:R194" si="25">SUBSTITUTE(Q131,"-","|")</f>
        <v>513|579|4638</v>
      </c>
      <c r="S131" s="45" t="str">
        <f t="shared" ref="S131:S194" si="26">LEFT(R131,3)</f>
        <v>513</v>
      </c>
      <c r="T131" s="45" t="str">
        <f t="shared" ref="T131:T194" si="27">MID(R131,5,3)</f>
        <v>579</v>
      </c>
      <c r="U131" s="45" t="str">
        <f t="shared" ref="U131:U194" si="28">RIGHT(R131,4)</f>
        <v>4638</v>
      </c>
      <c r="V131" s="2" t="s">
        <v>2557</v>
      </c>
      <c r="W131" s="45" t="str">
        <f t="shared" ref="W131:W194" si="29">RIGHT(V131,LEN(V131)-FIND("-",V131))</f>
        <v>165</v>
      </c>
    </row>
    <row r="132" spans="1:23" x14ac:dyDescent="0.3">
      <c r="A132" t="s">
        <v>2085</v>
      </c>
      <c r="B132" s="45" t="str">
        <f t="shared" si="20"/>
        <v>Teresa</v>
      </c>
      <c r="C132" t="s">
        <v>81</v>
      </c>
      <c r="D132" t="s">
        <v>2556</v>
      </c>
      <c r="E132" s="45" t="str">
        <f t="shared" si="21"/>
        <v>Battin</v>
      </c>
      <c r="F132" s="45" t="str">
        <f t="shared" si="22"/>
        <v>Teresa A Battin</v>
      </c>
      <c r="G132" t="s">
        <v>241</v>
      </c>
      <c r="H132" t="str">
        <f t="shared" si="23"/>
        <v>Female</v>
      </c>
      <c r="I132" t="s">
        <v>2555</v>
      </c>
      <c r="J132" t="s">
        <v>2554</v>
      </c>
      <c r="K132" t="s">
        <v>95</v>
      </c>
      <c r="L132">
        <v>21601</v>
      </c>
      <c r="O132" t="s">
        <v>2553</v>
      </c>
      <c r="P132" s="45" t="str">
        <f t="shared" si="24"/>
        <v>aol</v>
      </c>
      <c r="Q132" t="s">
        <v>2552</v>
      </c>
      <c r="R132" s="45" t="str">
        <f t="shared" si="25"/>
        <v>410|820|1785</v>
      </c>
      <c r="S132" s="45" t="str">
        <f t="shared" si="26"/>
        <v>410</v>
      </c>
      <c r="T132" s="45" t="str">
        <f t="shared" si="27"/>
        <v>820</v>
      </c>
      <c r="U132" s="45" t="str">
        <f t="shared" si="28"/>
        <v>1785</v>
      </c>
      <c r="V132" s="2" t="s">
        <v>2551</v>
      </c>
      <c r="W132" s="45" t="str">
        <f t="shared" si="29"/>
        <v>541</v>
      </c>
    </row>
    <row r="133" spans="1:23" x14ac:dyDescent="0.3">
      <c r="A133" t="s">
        <v>1707</v>
      </c>
      <c r="B133" s="45" t="str">
        <f t="shared" si="20"/>
        <v>Gregory</v>
      </c>
      <c r="C133" t="s">
        <v>1011</v>
      </c>
      <c r="D133" t="s">
        <v>2550</v>
      </c>
      <c r="E133" s="45" t="str">
        <f t="shared" si="21"/>
        <v>Moore</v>
      </c>
      <c r="F133" s="45" t="str">
        <f t="shared" si="22"/>
        <v>Gregory V Moore</v>
      </c>
      <c r="G133" t="s">
        <v>264</v>
      </c>
      <c r="H133" t="str">
        <f t="shared" si="23"/>
        <v>Male</v>
      </c>
      <c r="I133" t="s">
        <v>2549</v>
      </c>
      <c r="J133" t="s">
        <v>985</v>
      </c>
      <c r="K133" t="s">
        <v>79</v>
      </c>
      <c r="L133">
        <v>33301</v>
      </c>
      <c r="O133" t="s">
        <v>2548</v>
      </c>
      <c r="P133" s="45" t="str">
        <f t="shared" si="24"/>
        <v>gmail</v>
      </c>
      <c r="Q133" t="s">
        <v>2547</v>
      </c>
      <c r="R133" s="45" t="str">
        <f t="shared" si="25"/>
        <v>954|762|9105</v>
      </c>
      <c r="S133" s="45" t="str">
        <f t="shared" si="26"/>
        <v>954</v>
      </c>
      <c r="T133" s="45" t="str">
        <f t="shared" si="27"/>
        <v>762</v>
      </c>
      <c r="U133" s="45" t="str">
        <f t="shared" si="28"/>
        <v>9105</v>
      </c>
      <c r="V133" s="2" t="s">
        <v>2546</v>
      </c>
      <c r="W133" s="45" t="str">
        <f t="shared" si="29"/>
        <v>036</v>
      </c>
    </row>
    <row r="134" spans="1:23" x14ac:dyDescent="0.3">
      <c r="A134" t="s">
        <v>2545</v>
      </c>
      <c r="B134" s="45" t="str">
        <f t="shared" si="20"/>
        <v>Faith</v>
      </c>
      <c r="C134" t="s">
        <v>56</v>
      </c>
      <c r="D134" t="s">
        <v>2544</v>
      </c>
      <c r="E134" s="45" t="str">
        <f t="shared" si="21"/>
        <v>Hagans</v>
      </c>
      <c r="F134" s="45" t="str">
        <f t="shared" si="22"/>
        <v>Faith J Hagans</v>
      </c>
      <c r="G134" t="s">
        <v>241</v>
      </c>
      <c r="H134" t="str">
        <f t="shared" si="23"/>
        <v>Female</v>
      </c>
      <c r="I134" t="s">
        <v>2543</v>
      </c>
      <c r="J134" t="s">
        <v>2542</v>
      </c>
      <c r="K134" t="s">
        <v>102</v>
      </c>
      <c r="L134">
        <v>50703</v>
      </c>
      <c r="O134" t="s">
        <v>2541</v>
      </c>
      <c r="P134" s="45" t="str">
        <f t="shared" si="24"/>
        <v>hotmail</v>
      </c>
      <c r="Q134" t="s">
        <v>2540</v>
      </c>
      <c r="R134" s="45" t="str">
        <f t="shared" si="25"/>
        <v>319|236|0382</v>
      </c>
      <c r="S134" s="45" t="str">
        <f t="shared" si="26"/>
        <v>319</v>
      </c>
      <c r="T134" s="45" t="str">
        <f t="shared" si="27"/>
        <v>236</v>
      </c>
      <c r="U134" s="45" t="str">
        <f t="shared" si="28"/>
        <v>0382</v>
      </c>
      <c r="V134" s="2" t="s">
        <v>2539</v>
      </c>
      <c r="W134" s="45" t="str">
        <f t="shared" si="29"/>
        <v>511</v>
      </c>
    </row>
    <row r="135" spans="1:23" x14ac:dyDescent="0.3">
      <c r="A135" t="s">
        <v>808</v>
      </c>
      <c r="B135" s="45" t="str">
        <f t="shared" si="20"/>
        <v>Michael</v>
      </c>
      <c r="C135" t="s">
        <v>81</v>
      </c>
      <c r="D135" t="s">
        <v>2538</v>
      </c>
      <c r="E135" s="45" t="str">
        <f t="shared" si="21"/>
        <v>Logsdon</v>
      </c>
      <c r="F135" s="45" t="str">
        <f t="shared" si="22"/>
        <v>Michael A Logsdon</v>
      </c>
      <c r="G135" t="s">
        <v>264</v>
      </c>
      <c r="H135" t="str">
        <f t="shared" si="23"/>
        <v>Male</v>
      </c>
      <c r="I135" t="s">
        <v>2537</v>
      </c>
      <c r="J135" t="s">
        <v>421</v>
      </c>
      <c r="K135" t="s">
        <v>58</v>
      </c>
      <c r="L135">
        <v>90066</v>
      </c>
      <c r="O135" t="s">
        <v>2536</v>
      </c>
      <c r="P135" s="45" t="str">
        <f t="shared" si="24"/>
        <v>aol</v>
      </c>
      <c r="Q135" t="s">
        <v>2535</v>
      </c>
      <c r="R135" s="45" t="str">
        <f t="shared" si="25"/>
        <v>310|313|9536</v>
      </c>
      <c r="S135" s="45" t="str">
        <f t="shared" si="26"/>
        <v>310</v>
      </c>
      <c r="T135" s="45" t="str">
        <f t="shared" si="27"/>
        <v>313</v>
      </c>
      <c r="U135" s="45" t="str">
        <f t="shared" si="28"/>
        <v>9536</v>
      </c>
      <c r="V135" s="2" t="s">
        <v>2534</v>
      </c>
      <c r="W135" s="45" t="str">
        <f t="shared" si="29"/>
        <v>549</v>
      </c>
    </row>
    <row r="136" spans="1:23" x14ac:dyDescent="0.3">
      <c r="A136" t="s">
        <v>668</v>
      </c>
      <c r="B136" s="45" t="str">
        <f t="shared" si="20"/>
        <v>Anthony</v>
      </c>
      <c r="C136" t="s">
        <v>62</v>
      </c>
      <c r="D136" t="s">
        <v>2533</v>
      </c>
      <c r="E136" s="45" t="str">
        <f t="shared" si="21"/>
        <v>Chavez</v>
      </c>
      <c r="F136" s="45" t="str">
        <f t="shared" si="22"/>
        <v>Anthony D Chavez</v>
      </c>
      <c r="G136" t="s">
        <v>264</v>
      </c>
      <c r="H136" t="str">
        <f t="shared" si="23"/>
        <v>Male</v>
      </c>
      <c r="I136" t="s">
        <v>2532</v>
      </c>
      <c r="J136" t="s">
        <v>2531</v>
      </c>
      <c r="K136" t="s">
        <v>57</v>
      </c>
      <c r="L136">
        <v>60005</v>
      </c>
      <c r="O136" t="s">
        <v>2530</v>
      </c>
      <c r="P136" s="45" t="str">
        <f t="shared" si="24"/>
        <v>aol</v>
      </c>
      <c r="Q136" t="s">
        <v>2529</v>
      </c>
      <c r="R136" s="45" t="str">
        <f t="shared" si="25"/>
        <v>708|398|9663</v>
      </c>
      <c r="S136" s="45" t="str">
        <f t="shared" si="26"/>
        <v>708</v>
      </c>
      <c r="T136" s="45" t="str">
        <f t="shared" si="27"/>
        <v>398</v>
      </c>
      <c r="U136" s="45" t="str">
        <f t="shared" si="28"/>
        <v>9663</v>
      </c>
      <c r="V136" s="2" t="s">
        <v>2528</v>
      </c>
      <c r="W136" s="45" t="str">
        <f t="shared" si="29"/>
        <v>165</v>
      </c>
    </row>
    <row r="137" spans="1:23" x14ac:dyDescent="0.3">
      <c r="A137" t="s">
        <v>2527</v>
      </c>
      <c r="B137" s="45" t="str">
        <f t="shared" si="20"/>
        <v>Amanda</v>
      </c>
      <c r="C137" t="s">
        <v>77</v>
      </c>
      <c r="D137" t="s">
        <v>2526</v>
      </c>
      <c r="E137" s="45" t="str">
        <f t="shared" si="21"/>
        <v>Milano</v>
      </c>
      <c r="F137" s="45" t="str">
        <f t="shared" si="22"/>
        <v>Amanda C Milano</v>
      </c>
      <c r="G137" t="s">
        <v>241</v>
      </c>
      <c r="H137" t="str">
        <f t="shared" si="23"/>
        <v>Female</v>
      </c>
      <c r="I137" t="s">
        <v>2525</v>
      </c>
      <c r="J137" t="s">
        <v>2524</v>
      </c>
      <c r="K137" t="s">
        <v>66</v>
      </c>
      <c r="L137">
        <v>78741</v>
      </c>
      <c r="O137" t="s">
        <v>2523</v>
      </c>
      <c r="P137" s="45" t="str">
        <f t="shared" si="24"/>
        <v>aol</v>
      </c>
      <c r="Q137" t="s">
        <v>2522</v>
      </c>
      <c r="R137" s="45" t="str">
        <f t="shared" si="25"/>
        <v>512|439|0332</v>
      </c>
      <c r="S137" s="45" t="str">
        <f t="shared" si="26"/>
        <v>512</v>
      </c>
      <c r="T137" s="45" t="str">
        <f t="shared" si="27"/>
        <v>439</v>
      </c>
      <c r="U137" s="45" t="str">
        <f t="shared" si="28"/>
        <v>0332</v>
      </c>
      <c r="V137" s="2" t="s">
        <v>2521</v>
      </c>
      <c r="W137" s="45" t="str">
        <f t="shared" si="29"/>
        <v>0157</v>
      </c>
    </row>
    <row r="138" spans="1:23" x14ac:dyDescent="0.3">
      <c r="A138" t="s">
        <v>2520</v>
      </c>
      <c r="B138" s="45" t="str">
        <f t="shared" si="20"/>
        <v>Shayna</v>
      </c>
      <c r="C138" t="s">
        <v>75</v>
      </c>
      <c r="D138" t="s">
        <v>2519</v>
      </c>
      <c r="E138" s="45" t="str">
        <f t="shared" si="21"/>
        <v>German</v>
      </c>
      <c r="F138" s="45" t="str">
        <f t="shared" si="22"/>
        <v>Shayna B German</v>
      </c>
      <c r="G138" t="s">
        <v>241</v>
      </c>
      <c r="H138" t="str">
        <f t="shared" si="23"/>
        <v>Female</v>
      </c>
      <c r="I138" t="s">
        <v>2518</v>
      </c>
      <c r="J138" t="s">
        <v>2517</v>
      </c>
      <c r="K138" t="s">
        <v>73</v>
      </c>
      <c r="L138">
        <v>53703</v>
      </c>
      <c r="O138" t="s">
        <v>2516</v>
      </c>
      <c r="P138" s="45" t="str">
        <f t="shared" si="24"/>
        <v>aol</v>
      </c>
      <c r="Q138" t="s">
        <v>2515</v>
      </c>
      <c r="R138" s="45" t="str">
        <f t="shared" si="25"/>
        <v>608|646|8991</v>
      </c>
      <c r="S138" s="45" t="str">
        <f t="shared" si="26"/>
        <v>608</v>
      </c>
      <c r="T138" s="45" t="str">
        <f t="shared" si="27"/>
        <v>646</v>
      </c>
      <c r="U138" s="45" t="str">
        <f t="shared" si="28"/>
        <v>8991</v>
      </c>
      <c r="V138" s="2" t="s">
        <v>2514</v>
      </c>
      <c r="W138" s="45" t="str">
        <f t="shared" si="29"/>
        <v>993</v>
      </c>
    </row>
    <row r="139" spans="1:23" x14ac:dyDescent="0.3">
      <c r="A139" t="s">
        <v>464</v>
      </c>
      <c r="B139" s="45" t="str">
        <f t="shared" si="20"/>
        <v>Barbara</v>
      </c>
      <c r="C139" t="s">
        <v>243</v>
      </c>
      <c r="D139" t="s">
        <v>1163</v>
      </c>
      <c r="E139" s="45" t="str">
        <f t="shared" si="21"/>
        <v>Hansen</v>
      </c>
      <c r="F139" s="45" t="str">
        <f t="shared" si="22"/>
        <v>Barbara R Hansen</v>
      </c>
      <c r="G139" t="s">
        <v>241</v>
      </c>
      <c r="H139" t="str">
        <f t="shared" si="23"/>
        <v>Female</v>
      </c>
      <c r="I139" t="s">
        <v>2513</v>
      </c>
      <c r="J139" t="s">
        <v>2512</v>
      </c>
      <c r="K139" t="s">
        <v>79</v>
      </c>
      <c r="L139">
        <v>33901</v>
      </c>
      <c r="O139" t="s">
        <v>2511</v>
      </c>
      <c r="P139" s="45" t="str">
        <f t="shared" si="24"/>
        <v>aol</v>
      </c>
      <c r="Q139" t="s">
        <v>2510</v>
      </c>
      <c r="R139" s="45" t="str">
        <f t="shared" si="25"/>
        <v>239|331|9668</v>
      </c>
      <c r="S139" s="45" t="str">
        <f t="shared" si="26"/>
        <v>239</v>
      </c>
      <c r="T139" s="45" t="str">
        <f t="shared" si="27"/>
        <v>331</v>
      </c>
      <c r="U139" s="45" t="str">
        <f t="shared" si="28"/>
        <v>9668</v>
      </c>
      <c r="V139" s="2" t="s">
        <v>2509</v>
      </c>
      <c r="W139" s="45" t="str">
        <f t="shared" si="29"/>
        <v>4117</v>
      </c>
    </row>
    <row r="140" spans="1:23" x14ac:dyDescent="0.3">
      <c r="A140" t="s">
        <v>1671</v>
      </c>
      <c r="B140" s="45" t="str">
        <f t="shared" si="20"/>
        <v>Kenneth</v>
      </c>
      <c r="C140" t="s">
        <v>1011</v>
      </c>
      <c r="D140" t="s">
        <v>2508</v>
      </c>
      <c r="E140" s="45" t="str">
        <f t="shared" si="21"/>
        <v>Kirby</v>
      </c>
      <c r="F140" s="45" t="str">
        <f t="shared" si="22"/>
        <v>Kenneth V Kirby</v>
      </c>
      <c r="G140" t="s">
        <v>264</v>
      </c>
      <c r="H140" t="str">
        <f t="shared" si="23"/>
        <v>Male</v>
      </c>
      <c r="I140" t="s">
        <v>2507</v>
      </c>
      <c r="J140" t="s">
        <v>1777</v>
      </c>
      <c r="K140" t="s">
        <v>89</v>
      </c>
      <c r="L140">
        <v>55401</v>
      </c>
      <c r="O140" t="s">
        <v>2506</v>
      </c>
      <c r="P140" s="45" t="str">
        <f t="shared" si="24"/>
        <v>hotmail</v>
      </c>
      <c r="Q140" t="s">
        <v>2505</v>
      </c>
      <c r="R140" s="45" t="str">
        <f t="shared" si="25"/>
        <v>651|691|3565</v>
      </c>
      <c r="S140" s="45" t="str">
        <f t="shared" si="26"/>
        <v>651</v>
      </c>
      <c r="T140" s="45" t="str">
        <f t="shared" si="27"/>
        <v>691</v>
      </c>
      <c r="U140" s="45" t="str">
        <f t="shared" si="28"/>
        <v>3565</v>
      </c>
      <c r="V140" s="2" t="s">
        <v>2504</v>
      </c>
      <c r="W140" s="45" t="str">
        <f t="shared" si="29"/>
        <v>778</v>
      </c>
    </row>
    <row r="141" spans="1:23" x14ac:dyDescent="0.3">
      <c r="A141" t="s">
        <v>563</v>
      </c>
      <c r="B141" s="45" t="str">
        <f t="shared" si="20"/>
        <v>James</v>
      </c>
      <c r="C141" t="s">
        <v>91</v>
      </c>
      <c r="D141" t="s">
        <v>2503</v>
      </c>
      <c r="E141" s="45" t="str">
        <f t="shared" si="21"/>
        <v>Pettigrew</v>
      </c>
      <c r="F141" s="45" t="str">
        <f t="shared" si="22"/>
        <v>James L Pettigrew</v>
      </c>
      <c r="G141" t="s">
        <v>264</v>
      </c>
      <c r="H141" t="str">
        <f t="shared" si="23"/>
        <v>Male</v>
      </c>
      <c r="I141" t="s">
        <v>2502</v>
      </c>
      <c r="J141" t="s">
        <v>2501</v>
      </c>
      <c r="K141" t="s">
        <v>109</v>
      </c>
      <c r="L141">
        <v>98168</v>
      </c>
      <c r="O141" t="s">
        <v>2500</v>
      </c>
      <c r="P141" s="45" t="str">
        <f t="shared" si="24"/>
        <v>gmail</v>
      </c>
      <c r="Q141" t="s">
        <v>2499</v>
      </c>
      <c r="R141" s="45" t="str">
        <f t="shared" si="25"/>
        <v>206|244|9336</v>
      </c>
      <c r="S141" s="45" t="str">
        <f t="shared" si="26"/>
        <v>206</v>
      </c>
      <c r="T141" s="45" t="str">
        <f t="shared" si="27"/>
        <v>244</v>
      </c>
      <c r="U141" s="45" t="str">
        <f t="shared" si="28"/>
        <v>9336</v>
      </c>
      <c r="V141" s="2" t="s">
        <v>2498</v>
      </c>
      <c r="W141" s="45" t="str">
        <f t="shared" si="29"/>
        <v>718</v>
      </c>
    </row>
    <row r="142" spans="1:23" x14ac:dyDescent="0.3">
      <c r="A142" t="s">
        <v>2497</v>
      </c>
      <c r="B142" s="45" t="str">
        <f t="shared" si="20"/>
        <v>Roger</v>
      </c>
      <c r="C142" t="s">
        <v>60</v>
      </c>
      <c r="D142" t="s">
        <v>1297</v>
      </c>
      <c r="E142" s="45" t="str">
        <f t="shared" si="21"/>
        <v>Green</v>
      </c>
      <c r="F142" s="45" t="str">
        <f t="shared" si="22"/>
        <v>Roger M Green</v>
      </c>
      <c r="G142" t="s">
        <v>264</v>
      </c>
      <c r="H142" t="str">
        <f t="shared" si="23"/>
        <v>Male</v>
      </c>
      <c r="I142" t="s">
        <v>2496</v>
      </c>
      <c r="J142" t="s">
        <v>2495</v>
      </c>
      <c r="K142" t="s">
        <v>112</v>
      </c>
      <c r="L142">
        <v>29059</v>
      </c>
      <c r="O142" t="s">
        <v>2494</v>
      </c>
      <c r="P142" s="45" t="str">
        <f t="shared" si="24"/>
        <v>hotmail</v>
      </c>
      <c r="Q142" t="s">
        <v>2493</v>
      </c>
      <c r="R142" s="45" t="str">
        <f t="shared" si="25"/>
        <v>803|496|2792</v>
      </c>
      <c r="S142" s="45" t="str">
        <f t="shared" si="26"/>
        <v>803</v>
      </c>
      <c r="T142" s="45" t="str">
        <f t="shared" si="27"/>
        <v>496</v>
      </c>
      <c r="U142" s="45" t="str">
        <f t="shared" si="28"/>
        <v>2792</v>
      </c>
      <c r="V142" s="2" t="s">
        <v>2492</v>
      </c>
      <c r="W142" s="45" t="str">
        <f t="shared" si="29"/>
        <v>875</v>
      </c>
    </row>
    <row r="143" spans="1:23" x14ac:dyDescent="0.3">
      <c r="A143" t="s">
        <v>411</v>
      </c>
      <c r="B143" s="45" t="str">
        <f t="shared" si="20"/>
        <v>Joseph</v>
      </c>
      <c r="C143" t="s">
        <v>77</v>
      </c>
      <c r="D143" t="s">
        <v>944</v>
      </c>
      <c r="E143" s="45" t="str">
        <f t="shared" si="21"/>
        <v>Roberts</v>
      </c>
      <c r="F143" s="45" t="str">
        <f t="shared" si="22"/>
        <v>Joseph C Roberts</v>
      </c>
      <c r="G143" t="s">
        <v>264</v>
      </c>
      <c r="H143" t="str">
        <f t="shared" si="23"/>
        <v>Male</v>
      </c>
      <c r="I143" t="s">
        <v>2491</v>
      </c>
      <c r="J143" t="s">
        <v>2490</v>
      </c>
      <c r="K143" t="s">
        <v>68</v>
      </c>
      <c r="L143">
        <v>14006</v>
      </c>
      <c r="O143" t="s">
        <v>2489</v>
      </c>
      <c r="P143" s="45" t="str">
        <f t="shared" si="24"/>
        <v>aol</v>
      </c>
      <c r="Q143" t="s">
        <v>2488</v>
      </c>
      <c r="R143" s="45" t="str">
        <f t="shared" si="25"/>
        <v>716|549|1195</v>
      </c>
      <c r="S143" s="45" t="str">
        <f t="shared" si="26"/>
        <v>716</v>
      </c>
      <c r="T143" s="45" t="str">
        <f t="shared" si="27"/>
        <v>549</v>
      </c>
      <c r="U143" s="45" t="str">
        <f t="shared" si="28"/>
        <v>1195</v>
      </c>
      <c r="V143" s="2" t="s">
        <v>2487</v>
      </c>
      <c r="W143" s="45" t="str">
        <f t="shared" si="29"/>
        <v>9995</v>
      </c>
    </row>
    <row r="144" spans="1:23" x14ac:dyDescent="0.3">
      <c r="A144" t="s">
        <v>2250</v>
      </c>
      <c r="B144" s="45" t="str">
        <f t="shared" si="20"/>
        <v>Heidi</v>
      </c>
      <c r="C144" t="s">
        <v>93</v>
      </c>
      <c r="D144" t="s">
        <v>2486</v>
      </c>
      <c r="E144" s="45" t="str">
        <f t="shared" si="21"/>
        <v>Sinquefield</v>
      </c>
      <c r="F144" s="45" t="str">
        <f t="shared" si="22"/>
        <v>Heidi G Sinquefield</v>
      </c>
      <c r="G144" t="s">
        <v>241</v>
      </c>
      <c r="H144" t="str">
        <f t="shared" si="23"/>
        <v>Female</v>
      </c>
      <c r="I144" t="s">
        <v>2485</v>
      </c>
      <c r="J144" t="s">
        <v>2484</v>
      </c>
      <c r="K144" t="s">
        <v>94</v>
      </c>
      <c r="L144">
        <v>85701</v>
      </c>
      <c r="O144" t="s">
        <v>2483</v>
      </c>
      <c r="P144" s="45" t="str">
        <f t="shared" si="24"/>
        <v>gmail</v>
      </c>
      <c r="Q144" t="s">
        <v>2482</v>
      </c>
      <c r="R144" s="45" t="str">
        <f t="shared" si="25"/>
        <v>520|226|6462</v>
      </c>
      <c r="S144" s="45" t="str">
        <f t="shared" si="26"/>
        <v>520</v>
      </c>
      <c r="T144" s="45" t="str">
        <f t="shared" si="27"/>
        <v>226</v>
      </c>
      <c r="U144" s="45" t="str">
        <f t="shared" si="28"/>
        <v>6462</v>
      </c>
      <c r="V144" s="2" t="s">
        <v>2481</v>
      </c>
      <c r="W144" s="45" t="str">
        <f t="shared" si="29"/>
        <v>1580</v>
      </c>
    </row>
    <row r="145" spans="1:23" x14ac:dyDescent="0.3">
      <c r="A145" t="s">
        <v>383</v>
      </c>
      <c r="B145" s="45" t="str">
        <f t="shared" si="20"/>
        <v>Sam</v>
      </c>
      <c r="C145" t="s">
        <v>65</v>
      </c>
      <c r="D145" t="s">
        <v>1087</v>
      </c>
      <c r="E145" s="45" t="str">
        <f t="shared" si="21"/>
        <v>Hughes</v>
      </c>
      <c r="F145" s="45" t="str">
        <f t="shared" si="22"/>
        <v>Sam K Hughes</v>
      </c>
      <c r="G145" t="s">
        <v>264</v>
      </c>
      <c r="H145" t="str">
        <f t="shared" si="23"/>
        <v>Male</v>
      </c>
      <c r="I145" t="s">
        <v>2480</v>
      </c>
      <c r="J145" t="s">
        <v>2479</v>
      </c>
      <c r="K145" t="s">
        <v>112</v>
      </c>
      <c r="L145">
        <v>29706</v>
      </c>
      <c r="O145" t="s">
        <v>2478</v>
      </c>
      <c r="P145" s="45" t="str">
        <f t="shared" si="24"/>
        <v>gmail</v>
      </c>
      <c r="Q145" t="s">
        <v>2477</v>
      </c>
      <c r="R145" s="45" t="str">
        <f t="shared" si="25"/>
        <v>803|377|7264</v>
      </c>
      <c r="S145" s="45" t="str">
        <f t="shared" si="26"/>
        <v>803</v>
      </c>
      <c r="T145" s="45" t="str">
        <f t="shared" si="27"/>
        <v>377</v>
      </c>
      <c r="U145" s="45" t="str">
        <f t="shared" si="28"/>
        <v>7264</v>
      </c>
      <c r="V145" s="2" t="s">
        <v>2476</v>
      </c>
      <c r="W145" s="45" t="str">
        <f t="shared" si="29"/>
        <v>1384</v>
      </c>
    </row>
    <row r="146" spans="1:23" x14ac:dyDescent="0.3">
      <c r="A146" t="s">
        <v>2469</v>
      </c>
      <c r="B146" s="45" t="str">
        <f t="shared" si="20"/>
        <v>Milton</v>
      </c>
      <c r="C146" t="s">
        <v>361</v>
      </c>
      <c r="D146" t="s">
        <v>1677</v>
      </c>
      <c r="E146" s="45" t="str">
        <f t="shared" si="21"/>
        <v>Brown</v>
      </c>
      <c r="F146" s="45" t="str">
        <f t="shared" si="22"/>
        <v>Milton T Brown</v>
      </c>
      <c r="G146" t="s">
        <v>264</v>
      </c>
      <c r="H146" t="str">
        <f t="shared" si="23"/>
        <v>Male</v>
      </c>
      <c r="I146" t="s">
        <v>2475</v>
      </c>
      <c r="J146" t="s">
        <v>2474</v>
      </c>
      <c r="K146" t="s">
        <v>92</v>
      </c>
      <c r="L146">
        <v>62220</v>
      </c>
      <c r="O146" t="s">
        <v>2473</v>
      </c>
      <c r="P146" s="45" t="str">
        <f t="shared" si="24"/>
        <v>aol</v>
      </c>
      <c r="Q146" t="s">
        <v>2472</v>
      </c>
      <c r="R146" s="45" t="str">
        <f t="shared" si="25"/>
        <v>636|323|3267</v>
      </c>
      <c r="S146" s="45" t="str">
        <f t="shared" si="26"/>
        <v>636</v>
      </c>
      <c r="T146" s="45" t="str">
        <f t="shared" si="27"/>
        <v>323</v>
      </c>
      <c r="U146" s="45" t="str">
        <f t="shared" si="28"/>
        <v>3267</v>
      </c>
      <c r="V146" s="2" t="s">
        <v>2471</v>
      </c>
      <c r="W146" s="45" t="str">
        <f t="shared" si="29"/>
        <v>502</v>
      </c>
    </row>
    <row r="147" spans="1:23" x14ac:dyDescent="0.3">
      <c r="A147" t="s">
        <v>2470</v>
      </c>
      <c r="B147" s="45" t="str">
        <f t="shared" si="20"/>
        <v>Audrey</v>
      </c>
      <c r="C147" t="s">
        <v>60</v>
      </c>
      <c r="D147" t="s">
        <v>2469</v>
      </c>
      <c r="E147" s="45" t="str">
        <f t="shared" si="21"/>
        <v>Milton</v>
      </c>
      <c r="F147" s="45" t="str">
        <f t="shared" si="22"/>
        <v>Audrey M Milton</v>
      </c>
      <c r="G147" t="s">
        <v>241</v>
      </c>
      <c r="H147" t="str">
        <f t="shared" si="23"/>
        <v>Female</v>
      </c>
      <c r="I147" t="s">
        <v>2468</v>
      </c>
      <c r="J147" t="s">
        <v>2467</v>
      </c>
      <c r="K147" t="s">
        <v>109</v>
      </c>
      <c r="L147">
        <v>98402</v>
      </c>
      <c r="O147" t="s">
        <v>2466</v>
      </c>
      <c r="P147" s="45" t="str">
        <f t="shared" si="24"/>
        <v>gmail</v>
      </c>
      <c r="Q147" t="s">
        <v>2465</v>
      </c>
      <c r="R147" s="45" t="str">
        <f t="shared" si="25"/>
        <v>253|732|8965</v>
      </c>
      <c r="S147" s="45" t="str">
        <f t="shared" si="26"/>
        <v>253</v>
      </c>
      <c r="T147" s="45" t="str">
        <f t="shared" si="27"/>
        <v>732</v>
      </c>
      <c r="U147" s="45" t="str">
        <f t="shared" si="28"/>
        <v>8965</v>
      </c>
      <c r="V147" s="2" t="s">
        <v>2464</v>
      </c>
      <c r="W147" s="45" t="str">
        <f t="shared" si="29"/>
        <v>441</v>
      </c>
    </row>
    <row r="148" spans="1:23" x14ac:dyDescent="0.3">
      <c r="A148" t="s">
        <v>2463</v>
      </c>
      <c r="B148" s="45" t="str">
        <f t="shared" si="20"/>
        <v>Diana</v>
      </c>
      <c r="C148" t="s">
        <v>56</v>
      </c>
      <c r="D148" t="s">
        <v>2462</v>
      </c>
      <c r="E148" s="45" t="str">
        <f t="shared" si="21"/>
        <v>Hancock</v>
      </c>
      <c r="F148" s="45" t="str">
        <f t="shared" si="22"/>
        <v>Diana J Hancock</v>
      </c>
      <c r="G148" t="s">
        <v>241</v>
      </c>
      <c r="H148" t="str">
        <f t="shared" si="23"/>
        <v>Female</v>
      </c>
      <c r="I148" t="s">
        <v>2461</v>
      </c>
      <c r="J148" t="s">
        <v>2460</v>
      </c>
      <c r="K148" t="s">
        <v>76</v>
      </c>
      <c r="L148">
        <v>38259</v>
      </c>
      <c r="O148" t="s">
        <v>2459</v>
      </c>
      <c r="P148" s="45" t="str">
        <f t="shared" si="24"/>
        <v>hotmail</v>
      </c>
      <c r="Q148" t="s">
        <v>2458</v>
      </c>
      <c r="R148" s="45" t="str">
        <f t="shared" si="25"/>
        <v>731|297|1255</v>
      </c>
      <c r="S148" s="45" t="str">
        <f t="shared" si="26"/>
        <v>731</v>
      </c>
      <c r="T148" s="45" t="str">
        <f t="shared" si="27"/>
        <v>297</v>
      </c>
      <c r="U148" s="45" t="str">
        <f t="shared" si="28"/>
        <v>1255</v>
      </c>
      <c r="V148" s="2" t="s">
        <v>2457</v>
      </c>
      <c r="W148" s="45" t="str">
        <f t="shared" si="29"/>
        <v>995</v>
      </c>
    </row>
    <row r="149" spans="1:23" x14ac:dyDescent="0.3">
      <c r="A149" t="s">
        <v>2456</v>
      </c>
      <c r="B149" s="45" t="str">
        <f t="shared" si="20"/>
        <v>Carmella</v>
      </c>
      <c r="C149" t="s">
        <v>77</v>
      </c>
      <c r="D149" t="s">
        <v>2455</v>
      </c>
      <c r="E149" s="45" t="str">
        <f t="shared" si="21"/>
        <v>Mora</v>
      </c>
      <c r="F149" s="45" t="str">
        <f t="shared" si="22"/>
        <v>Carmella C Mora</v>
      </c>
      <c r="G149" t="s">
        <v>241</v>
      </c>
      <c r="H149" t="str">
        <f t="shared" si="23"/>
        <v>Female</v>
      </c>
      <c r="I149" t="s">
        <v>2454</v>
      </c>
      <c r="J149" t="s">
        <v>2453</v>
      </c>
      <c r="K149" t="s">
        <v>66</v>
      </c>
      <c r="L149">
        <v>75040</v>
      </c>
      <c r="O149" t="s">
        <v>2452</v>
      </c>
      <c r="P149" s="45" t="str">
        <f t="shared" si="24"/>
        <v>aol</v>
      </c>
      <c r="Q149" t="s">
        <v>2451</v>
      </c>
      <c r="R149" s="45" t="str">
        <f t="shared" si="25"/>
        <v>972|485|7316</v>
      </c>
      <c r="S149" s="45" t="str">
        <f t="shared" si="26"/>
        <v>972</v>
      </c>
      <c r="T149" s="45" t="str">
        <f t="shared" si="27"/>
        <v>485</v>
      </c>
      <c r="U149" s="45" t="str">
        <f t="shared" si="28"/>
        <v>7316</v>
      </c>
      <c r="V149" s="2" t="s">
        <v>2450</v>
      </c>
      <c r="W149" s="45" t="str">
        <f t="shared" si="29"/>
        <v>199</v>
      </c>
    </row>
    <row r="150" spans="1:23" x14ac:dyDescent="0.3">
      <c r="A150" t="s">
        <v>2449</v>
      </c>
      <c r="B150" s="45" t="str">
        <f t="shared" si="20"/>
        <v>Allison</v>
      </c>
      <c r="C150" t="s">
        <v>108</v>
      </c>
      <c r="D150" t="s">
        <v>2448</v>
      </c>
      <c r="E150" s="45" t="str">
        <f t="shared" si="21"/>
        <v>Patton</v>
      </c>
      <c r="F150" s="45" t="str">
        <f t="shared" si="22"/>
        <v>Allison I Patton</v>
      </c>
      <c r="G150" t="s">
        <v>241</v>
      </c>
      <c r="H150" t="str">
        <f t="shared" si="23"/>
        <v>Female</v>
      </c>
      <c r="I150" t="s">
        <v>2447</v>
      </c>
      <c r="J150" t="s">
        <v>2446</v>
      </c>
      <c r="K150" t="s">
        <v>101</v>
      </c>
      <c r="L150">
        <v>15205</v>
      </c>
      <c r="O150" t="s">
        <v>2445</v>
      </c>
      <c r="P150" s="45" t="str">
        <f t="shared" si="24"/>
        <v>aol</v>
      </c>
      <c r="Q150" t="s">
        <v>2444</v>
      </c>
      <c r="R150" s="45" t="str">
        <f t="shared" si="25"/>
        <v>724|263|7131</v>
      </c>
      <c r="S150" s="45" t="str">
        <f t="shared" si="26"/>
        <v>724</v>
      </c>
      <c r="T150" s="45" t="str">
        <f t="shared" si="27"/>
        <v>263</v>
      </c>
      <c r="U150" s="45" t="str">
        <f t="shared" si="28"/>
        <v>7131</v>
      </c>
      <c r="V150" s="2" t="s">
        <v>2443</v>
      </c>
      <c r="W150" s="45" t="str">
        <f t="shared" si="29"/>
        <v>797</v>
      </c>
    </row>
    <row r="151" spans="1:23" x14ac:dyDescent="0.3">
      <c r="A151" t="s">
        <v>756</v>
      </c>
      <c r="B151" s="45" t="str">
        <f t="shared" si="20"/>
        <v>Robert</v>
      </c>
      <c r="C151" t="s">
        <v>266</v>
      </c>
      <c r="D151" t="s">
        <v>2442</v>
      </c>
      <c r="E151" s="45" t="str">
        <f t="shared" si="21"/>
        <v>Thurman</v>
      </c>
      <c r="F151" s="45" t="str">
        <f t="shared" si="22"/>
        <v>Robert S Thurman</v>
      </c>
      <c r="G151" t="s">
        <v>264</v>
      </c>
      <c r="H151" t="str">
        <f t="shared" si="23"/>
        <v>Male</v>
      </c>
      <c r="I151" t="s">
        <v>2441</v>
      </c>
      <c r="J151" t="s">
        <v>54</v>
      </c>
      <c r="K151" t="s">
        <v>74</v>
      </c>
      <c r="L151">
        <v>49548</v>
      </c>
      <c r="O151" t="s">
        <v>2440</v>
      </c>
      <c r="P151" s="45" t="str">
        <f t="shared" si="24"/>
        <v>aol</v>
      </c>
      <c r="Q151" t="s">
        <v>2439</v>
      </c>
      <c r="R151" s="45" t="str">
        <f t="shared" si="25"/>
        <v>616|510|1257</v>
      </c>
      <c r="S151" s="45" t="str">
        <f t="shared" si="26"/>
        <v>616</v>
      </c>
      <c r="T151" s="45" t="str">
        <f t="shared" si="27"/>
        <v>510</v>
      </c>
      <c r="U151" s="45" t="str">
        <f t="shared" si="28"/>
        <v>1257</v>
      </c>
      <c r="V151" s="2" t="s">
        <v>2438</v>
      </c>
      <c r="W151" s="45" t="str">
        <f t="shared" si="29"/>
        <v>485</v>
      </c>
    </row>
    <row r="152" spans="1:23" x14ac:dyDescent="0.3">
      <c r="A152" t="s">
        <v>2437</v>
      </c>
      <c r="B152" s="45" t="str">
        <f t="shared" si="20"/>
        <v>Meredith</v>
      </c>
      <c r="C152" t="s">
        <v>56</v>
      </c>
      <c r="D152" t="s">
        <v>2436</v>
      </c>
      <c r="E152" s="45" t="str">
        <f t="shared" si="21"/>
        <v>Bailey</v>
      </c>
      <c r="F152" s="45" t="str">
        <f t="shared" si="22"/>
        <v>Meredith J Bailey</v>
      </c>
      <c r="G152" t="s">
        <v>241</v>
      </c>
      <c r="H152" t="str">
        <f t="shared" si="23"/>
        <v>Female</v>
      </c>
      <c r="I152" t="s">
        <v>2435</v>
      </c>
      <c r="J152" t="s">
        <v>2434</v>
      </c>
      <c r="K152" t="s">
        <v>61</v>
      </c>
      <c r="L152">
        <v>24382</v>
      </c>
      <c r="O152" t="s">
        <v>2433</v>
      </c>
      <c r="P152" s="45" t="str">
        <f t="shared" si="24"/>
        <v>gmail</v>
      </c>
      <c r="Q152" t="s">
        <v>2432</v>
      </c>
      <c r="R152" s="45" t="str">
        <f t="shared" si="25"/>
        <v>276|617|4436</v>
      </c>
      <c r="S152" s="45" t="str">
        <f t="shared" si="26"/>
        <v>276</v>
      </c>
      <c r="T152" s="45" t="str">
        <f t="shared" si="27"/>
        <v>617</v>
      </c>
      <c r="U152" s="45" t="str">
        <f t="shared" si="28"/>
        <v>4436</v>
      </c>
      <c r="V152" s="2" t="s">
        <v>2431</v>
      </c>
      <c r="W152" s="45" t="str">
        <f t="shared" si="29"/>
        <v>678</v>
      </c>
    </row>
    <row r="153" spans="1:23" x14ac:dyDescent="0.3">
      <c r="A153" t="s">
        <v>2270</v>
      </c>
      <c r="B153" s="45" t="str">
        <f t="shared" si="20"/>
        <v>Maria</v>
      </c>
      <c r="C153" t="s">
        <v>70</v>
      </c>
      <c r="D153" t="s">
        <v>2430</v>
      </c>
      <c r="E153" s="45" t="str">
        <f t="shared" si="21"/>
        <v>Neal</v>
      </c>
      <c r="F153" s="45" t="str">
        <f t="shared" si="22"/>
        <v>Maria F Neal</v>
      </c>
      <c r="G153" t="s">
        <v>241</v>
      </c>
      <c r="H153" t="str">
        <f t="shared" si="23"/>
        <v>Female</v>
      </c>
      <c r="I153" t="s">
        <v>2429</v>
      </c>
      <c r="J153" t="s">
        <v>2428</v>
      </c>
      <c r="K153" t="s">
        <v>79</v>
      </c>
      <c r="L153">
        <v>32750</v>
      </c>
      <c r="O153" t="s">
        <v>2427</v>
      </c>
      <c r="P153" s="45" t="str">
        <f t="shared" si="24"/>
        <v>hotmail</v>
      </c>
      <c r="Q153" t="s">
        <v>2426</v>
      </c>
      <c r="R153" s="45" t="str">
        <f t="shared" si="25"/>
        <v>407|832|6664</v>
      </c>
      <c r="S153" s="45" t="str">
        <f t="shared" si="26"/>
        <v>407</v>
      </c>
      <c r="T153" s="45" t="str">
        <f t="shared" si="27"/>
        <v>832</v>
      </c>
      <c r="U153" s="45" t="str">
        <f t="shared" si="28"/>
        <v>6664</v>
      </c>
      <c r="V153" s="2" t="s">
        <v>2425</v>
      </c>
      <c r="W153" s="45" t="str">
        <f t="shared" si="29"/>
        <v>814</v>
      </c>
    </row>
    <row r="154" spans="1:23" x14ac:dyDescent="0.3">
      <c r="A154" t="s">
        <v>2424</v>
      </c>
      <c r="B154" s="45" t="str">
        <f t="shared" si="20"/>
        <v>Pablo</v>
      </c>
      <c r="C154" t="s">
        <v>56</v>
      </c>
      <c r="D154" t="s">
        <v>2423</v>
      </c>
      <c r="E154" s="45" t="str">
        <f t="shared" si="21"/>
        <v>Breedlove</v>
      </c>
      <c r="F154" s="45" t="str">
        <f t="shared" si="22"/>
        <v>Pablo J Breedlove</v>
      </c>
      <c r="G154" t="s">
        <v>264</v>
      </c>
      <c r="H154" t="str">
        <f t="shared" si="23"/>
        <v>Male</v>
      </c>
      <c r="I154" t="s">
        <v>2422</v>
      </c>
      <c r="J154" t="s">
        <v>2421</v>
      </c>
      <c r="K154" t="s">
        <v>98</v>
      </c>
      <c r="L154">
        <v>57201</v>
      </c>
      <c r="O154" t="s">
        <v>2420</v>
      </c>
      <c r="P154" s="45" t="str">
        <f t="shared" si="24"/>
        <v>hotmail</v>
      </c>
      <c r="Q154" t="s">
        <v>2419</v>
      </c>
      <c r="R154" s="45" t="str">
        <f t="shared" si="25"/>
        <v>605|882|7735</v>
      </c>
      <c r="S154" s="45" t="str">
        <f t="shared" si="26"/>
        <v>605</v>
      </c>
      <c r="T154" s="45" t="str">
        <f t="shared" si="27"/>
        <v>882</v>
      </c>
      <c r="U154" s="45" t="str">
        <f t="shared" si="28"/>
        <v>7735</v>
      </c>
      <c r="V154" s="2" t="s">
        <v>2418</v>
      </c>
      <c r="W154" s="45" t="str">
        <f t="shared" si="29"/>
        <v>7337</v>
      </c>
    </row>
    <row r="155" spans="1:23" x14ac:dyDescent="0.3">
      <c r="A155" t="s">
        <v>1595</v>
      </c>
      <c r="B155" s="45" t="str">
        <f t="shared" si="20"/>
        <v>Melissa</v>
      </c>
      <c r="C155" t="s">
        <v>56</v>
      </c>
      <c r="D155" t="s">
        <v>2417</v>
      </c>
      <c r="E155" s="45" t="str">
        <f t="shared" si="21"/>
        <v>Flores</v>
      </c>
      <c r="F155" s="45" t="str">
        <f t="shared" si="22"/>
        <v>Melissa J Flores</v>
      </c>
      <c r="G155" t="s">
        <v>241</v>
      </c>
      <c r="H155" t="str">
        <f t="shared" si="23"/>
        <v>Female</v>
      </c>
      <c r="I155" t="s">
        <v>2416</v>
      </c>
      <c r="J155" t="s">
        <v>2415</v>
      </c>
      <c r="K155" t="s">
        <v>105</v>
      </c>
      <c r="L155">
        <v>99567</v>
      </c>
      <c r="O155" t="s">
        <v>2414</v>
      </c>
      <c r="P155" s="45" t="str">
        <f t="shared" si="24"/>
        <v>aol</v>
      </c>
      <c r="Q155" t="s">
        <v>2413</v>
      </c>
      <c r="R155" s="45" t="str">
        <f t="shared" si="25"/>
        <v>907|688|3323</v>
      </c>
      <c r="S155" s="45" t="str">
        <f t="shared" si="26"/>
        <v>907</v>
      </c>
      <c r="T155" s="45" t="str">
        <f t="shared" si="27"/>
        <v>688</v>
      </c>
      <c r="U155" s="45" t="str">
        <f t="shared" si="28"/>
        <v>3323</v>
      </c>
      <c r="V155" s="2" t="s">
        <v>2412</v>
      </c>
      <c r="W155" s="45" t="str">
        <f t="shared" si="29"/>
        <v>6406</v>
      </c>
    </row>
    <row r="156" spans="1:23" x14ac:dyDescent="0.3">
      <c r="A156" t="s">
        <v>756</v>
      </c>
      <c r="B156" s="45" t="str">
        <f t="shared" si="20"/>
        <v>Robert</v>
      </c>
      <c r="C156" t="s">
        <v>75</v>
      </c>
      <c r="D156" t="s">
        <v>873</v>
      </c>
      <c r="E156" s="45" t="str">
        <f t="shared" si="21"/>
        <v>Nelson</v>
      </c>
      <c r="F156" s="45" t="str">
        <f t="shared" si="22"/>
        <v>Robert B Nelson</v>
      </c>
      <c r="G156" t="s">
        <v>264</v>
      </c>
      <c r="H156" t="str">
        <f t="shared" si="23"/>
        <v>Male</v>
      </c>
      <c r="I156" t="s">
        <v>2411</v>
      </c>
      <c r="J156" t="s">
        <v>2410</v>
      </c>
      <c r="K156" t="s">
        <v>57</v>
      </c>
      <c r="L156">
        <v>61938</v>
      </c>
      <c r="O156" t="s">
        <v>2409</v>
      </c>
      <c r="P156" s="45" t="str">
        <f t="shared" si="24"/>
        <v>hotmail</v>
      </c>
      <c r="Q156" t="s">
        <v>2408</v>
      </c>
      <c r="R156" s="45" t="str">
        <f t="shared" si="25"/>
        <v>217|603|5699</v>
      </c>
      <c r="S156" s="45" t="str">
        <f t="shared" si="26"/>
        <v>217</v>
      </c>
      <c r="T156" s="45" t="str">
        <f t="shared" si="27"/>
        <v>603</v>
      </c>
      <c r="U156" s="45" t="str">
        <f t="shared" si="28"/>
        <v>5699</v>
      </c>
      <c r="V156" s="2" t="s">
        <v>2407</v>
      </c>
      <c r="W156" s="45" t="str">
        <f t="shared" si="29"/>
        <v>5491</v>
      </c>
    </row>
    <row r="157" spans="1:23" x14ac:dyDescent="0.3">
      <c r="A157" t="s">
        <v>2406</v>
      </c>
      <c r="B157" s="45" t="str">
        <f t="shared" si="20"/>
        <v>Jerry</v>
      </c>
      <c r="C157" t="s">
        <v>266</v>
      </c>
      <c r="D157" t="s">
        <v>2405</v>
      </c>
      <c r="E157" s="45" t="str">
        <f t="shared" si="21"/>
        <v>Torres</v>
      </c>
      <c r="F157" s="45" t="str">
        <f t="shared" si="22"/>
        <v>Jerry S Torres</v>
      </c>
      <c r="G157" t="s">
        <v>264</v>
      </c>
      <c r="H157" t="str">
        <f t="shared" si="23"/>
        <v>Male</v>
      </c>
      <c r="I157" t="s">
        <v>2404</v>
      </c>
      <c r="J157" t="s">
        <v>2403</v>
      </c>
      <c r="K157" t="s">
        <v>79</v>
      </c>
      <c r="L157">
        <v>33311</v>
      </c>
      <c r="O157" t="s">
        <v>2402</v>
      </c>
      <c r="P157" s="45" t="str">
        <f t="shared" si="24"/>
        <v>aol</v>
      </c>
      <c r="Q157" t="s">
        <v>2401</v>
      </c>
      <c r="R157" s="45" t="str">
        <f t="shared" si="25"/>
        <v>305|336|9391</v>
      </c>
      <c r="S157" s="45" t="str">
        <f t="shared" si="26"/>
        <v>305</v>
      </c>
      <c r="T157" s="45" t="str">
        <f t="shared" si="27"/>
        <v>336</v>
      </c>
      <c r="U157" s="45" t="str">
        <f t="shared" si="28"/>
        <v>9391</v>
      </c>
      <c r="V157" s="2" t="s">
        <v>2400</v>
      </c>
      <c r="W157" s="45" t="str">
        <f t="shared" si="29"/>
        <v>1017</v>
      </c>
    </row>
    <row r="158" spans="1:23" x14ac:dyDescent="0.3">
      <c r="A158" t="s">
        <v>2399</v>
      </c>
      <c r="B158" s="45" t="str">
        <f t="shared" si="20"/>
        <v>Theda</v>
      </c>
      <c r="C158" t="s">
        <v>807</v>
      </c>
      <c r="D158" t="s">
        <v>2398</v>
      </c>
      <c r="E158" s="45" t="str">
        <f t="shared" si="21"/>
        <v>Mathis</v>
      </c>
      <c r="F158" s="45" t="str">
        <f t="shared" si="22"/>
        <v>Theda N Mathis</v>
      </c>
      <c r="G158" t="s">
        <v>241</v>
      </c>
      <c r="H158" t="str">
        <f t="shared" si="23"/>
        <v>Female</v>
      </c>
      <c r="I158" t="s">
        <v>2397</v>
      </c>
      <c r="J158" t="s">
        <v>2396</v>
      </c>
      <c r="K158" t="s">
        <v>101</v>
      </c>
      <c r="L158">
        <v>19403</v>
      </c>
      <c r="O158" t="s">
        <v>2395</v>
      </c>
      <c r="P158" s="45" t="str">
        <f t="shared" si="24"/>
        <v>hotmail</v>
      </c>
      <c r="Q158" t="s">
        <v>2394</v>
      </c>
      <c r="R158" s="45" t="str">
        <f t="shared" si="25"/>
        <v>610|476|5230</v>
      </c>
      <c r="S158" s="45" t="str">
        <f t="shared" si="26"/>
        <v>610</v>
      </c>
      <c r="T158" s="45" t="str">
        <f t="shared" si="27"/>
        <v>476</v>
      </c>
      <c r="U158" s="45" t="str">
        <f t="shared" si="28"/>
        <v>5230</v>
      </c>
      <c r="V158" s="2" t="s">
        <v>2393</v>
      </c>
      <c r="W158" s="45" t="str">
        <f t="shared" si="29"/>
        <v>169</v>
      </c>
    </row>
    <row r="159" spans="1:23" x14ac:dyDescent="0.3">
      <c r="A159" t="s">
        <v>2286</v>
      </c>
      <c r="B159" s="45" t="str">
        <f t="shared" si="20"/>
        <v>Leslie</v>
      </c>
      <c r="C159" t="s">
        <v>56</v>
      </c>
      <c r="D159" t="s">
        <v>2392</v>
      </c>
      <c r="E159" s="45" t="str">
        <f t="shared" si="21"/>
        <v>Fogle</v>
      </c>
      <c r="F159" s="45" t="str">
        <f t="shared" si="22"/>
        <v>Leslie J Fogle</v>
      </c>
      <c r="G159" t="s">
        <v>241</v>
      </c>
      <c r="H159" t="str">
        <f t="shared" si="23"/>
        <v>Female</v>
      </c>
      <c r="I159" t="s">
        <v>2391</v>
      </c>
      <c r="J159" t="s">
        <v>527</v>
      </c>
      <c r="K159" t="s">
        <v>113</v>
      </c>
      <c r="L159">
        <v>96813</v>
      </c>
      <c r="O159" t="s">
        <v>2390</v>
      </c>
      <c r="P159" s="45" t="str">
        <f t="shared" si="24"/>
        <v>hotmail</v>
      </c>
      <c r="Q159" t="s">
        <v>2389</v>
      </c>
      <c r="R159" s="45" t="str">
        <f t="shared" si="25"/>
        <v>808|467|6020</v>
      </c>
      <c r="S159" s="45" t="str">
        <f t="shared" si="26"/>
        <v>808</v>
      </c>
      <c r="T159" s="45" t="str">
        <f t="shared" si="27"/>
        <v>467</v>
      </c>
      <c r="U159" s="45" t="str">
        <f t="shared" si="28"/>
        <v>6020</v>
      </c>
      <c r="V159" s="2" t="s">
        <v>2388</v>
      </c>
      <c r="W159" s="45" t="str">
        <f t="shared" si="29"/>
        <v>991</v>
      </c>
    </row>
    <row r="160" spans="1:23" x14ac:dyDescent="0.3">
      <c r="A160" t="s">
        <v>2387</v>
      </c>
      <c r="B160" s="45" t="str">
        <f t="shared" si="20"/>
        <v>Beatrice</v>
      </c>
      <c r="C160" t="s">
        <v>65</v>
      </c>
      <c r="D160" t="s">
        <v>2386</v>
      </c>
      <c r="E160" s="45" t="str">
        <f t="shared" si="21"/>
        <v>Sanchez</v>
      </c>
      <c r="F160" s="45" t="str">
        <f t="shared" si="22"/>
        <v>Beatrice K Sanchez</v>
      </c>
      <c r="G160" t="s">
        <v>241</v>
      </c>
      <c r="H160" t="str">
        <f t="shared" si="23"/>
        <v>Female</v>
      </c>
      <c r="I160" t="s">
        <v>2385</v>
      </c>
      <c r="J160" t="s">
        <v>2384</v>
      </c>
      <c r="K160" t="s">
        <v>100</v>
      </c>
      <c r="L160">
        <v>38801</v>
      </c>
      <c r="O160" t="s">
        <v>2383</v>
      </c>
      <c r="P160" s="45" t="str">
        <f t="shared" si="24"/>
        <v>hotmail</v>
      </c>
      <c r="Q160" t="s">
        <v>2382</v>
      </c>
      <c r="R160" s="45" t="str">
        <f t="shared" si="25"/>
        <v>662|691|0811</v>
      </c>
      <c r="S160" s="45" t="str">
        <f t="shared" si="26"/>
        <v>662</v>
      </c>
      <c r="T160" s="45" t="str">
        <f t="shared" si="27"/>
        <v>691</v>
      </c>
      <c r="U160" s="45" t="str">
        <f t="shared" si="28"/>
        <v>0811</v>
      </c>
      <c r="V160" s="2" t="s">
        <v>2381</v>
      </c>
      <c r="W160" s="45" t="str">
        <f t="shared" si="29"/>
        <v>7749</v>
      </c>
    </row>
    <row r="161" spans="1:23" x14ac:dyDescent="0.3">
      <c r="A161" t="s">
        <v>563</v>
      </c>
      <c r="B161" s="45" t="str">
        <f t="shared" si="20"/>
        <v>James</v>
      </c>
      <c r="C161" t="s">
        <v>243</v>
      </c>
      <c r="D161" t="s">
        <v>2380</v>
      </c>
      <c r="E161" s="45" t="str">
        <f t="shared" si="21"/>
        <v>Hartley</v>
      </c>
      <c r="F161" s="45" t="str">
        <f t="shared" si="22"/>
        <v>James R Hartley</v>
      </c>
      <c r="G161" t="s">
        <v>264</v>
      </c>
      <c r="H161" t="str">
        <f t="shared" si="23"/>
        <v>Male</v>
      </c>
      <c r="I161" t="s">
        <v>2379</v>
      </c>
      <c r="J161" t="s">
        <v>1869</v>
      </c>
      <c r="K161" t="s">
        <v>74</v>
      </c>
      <c r="L161">
        <v>49503</v>
      </c>
      <c r="O161" t="s">
        <v>2378</v>
      </c>
      <c r="P161" s="45" t="str">
        <f t="shared" si="24"/>
        <v>gmail</v>
      </c>
      <c r="Q161" t="s">
        <v>2377</v>
      </c>
      <c r="R161" s="45" t="str">
        <f t="shared" si="25"/>
        <v>269|815|1770</v>
      </c>
      <c r="S161" s="45" t="str">
        <f t="shared" si="26"/>
        <v>269</v>
      </c>
      <c r="T161" s="45" t="str">
        <f t="shared" si="27"/>
        <v>815</v>
      </c>
      <c r="U161" s="45" t="str">
        <f t="shared" si="28"/>
        <v>1770</v>
      </c>
      <c r="V161" s="2" t="s">
        <v>2376</v>
      </c>
      <c r="W161" s="45" t="str">
        <f t="shared" si="29"/>
        <v>0729</v>
      </c>
    </row>
    <row r="162" spans="1:23" x14ac:dyDescent="0.3">
      <c r="A162" t="s">
        <v>835</v>
      </c>
      <c r="B162" s="45" t="str">
        <f t="shared" si="20"/>
        <v>Scott</v>
      </c>
      <c r="C162" t="s">
        <v>463</v>
      </c>
      <c r="D162" t="s">
        <v>2375</v>
      </c>
      <c r="E162" s="45" t="str">
        <f t="shared" si="21"/>
        <v>Bull</v>
      </c>
      <c r="F162" s="45" t="str">
        <f t="shared" si="22"/>
        <v>Scott W Bull</v>
      </c>
      <c r="G162" t="s">
        <v>264</v>
      </c>
      <c r="H162" t="str">
        <f t="shared" si="23"/>
        <v>Male</v>
      </c>
      <c r="I162" t="s">
        <v>2374</v>
      </c>
      <c r="J162" t="s">
        <v>2373</v>
      </c>
      <c r="K162" t="s">
        <v>101</v>
      </c>
      <c r="L162">
        <v>19426</v>
      </c>
      <c r="O162" t="s">
        <v>2372</v>
      </c>
      <c r="P162" s="45" t="str">
        <f t="shared" si="24"/>
        <v>aol</v>
      </c>
      <c r="Q162" t="s">
        <v>2371</v>
      </c>
      <c r="R162" s="45" t="str">
        <f t="shared" si="25"/>
        <v>484|902|6607</v>
      </c>
      <c r="S162" s="45" t="str">
        <f t="shared" si="26"/>
        <v>484</v>
      </c>
      <c r="T162" s="45" t="str">
        <f t="shared" si="27"/>
        <v>902</v>
      </c>
      <c r="U162" s="45" t="str">
        <f t="shared" si="28"/>
        <v>6607</v>
      </c>
      <c r="V162" s="2" t="s">
        <v>2370</v>
      </c>
      <c r="W162" s="45" t="str">
        <f t="shared" si="29"/>
        <v>0419</v>
      </c>
    </row>
    <row r="163" spans="1:23" x14ac:dyDescent="0.3">
      <c r="A163" t="s">
        <v>2369</v>
      </c>
      <c r="B163" s="45" t="str">
        <f t="shared" si="20"/>
        <v>Gabriela</v>
      </c>
      <c r="C163" t="s">
        <v>75</v>
      </c>
      <c r="D163" t="s">
        <v>1437</v>
      </c>
      <c r="E163" s="45" t="str">
        <f t="shared" si="21"/>
        <v>Jackson</v>
      </c>
      <c r="F163" s="45" t="str">
        <f t="shared" si="22"/>
        <v>Gabriela B Jackson</v>
      </c>
      <c r="G163" t="s">
        <v>241</v>
      </c>
      <c r="H163" t="str">
        <f t="shared" si="23"/>
        <v>Female</v>
      </c>
      <c r="I163" t="s">
        <v>2368</v>
      </c>
      <c r="J163" t="s">
        <v>36</v>
      </c>
      <c r="K163" t="s">
        <v>68</v>
      </c>
      <c r="L163">
        <v>10013</v>
      </c>
      <c r="O163" t="s">
        <v>2367</v>
      </c>
      <c r="P163" s="45" t="str">
        <f t="shared" si="24"/>
        <v>aol</v>
      </c>
      <c r="Q163" t="s">
        <v>2366</v>
      </c>
      <c r="R163" s="45" t="str">
        <f t="shared" si="25"/>
        <v>914|315|5689</v>
      </c>
      <c r="S163" s="45" t="str">
        <f t="shared" si="26"/>
        <v>914</v>
      </c>
      <c r="T163" s="45" t="str">
        <f t="shared" si="27"/>
        <v>315</v>
      </c>
      <c r="U163" s="45" t="str">
        <f t="shared" si="28"/>
        <v>5689</v>
      </c>
      <c r="V163" s="2" t="s">
        <v>2365</v>
      </c>
      <c r="W163" s="45" t="str">
        <f t="shared" si="29"/>
        <v>187</v>
      </c>
    </row>
    <row r="164" spans="1:23" x14ac:dyDescent="0.3">
      <c r="A164" t="s">
        <v>2364</v>
      </c>
      <c r="B164" s="45" t="str">
        <f t="shared" si="20"/>
        <v>Agnes</v>
      </c>
      <c r="C164" t="s">
        <v>60</v>
      </c>
      <c r="D164" t="s">
        <v>2363</v>
      </c>
      <c r="E164" s="45" t="str">
        <f t="shared" si="21"/>
        <v>Schmidt</v>
      </c>
      <c r="F164" s="45" t="str">
        <f t="shared" si="22"/>
        <v>Agnes M Schmidt</v>
      </c>
      <c r="G164" t="s">
        <v>241</v>
      </c>
      <c r="H164" t="str">
        <f t="shared" si="23"/>
        <v>Female</v>
      </c>
      <c r="I164" t="s">
        <v>2362</v>
      </c>
      <c r="J164" t="s">
        <v>852</v>
      </c>
      <c r="K164" t="s">
        <v>96</v>
      </c>
      <c r="L164">
        <v>80202</v>
      </c>
      <c r="O164" t="s">
        <v>2361</v>
      </c>
      <c r="P164" s="45" t="str">
        <f t="shared" si="24"/>
        <v>aol</v>
      </c>
      <c r="Q164" t="s">
        <v>2360</v>
      </c>
      <c r="R164" s="45" t="str">
        <f t="shared" si="25"/>
        <v>303|285|1449</v>
      </c>
      <c r="S164" s="45" t="str">
        <f t="shared" si="26"/>
        <v>303</v>
      </c>
      <c r="T164" s="45" t="str">
        <f t="shared" si="27"/>
        <v>285</v>
      </c>
      <c r="U164" s="45" t="str">
        <f t="shared" si="28"/>
        <v>1449</v>
      </c>
      <c r="V164" s="2" t="s">
        <v>2359</v>
      </c>
      <c r="W164" s="45" t="str">
        <f t="shared" si="29"/>
        <v>2522</v>
      </c>
    </row>
    <row r="165" spans="1:23" x14ac:dyDescent="0.3">
      <c r="A165" t="s">
        <v>2358</v>
      </c>
      <c r="B165" s="45" t="str">
        <f t="shared" si="20"/>
        <v>Troy</v>
      </c>
      <c r="C165" t="s">
        <v>56</v>
      </c>
      <c r="D165" t="s">
        <v>2357</v>
      </c>
      <c r="E165" s="45" t="str">
        <f t="shared" si="21"/>
        <v>Castellanos</v>
      </c>
      <c r="F165" s="45" t="str">
        <f t="shared" si="22"/>
        <v>Troy J Castellanos</v>
      </c>
      <c r="G165" t="s">
        <v>264</v>
      </c>
      <c r="H165" t="str">
        <f t="shared" si="23"/>
        <v>Male</v>
      </c>
      <c r="I165" t="s">
        <v>2356</v>
      </c>
      <c r="J165" t="s">
        <v>2355</v>
      </c>
      <c r="K165" t="s">
        <v>58</v>
      </c>
      <c r="L165">
        <v>90802</v>
      </c>
      <c r="O165" t="s">
        <v>2354</v>
      </c>
      <c r="P165" s="45" t="str">
        <f t="shared" si="24"/>
        <v>gmail</v>
      </c>
      <c r="Q165" t="s">
        <v>2353</v>
      </c>
      <c r="R165" s="45" t="str">
        <f t="shared" si="25"/>
        <v>323|904|6802</v>
      </c>
      <c r="S165" s="45" t="str">
        <f t="shared" si="26"/>
        <v>323</v>
      </c>
      <c r="T165" s="45" t="str">
        <f t="shared" si="27"/>
        <v>904</v>
      </c>
      <c r="U165" s="45" t="str">
        <f t="shared" si="28"/>
        <v>6802</v>
      </c>
      <c r="V165" s="2" t="s">
        <v>2352</v>
      </c>
      <c r="W165" s="45" t="str">
        <f t="shared" si="29"/>
        <v>3510</v>
      </c>
    </row>
    <row r="166" spans="1:23" x14ac:dyDescent="0.3">
      <c r="A166" t="s">
        <v>2351</v>
      </c>
      <c r="B166" s="45" t="str">
        <f t="shared" si="20"/>
        <v>Concetta</v>
      </c>
      <c r="C166" t="s">
        <v>75</v>
      </c>
      <c r="D166" t="s">
        <v>2350</v>
      </c>
      <c r="E166" s="45" t="str">
        <f t="shared" si="21"/>
        <v>Woodruff</v>
      </c>
      <c r="F166" s="45" t="str">
        <f t="shared" si="22"/>
        <v>Concetta B Woodruff</v>
      </c>
      <c r="G166" t="s">
        <v>241</v>
      </c>
      <c r="H166" t="str">
        <f t="shared" si="23"/>
        <v>Female</v>
      </c>
      <c r="I166" t="s">
        <v>2349</v>
      </c>
      <c r="J166" t="s">
        <v>2348</v>
      </c>
      <c r="K166" t="s">
        <v>92</v>
      </c>
      <c r="L166">
        <v>64067</v>
      </c>
      <c r="O166" t="s">
        <v>2347</v>
      </c>
      <c r="P166" s="45" t="str">
        <f t="shared" si="24"/>
        <v>aol</v>
      </c>
      <c r="Q166" t="s">
        <v>2346</v>
      </c>
      <c r="R166" s="45" t="str">
        <f t="shared" si="25"/>
        <v>660|259|4549</v>
      </c>
      <c r="S166" s="45" t="str">
        <f t="shared" si="26"/>
        <v>660</v>
      </c>
      <c r="T166" s="45" t="str">
        <f t="shared" si="27"/>
        <v>259</v>
      </c>
      <c r="U166" s="45" t="str">
        <f t="shared" si="28"/>
        <v>4549</v>
      </c>
      <c r="V166" s="2" t="s">
        <v>2345</v>
      </c>
      <c r="W166" s="45" t="str">
        <f t="shared" si="29"/>
        <v>9485</v>
      </c>
    </row>
    <row r="167" spans="1:23" x14ac:dyDescent="0.3">
      <c r="A167" t="s">
        <v>2344</v>
      </c>
      <c r="B167" s="45" t="str">
        <f t="shared" si="20"/>
        <v>Tracy</v>
      </c>
      <c r="C167" t="s">
        <v>243</v>
      </c>
      <c r="D167" t="s">
        <v>2343</v>
      </c>
      <c r="E167" s="45" t="str">
        <f t="shared" si="21"/>
        <v>Berry</v>
      </c>
      <c r="F167" s="45" t="str">
        <f t="shared" si="22"/>
        <v>Tracy R Berry</v>
      </c>
      <c r="G167" t="s">
        <v>241</v>
      </c>
      <c r="H167" t="str">
        <f t="shared" si="23"/>
        <v>Female</v>
      </c>
      <c r="I167" t="s">
        <v>2342</v>
      </c>
      <c r="J167" t="s">
        <v>1073</v>
      </c>
      <c r="K167" t="s">
        <v>101</v>
      </c>
      <c r="L167">
        <v>19108</v>
      </c>
      <c r="O167" t="s">
        <v>2341</v>
      </c>
      <c r="P167" s="45" t="str">
        <f t="shared" si="24"/>
        <v>hotmail</v>
      </c>
      <c r="Q167" t="s">
        <v>2340</v>
      </c>
      <c r="R167" s="45" t="str">
        <f t="shared" si="25"/>
        <v>267|715|9830</v>
      </c>
      <c r="S167" s="45" t="str">
        <f t="shared" si="26"/>
        <v>267</v>
      </c>
      <c r="T167" s="45" t="str">
        <f t="shared" si="27"/>
        <v>715</v>
      </c>
      <c r="U167" s="45" t="str">
        <f t="shared" si="28"/>
        <v>9830</v>
      </c>
      <c r="V167" s="2" t="s">
        <v>2339</v>
      </c>
      <c r="W167" s="45" t="str">
        <f t="shared" si="29"/>
        <v>381</v>
      </c>
    </row>
    <row r="168" spans="1:23" x14ac:dyDescent="0.3">
      <c r="A168" t="s">
        <v>369</v>
      </c>
      <c r="B168" s="45" t="str">
        <f t="shared" si="20"/>
        <v>David</v>
      </c>
      <c r="C168" t="s">
        <v>69</v>
      </c>
      <c r="D168" t="s">
        <v>2338</v>
      </c>
      <c r="E168" s="45" t="str">
        <f t="shared" si="21"/>
        <v>Taber</v>
      </c>
      <c r="F168" s="45" t="str">
        <f t="shared" si="22"/>
        <v>David H Taber</v>
      </c>
      <c r="G168" t="s">
        <v>264</v>
      </c>
      <c r="H168" t="str">
        <f t="shared" si="23"/>
        <v>Male</v>
      </c>
      <c r="I168" t="s">
        <v>2337</v>
      </c>
      <c r="J168" t="s">
        <v>2336</v>
      </c>
      <c r="K168" t="s">
        <v>102</v>
      </c>
      <c r="L168">
        <v>52052</v>
      </c>
      <c r="O168" t="s">
        <v>2335</v>
      </c>
      <c r="P168" s="45" t="str">
        <f t="shared" si="24"/>
        <v>hotmail</v>
      </c>
      <c r="Q168" t="s">
        <v>2334</v>
      </c>
      <c r="R168" s="45" t="str">
        <f t="shared" si="25"/>
        <v>563|252|9377</v>
      </c>
      <c r="S168" s="45" t="str">
        <f t="shared" si="26"/>
        <v>563</v>
      </c>
      <c r="T168" s="45" t="str">
        <f t="shared" si="27"/>
        <v>252</v>
      </c>
      <c r="U168" s="45" t="str">
        <f t="shared" si="28"/>
        <v>9377</v>
      </c>
      <c r="V168" s="2" t="s">
        <v>2333</v>
      </c>
      <c r="W168" s="45" t="str">
        <f t="shared" si="29"/>
        <v>4591</v>
      </c>
    </row>
    <row r="169" spans="1:23" x14ac:dyDescent="0.3">
      <c r="A169" t="s">
        <v>1127</v>
      </c>
      <c r="B169" s="45" t="str">
        <f t="shared" si="20"/>
        <v>Anita</v>
      </c>
      <c r="C169" t="s">
        <v>56</v>
      </c>
      <c r="D169" t="s">
        <v>2332</v>
      </c>
      <c r="E169" s="45" t="str">
        <f t="shared" si="21"/>
        <v>Sachs</v>
      </c>
      <c r="F169" s="45" t="str">
        <f t="shared" si="22"/>
        <v>Anita J Sachs</v>
      </c>
      <c r="G169" t="s">
        <v>241</v>
      </c>
      <c r="H169" t="str">
        <f t="shared" si="23"/>
        <v>Female</v>
      </c>
      <c r="I169" t="s">
        <v>2331</v>
      </c>
      <c r="J169" t="s">
        <v>2330</v>
      </c>
      <c r="K169" t="s">
        <v>89</v>
      </c>
      <c r="L169">
        <v>55350</v>
      </c>
      <c r="O169" t="s">
        <v>2329</v>
      </c>
      <c r="P169" s="45" t="str">
        <f t="shared" si="24"/>
        <v>hotmail</v>
      </c>
      <c r="Q169" t="s">
        <v>2328</v>
      </c>
      <c r="R169" s="45" t="str">
        <f t="shared" si="25"/>
        <v>320|552|4063</v>
      </c>
      <c r="S169" s="45" t="str">
        <f t="shared" si="26"/>
        <v>320</v>
      </c>
      <c r="T169" s="45" t="str">
        <f t="shared" si="27"/>
        <v>552</v>
      </c>
      <c r="U169" s="45" t="str">
        <f t="shared" si="28"/>
        <v>4063</v>
      </c>
      <c r="V169" s="2" t="s">
        <v>2327</v>
      </c>
      <c r="W169" s="45" t="str">
        <f t="shared" si="29"/>
        <v>479</v>
      </c>
    </row>
    <row r="170" spans="1:23" x14ac:dyDescent="0.3">
      <c r="A170" t="s">
        <v>2326</v>
      </c>
      <c r="B170" s="45" t="str">
        <f t="shared" si="20"/>
        <v>Xavier</v>
      </c>
      <c r="C170" t="s">
        <v>60</v>
      </c>
      <c r="D170" t="s">
        <v>1677</v>
      </c>
      <c r="E170" s="45" t="str">
        <f t="shared" si="21"/>
        <v>Brown</v>
      </c>
      <c r="F170" s="45" t="str">
        <f t="shared" si="22"/>
        <v>Xavier M Brown</v>
      </c>
      <c r="G170" t="s">
        <v>264</v>
      </c>
      <c r="H170" t="str">
        <f t="shared" si="23"/>
        <v>Male</v>
      </c>
      <c r="I170" t="s">
        <v>2325</v>
      </c>
      <c r="J170" t="s">
        <v>2324</v>
      </c>
      <c r="K170" t="s">
        <v>99</v>
      </c>
      <c r="L170">
        <v>47223</v>
      </c>
      <c r="O170" t="s">
        <v>2323</v>
      </c>
      <c r="P170" s="45" t="str">
        <f t="shared" si="24"/>
        <v>hotmail</v>
      </c>
      <c r="Q170" t="s">
        <v>2322</v>
      </c>
      <c r="R170" s="45" t="str">
        <f t="shared" si="25"/>
        <v>812|458|6289</v>
      </c>
      <c r="S170" s="45" t="str">
        <f t="shared" si="26"/>
        <v>812</v>
      </c>
      <c r="T170" s="45" t="str">
        <f t="shared" si="27"/>
        <v>458</v>
      </c>
      <c r="U170" s="45" t="str">
        <f t="shared" si="28"/>
        <v>6289</v>
      </c>
      <c r="V170" s="2" t="s">
        <v>2321</v>
      </c>
      <c r="W170" s="45" t="str">
        <f t="shared" si="29"/>
        <v>9281</v>
      </c>
    </row>
    <row r="171" spans="1:23" x14ac:dyDescent="0.3">
      <c r="A171" t="s">
        <v>603</v>
      </c>
      <c r="B171" s="45" t="str">
        <f t="shared" si="20"/>
        <v>Kathy</v>
      </c>
      <c r="C171" t="s">
        <v>243</v>
      </c>
      <c r="D171" t="s">
        <v>2320</v>
      </c>
      <c r="E171" s="45" t="str">
        <f t="shared" si="21"/>
        <v>Hutto</v>
      </c>
      <c r="F171" s="45" t="str">
        <f t="shared" si="22"/>
        <v>Kathy R Hutto</v>
      </c>
      <c r="G171" t="s">
        <v>241</v>
      </c>
      <c r="H171" t="str">
        <f t="shared" si="23"/>
        <v>Female</v>
      </c>
      <c r="I171" t="s">
        <v>2319</v>
      </c>
      <c r="J171" t="s">
        <v>1327</v>
      </c>
      <c r="K171" t="s">
        <v>79</v>
      </c>
      <c r="L171">
        <v>33169</v>
      </c>
      <c r="O171" t="s">
        <v>2318</v>
      </c>
      <c r="P171" s="45" t="str">
        <f t="shared" si="24"/>
        <v>aol</v>
      </c>
      <c r="Q171" t="s">
        <v>2317</v>
      </c>
      <c r="R171" s="45" t="str">
        <f t="shared" si="25"/>
        <v>954|738|6457</v>
      </c>
      <c r="S171" s="45" t="str">
        <f t="shared" si="26"/>
        <v>954</v>
      </c>
      <c r="T171" s="45" t="str">
        <f t="shared" si="27"/>
        <v>738</v>
      </c>
      <c r="U171" s="45" t="str">
        <f t="shared" si="28"/>
        <v>6457</v>
      </c>
      <c r="V171" s="2" t="s">
        <v>2316</v>
      </c>
      <c r="W171" s="45" t="str">
        <f t="shared" si="29"/>
        <v>265</v>
      </c>
    </row>
    <row r="172" spans="1:23" x14ac:dyDescent="0.3">
      <c r="A172" t="s">
        <v>2315</v>
      </c>
      <c r="B172" s="45" t="str">
        <f t="shared" si="20"/>
        <v>Evelyne</v>
      </c>
      <c r="C172" t="s">
        <v>72</v>
      </c>
      <c r="D172" t="s">
        <v>368</v>
      </c>
      <c r="E172" s="45" t="str">
        <f t="shared" si="21"/>
        <v>Williams</v>
      </c>
      <c r="F172" s="45" t="str">
        <f t="shared" si="22"/>
        <v>Evelyne E Williams</v>
      </c>
      <c r="G172" t="s">
        <v>241</v>
      </c>
      <c r="H172" t="str">
        <f t="shared" si="23"/>
        <v>Female</v>
      </c>
      <c r="I172" t="s">
        <v>2314</v>
      </c>
      <c r="J172" t="s">
        <v>852</v>
      </c>
      <c r="K172" t="s">
        <v>96</v>
      </c>
      <c r="L172">
        <v>80209</v>
      </c>
      <c r="O172" t="s">
        <v>2313</v>
      </c>
      <c r="P172" s="45" t="str">
        <f t="shared" si="24"/>
        <v>aol</v>
      </c>
      <c r="Q172" t="s">
        <v>2312</v>
      </c>
      <c r="R172" s="45" t="str">
        <f t="shared" si="25"/>
        <v>303|765|8535</v>
      </c>
      <c r="S172" s="45" t="str">
        <f t="shared" si="26"/>
        <v>303</v>
      </c>
      <c r="T172" s="45" t="str">
        <f t="shared" si="27"/>
        <v>765</v>
      </c>
      <c r="U172" s="45" t="str">
        <f t="shared" si="28"/>
        <v>8535</v>
      </c>
      <c r="V172" s="2" t="s">
        <v>2311</v>
      </c>
      <c r="W172" s="45" t="str">
        <f t="shared" si="29"/>
        <v>704</v>
      </c>
    </row>
    <row r="173" spans="1:23" x14ac:dyDescent="0.3">
      <c r="A173" t="s">
        <v>369</v>
      </c>
      <c r="B173" s="45" t="str">
        <f t="shared" si="20"/>
        <v>David</v>
      </c>
      <c r="C173" t="s">
        <v>60</v>
      </c>
      <c r="D173" t="s">
        <v>1207</v>
      </c>
      <c r="E173" s="45" t="str">
        <f t="shared" si="21"/>
        <v>Walters</v>
      </c>
      <c r="F173" s="45" t="str">
        <f t="shared" si="22"/>
        <v>David M Walters</v>
      </c>
      <c r="G173" t="s">
        <v>264</v>
      </c>
      <c r="H173" t="str">
        <f t="shared" si="23"/>
        <v>Male</v>
      </c>
      <c r="I173" t="s">
        <v>2310</v>
      </c>
      <c r="J173" t="s">
        <v>2309</v>
      </c>
      <c r="K173" t="s">
        <v>73</v>
      </c>
      <c r="L173">
        <v>54484</v>
      </c>
      <c r="O173" t="s">
        <v>2308</v>
      </c>
      <c r="P173" s="45" t="str">
        <f t="shared" si="24"/>
        <v>aol</v>
      </c>
      <c r="Q173" t="s">
        <v>2307</v>
      </c>
      <c r="R173" s="45" t="str">
        <f t="shared" si="25"/>
        <v>715|391|1204</v>
      </c>
      <c r="S173" s="45" t="str">
        <f t="shared" si="26"/>
        <v>715</v>
      </c>
      <c r="T173" s="45" t="str">
        <f t="shared" si="27"/>
        <v>391</v>
      </c>
      <c r="U173" s="45" t="str">
        <f t="shared" si="28"/>
        <v>1204</v>
      </c>
      <c r="V173" s="2" t="s">
        <v>2306</v>
      </c>
      <c r="W173" s="45" t="str">
        <f t="shared" si="29"/>
        <v>400</v>
      </c>
    </row>
    <row r="174" spans="1:23" x14ac:dyDescent="0.3">
      <c r="A174" t="s">
        <v>2305</v>
      </c>
      <c r="B174" s="45" t="str">
        <f t="shared" si="20"/>
        <v>Rosemary</v>
      </c>
      <c r="C174" t="s">
        <v>56</v>
      </c>
      <c r="D174" t="s">
        <v>2304</v>
      </c>
      <c r="E174" s="45" t="str">
        <f t="shared" si="21"/>
        <v>Quinn</v>
      </c>
      <c r="F174" s="45" t="str">
        <f t="shared" si="22"/>
        <v>Rosemary J Quinn</v>
      </c>
      <c r="G174" t="s">
        <v>241</v>
      </c>
      <c r="H174" t="str">
        <f t="shared" si="23"/>
        <v>Female</v>
      </c>
      <c r="I174" t="s">
        <v>2303</v>
      </c>
      <c r="J174" t="s">
        <v>742</v>
      </c>
      <c r="K174" t="s">
        <v>58</v>
      </c>
      <c r="L174">
        <v>90670</v>
      </c>
      <c r="O174" t="s">
        <v>2302</v>
      </c>
      <c r="P174" s="45" t="str">
        <f t="shared" si="24"/>
        <v>gmail</v>
      </c>
      <c r="Q174" t="s">
        <v>2301</v>
      </c>
      <c r="R174" s="45" t="str">
        <f t="shared" si="25"/>
        <v>323|972|5350</v>
      </c>
      <c r="S174" s="45" t="str">
        <f t="shared" si="26"/>
        <v>323</v>
      </c>
      <c r="T174" s="45" t="str">
        <f t="shared" si="27"/>
        <v>972</v>
      </c>
      <c r="U174" s="45" t="str">
        <f t="shared" si="28"/>
        <v>5350</v>
      </c>
      <c r="V174" s="2" t="s">
        <v>2300</v>
      </c>
      <c r="W174" s="45" t="str">
        <f t="shared" si="29"/>
        <v>2225</v>
      </c>
    </row>
    <row r="175" spans="1:23" x14ac:dyDescent="0.3">
      <c r="A175" t="s">
        <v>2299</v>
      </c>
      <c r="B175" s="45" t="str">
        <f t="shared" si="20"/>
        <v>Lupe</v>
      </c>
      <c r="C175" t="s">
        <v>65</v>
      </c>
      <c r="D175" t="s">
        <v>2298</v>
      </c>
      <c r="E175" s="45" t="str">
        <f t="shared" si="21"/>
        <v>Heath</v>
      </c>
      <c r="F175" s="45" t="str">
        <f t="shared" si="22"/>
        <v>Lupe K Heath</v>
      </c>
      <c r="G175" t="s">
        <v>241</v>
      </c>
      <c r="H175" t="str">
        <f t="shared" si="23"/>
        <v>Female</v>
      </c>
      <c r="I175" t="s">
        <v>2297</v>
      </c>
      <c r="J175" t="s">
        <v>2296</v>
      </c>
      <c r="K175" t="s">
        <v>74</v>
      </c>
      <c r="L175">
        <v>48185</v>
      </c>
      <c r="O175" t="s">
        <v>2295</v>
      </c>
      <c r="P175" s="45" t="str">
        <f t="shared" si="24"/>
        <v>hotmail</v>
      </c>
      <c r="Q175" t="s">
        <v>2294</v>
      </c>
      <c r="R175" s="45" t="str">
        <f t="shared" si="25"/>
        <v>248|670|1284</v>
      </c>
      <c r="S175" s="45" t="str">
        <f t="shared" si="26"/>
        <v>248</v>
      </c>
      <c r="T175" s="45" t="str">
        <f t="shared" si="27"/>
        <v>670</v>
      </c>
      <c r="U175" s="45" t="str">
        <f t="shared" si="28"/>
        <v>1284</v>
      </c>
      <c r="V175" s="2" t="s">
        <v>2293</v>
      </c>
      <c r="W175" s="45" t="str">
        <f t="shared" si="29"/>
        <v>822</v>
      </c>
    </row>
    <row r="176" spans="1:23" x14ac:dyDescent="0.3">
      <c r="A176" t="s">
        <v>2257</v>
      </c>
      <c r="B176" s="45" t="str">
        <f t="shared" si="20"/>
        <v>Danielle</v>
      </c>
      <c r="C176" t="s">
        <v>361</v>
      </c>
      <c r="D176" t="s">
        <v>2292</v>
      </c>
      <c r="E176" s="45" t="str">
        <f t="shared" si="21"/>
        <v>Palmer</v>
      </c>
      <c r="F176" s="45" t="str">
        <f t="shared" si="22"/>
        <v>Danielle T Palmer</v>
      </c>
      <c r="G176" t="s">
        <v>241</v>
      </c>
      <c r="H176" t="str">
        <f t="shared" si="23"/>
        <v>Female</v>
      </c>
      <c r="I176" t="s">
        <v>2291</v>
      </c>
      <c r="J176" t="s">
        <v>2290</v>
      </c>
      <c r="K176" t="s">
        <v>101</v>
      </c>
      <c r="L176">
        <v>19462</v>
      </c>
      <c r="O176" t="s">
        <v>2289</v>
      </c>
      <c r="P176" s="45" t="str">
        <f t="shared" si="24"/>
        <v>hotmail</v>
      </c>
      <c r="Q176" t="s">
        <v>2288</v>
      </c>
      <c r="R176" s="45" t="str">
        <f t="shared" si="25"/>
        <v>267|374|3082</v>
      </c>
      <c r="S176" s="45" t="str">
        <f t="shared" si="26"/>
        <v>267</v>
      </c>
      <c r="T176" s="45" t="str">
        <f t="shared" si="27"/>
        <v>374</v>
      </c>
      <c r="U176" s="45" t="str">
        <f t="shared" si="28"/>
        <v>3082</v>
      </c>
      <c r="V176" s="2" t="s">
        <v>2287</v>
      </c>
      <c r="W176" s="45" t="str">
        <f t="shared" si="29"/>
        <v>5648</v>
      </c>
    </row>
    <row r="177" spans="1:23" x14ac:dyDescent="0.3">
      <c r="A177" t="s">
        <v>2286</v>
      </c>
      <c r="B177" s="45" t="str">
        <f t="shared" si="20"/>
        <v>Leslie</v>
      </c>
      <c r="C177" t="s">
        <v>1051</v>
      </c>
      <c r="D177" t="s">
        <v>1956</v>
      </c>
      <c r="E177" s="45" t="str">
        <f t="shared" si="21"/>
        <v>Whitaker</v>
      </c>
      <c r="F177" s="45" t="str">
        <f t="shared" si="22"/>
        <v>Leslie P Whitaker</v>
      </c>
      <c r="G177" t="s">
        <v>241</v>
      </c>
      <c r="H177" t="str">
        <f t="shared" si="23"/>
        <v>Female</v>
      </c>
      <c r="I177" t="s">
        <v>2285</v>
      </c>
      <c r="J177" t="s">
        <v>2284</v>
      </c>
      <c r="K177" t="s">
        <v>83</v>
      </c>
      <c r="L177">
        <v>25921</v>
      </c>
      <c r="O177" t="s">
        <v>2283</v>
      </c>
      <c r="P177" s="45" t="str">
        <f t="shared" si="24"/>
        <v>hotmail</v>
      </c>
      <c r="Q177" t="s">
        <v>2282</v>
      </c>
      <c r="R177" s="45" t="str">
        <f t="shared" si="25"/>
        <v>304|683|1108</v>
      </c>
      <c r="S177" s="45" t="str">
        <f t="shared" si="26"/>
        <v>304</v>
      </c>
      <c r="T177" s="45" t="str">
        <f t="shared" si="27"/>
        <v>683</v>
      </c>
      <c r="U177" s="45" t="str">
        <f t="shared" si="28"/>
        <v>1108</v>
      </c>
      <c r="V177" s="2" t="s">
        <v>2281</v>
      </c>
      <c r="W177" s="45" t="str">
        <f t="shared" si="29"/>
        <v>570</v>
      </c>
    </row>
    <row r="178" spans="1:23" x14ac:dyDescent="0.3">
      <c r="A178" t="s">
        <v>2280</v>
      </c>
      <c r="B178" s="45" t="str">
        <f t="shared" si="20"/>
        <v>Terrance</v>
      </c>
      <c r="C178" t="s">
        <v>1011</v>
      </c>
      <c r="D178" t="s">
        <v>455</v>
      </c>
      <c r="E178" s="45" t="str">
        <f t="shared" si="21"/>
        <v>Johnson</v>
      </c>
      <c r="F178" s="45" t="str">
        <f t="shared" si="22"/>
        <v>Terrance V Johnson</v>
      </c>
      <c r="G178" t="s">
        <v>264</v>
      </c>
      <c r="H178" t="str">
        <f t="shared" si="23"/>
        <v>Male</v>
      </c>
      <c r="I178" t="s">
        <v>2279</v>
      </c>
      <c r="J178" t="s">
        <v>255</v>
      </c>
      <c r="K178" t="s">
        <v>57</v>
      </c>
      <c r="L178">
        <v>60090</v>
      </c>
      <c r="O178" t="s">
        <v>2278</v>
      </c>
      <c r="P178" s="45" t="str">
        <f t="shared" si="24"/>
        <v>hotmail</v>
      </c>
      <c r="Q178" t="s">
        <v>2277</v>
      </c>
      <c r="R178" s="45" t="str">
        <f t="shared" si="25"/>
        <v>847|861|0967</v>
      </c>
      <c r="S178" s="45" t="str">
        <f t="shared" si="26"/>
        <v>847</v>
      </c>
      <c r="T178" s="45" t="str">
        <f t="shared" si="27"/>
        <v>861</v>
      </c>
      <c r="U178" s="45" t="str">
        <f t="shared" si="28"/>
        <v>0967</v>
      </c>
      <c r="V178" s="2" t="s">
        <v>2276</v>
      </c>
      <c r="W178" s="45" t="str">
        <f t="shared" si="29"/>
        <v>753</v>
      </c>
    </row>
    <row r="179" spans="1:23" x14ac:dyDescent="0.3">
      <c r="A179" t="s">
        <v>662</v>
      </c>
      <c r="B179" s="45" t="str">
        <f t="shared" si="20"/>
        <v>Jesse</v>
      </c>
      <c r="C179" t="s">
        <v>56</v>
      </c>
      <c r="D179" t="s">
        <v>2275</v>
      </c>
      <c r="E179" s="45" t="str">
        <f t="shared" si="21"/>
        <v>Catlin</v>
      </c>
      <c r="F179" s="45" t="str">
        <f t="shared" si="22"/>
        <v>Jesse J Catlin</v>
      </c>
      <c r="G179" t="s">
        <v>264</v>
      </c>
      <c r="H179" t="str">
        <f t="shared" si="23"/>
        <v>Male</v>
      </c>
      <c r="I179" t="s">
        <v>2274</v>
      </c>
      <c r="J179" t="s">
        <v>792</v>
      </c>
      <c r="K179" t="s">
        <v>101</v>
      </c>
      <c r="L179">
        <v>97205</v>
      </c>
      <c r="O179" t="s">
        <v>2273</v>
      </c>
      <c r="P179" s="45" t="str">
        <f t="shared" si="24"/>
        <v>aol</v>
      </c>
      <c r="Q179" t="s">
        <v>2272</v>
      </c>
      <c r="R179" s="45" t="str">
        <f t="shared" si="25"/>
        <v>215|525|3830</v>
      </c>
      <c r="S179" s="45" t="str">
        <f t="shared" si="26"/>
        <v>215</v>
      </c>
      <c r="T179" s="45" t="str">
        <f t="shared" si="27"/>
        <v>525</v>
      </c>
      <c r="U179" s="45" t="str">
        <f t="shared" si="28"/>
        <v>3830</v>
      </c>
      <c r="V179" s="2" t="s">
        <v>2271</v>
      </c>
      <c r="W179" s="45" t="str">
        <f t="shared" si="29"/>
        <v>6361</v>
      </c>
    </row>
    <row r="180" spans="1:23" x14ac:dyDescent="0.3">
      <c r="A180" t="s">
        <v>2270</v>
      </c>
      <c r="B180" s="45" t="str">
        <f t="shared" si="20"/>
        <v>Maria</v>
      </c>
      <c r="C180" t="s">
        <v>81</v>
      </c>
      <c r="D180" t="s">
        <v>2269</v>
      </c>
      <c r="E180" s="45" t="str">
        <f t="shared" si="21"/>
        <v>Kinsley</v>
      </c>
      <c r="F180" s="45" t="str">
        <f t="shared" si="22"/>
        <v>Maria A Kinsley</v>
      </c>
      <c r="G180" t="s">
        <v>241</v>
      </c>
      <c r="H180" t="str">
        <f t="shared" si="23"/>
        <v>Female</v>
      </c>
      <c r="I180" t="s">
        <v>2268</v>
      </c>
      <c r="J180" t="s">
        <v>2267</v>
      </c>
      <c r="K180" t="s">
        <v>66</v>
      </c>
      <c r="L180">
        <v>76357</v>
      </c>
      <c r="O180" t="s">
        <v>2266</v>
      </c>
      <c r="P180" s="45" t="str">
        <f t="shared" si="24"/>
        <v>gmail</v>
      </c>
      <c r="Q180" t="s">
        <v>2265</v>
      </c>
      <c r="R180" s="45" t="str">
        <f t="shared" si="25"/>
        <v>940|529|0323</v>
      </c>
      <c r="S180" s="45" t="str">
        <f t="shared" si="26"/>
        <v>940</v>
      </c>
      <c r="T180" s="45" t="str">
        <f t="shared" si="27"/>
        <v>529</v>
      </c>
      <c r="U180" s="45" t="str">
        <f t="shared" si="28"/>
        <v>0323</v>
      </c>
      <c r="V180" s="2" t="s">
        <v>2264</v>
      </c>
      <c r="W180" s="45" t="str">
        <f t="shared" si="29"/>
        <v>660</v>
      </c>
    </row>
    <row r="181" spans="1:23" x14ac:dyDescent="0.3">
      <c r="A181" t="s">
        <v>295</v>
      </c>
      <c r="B181" s="45" t="str">
        <f t="shared" si="20"/>
        <v>William</v>
      </c>
      <c r="C181" t="s">
        <v>75</v>
      </c>
      <c r="D181" t="s">
        <v>2263</v>
      </c>
      <c r="E181" s="45" t="str">
        <f t="shared" si="21"/>
        <v>Potts</v>
      </c>
      <c r="F181" s="45" t="str">
        <f t="shared" si="22"/>
        <v>William B Potts</v>
      </c>
      <c r="G181" t="s">
        <v>264</v>
      </c>
      <c r="H181" t="str">
        <f t="shared" si="23"/>
        <v>Male</v>
      </c>
      <c r="I181" t="s">
        <v>2262</v>
      </c>
      <c r="J181" t="s">
        <v>2261</v>
      </c>
      <c r="K181" t="s">
        <v>61</v>
      </c>
      <c r="L181">
        <v>23222</v>
      </c>
      <c r="O181" t="s">
        <v>2260</v>
      </c>
      <c r="P181" s="45" t="str">
        <f t="shared" si="24"/>
        <v>gmail</v>
      </c>
      <c r="Q181" t="s">
        <v>2259</v>
      </c>
      <c r="R181" s="45" t="str">
        <f t="shared" si="25"/>
        <v>804|724|5205</v>
      </c>
      <c r="S181" s="45" t="str">
        <f t="shared" si="26"/>
        <v>804</v>
      </c>
      <c r="T181" s="45" t="str">
        <f t="shared" si="27"/>
        <v>724</v>
      </c>
      <c r="U181" s="45" t="str">
        <f t="shared" si="28"/>
        <v>5205</v>
      </c>
      <c r="V181" s="2" t="s">
        <v>2258</v>
      </c>
      <c r="W181" s="45" t="str">
        <f t="shared" si="29"/>
        <v>3726</v>
      </c>
    </row>
    <row r="182" spans="1:23" x14ac:dyDescent="0.3">
      <c r="A182" t="s">
        <v>2257</v>
      </c>
      <c r="B182" s="45" t="str">
        <f t="shared" si="20"/>
        <v>Danielle</v>
      </c>
      <c r="C182" t="s">
        <v>69</v>
      </c>
      <c r="D182" t="s">
        <v>2256</v>
      </c>
      <c r="E182" s="45" t="str">
        <f t="shared" si="21"/>
        <v>Magnusson</v>
      </c>
      <c r="F182" s="45" t="str">
        <f t="shared" si="22"/>
        <v>Danielle H Magnusson</v>
      </c>
      <c r="G182" t="s">
        <v>241</v>
      </c>
      <c r="H182" t="str">
        <f t="shared" si="23"/>
        <v>Female</v>
      </c>
      <c r="I182" t="s">
        <v>2255</v>
      </c>
      <c r="J182" t="s">
        <v>2254</v>
      </c>
      <c r="K182" t="s">
        <v>58</v>
      </c>
      <c r="L182">
        <v>93440</v>
      </c>
      <c r="O182" t="s">
        <v>2253</v>
      </c>
      <c r="P182" s="45" t="str">
        <f t="shared" si="24"/>
        <v>aol</v>
      </c>
      <c r="Q182" t="s">
        <v>2252</v>
      </c>
      <c r="R182" s="45" t="str">
        <f t="shared" si="25"/>
        <v>805|344|2705</v>
      </c>
      <c r="S182" s="45" t="str">
        <f t="shared" si="26"/>
        <v>805</v>
      </c>
      <c r="T182" s="45" t="str">
        <f t="shared" si="27"/>
        <v>344</v>
      </c>
      <c r="U182" s="45" t="str">
        <f t="shared" si="28"/>
        <v>2705</v>
      </c>
      <c r="V182" s="2" t="s">
        <v>2251</v>
      </c>
      <c r="W182" s="45" t="str">
        <f t="shared" si="29"/>
        <v>7249</v>
      </c>
    </row>
    <row r="183" spans="1:23" x14ac:dyDescent="0.3">
      <c r="A183" t="s">
        <v>2250</v>
      </c>
      <c r="B183" s="45" t="str">
        <f t="shared" si="20"/>
        <v>Heidi</v>
      </c>
      <c r="C183" t="s">
        <v>243</v>
      </c>
      <c r="D183" t="s">
        <v>2249</v>
      </c>
      <c r="E183" s="45" t="str">
        <f t="shared" si="21"/>
        <v>Woody</v>
      </c>
      <c r="F183" s="45" t="str">
        <f t="shared" si="22"/>
        <v>Heidi R Woody</v>
      </c>
      <c r="G183" t="s">
        <v>241</v>
      </c>
      <c r="H183" t="str">
        <f t="shared" si="23"/>
        <v>Female</v>
      </c>
      <c r="I183" t="s">
        <v>2248</v>
      </c>
      <c r="J183" t="s">
        <v>2247</v>
      </c>
      <c r="K183" t="s">
        <v>101</v>
      </c>
      <c r="L183">
        <v>17019</v>
      </c>
      <c r="O183" t="s">
        <v>2246</v>
      </c>
      <c r="P183" s="45" t="str">
        <f t="shared" si="24"/>
        <v>aol</v>
      </c>
      <c r="Q183" t="s">
        <v>2245</v>
      </c>
      <c r="R183" s="45" t="str">
        <f t="shared" si="25"/>
        <v>717|502|2596</v>
      </c>
      <c r="S183" s="45" t="str">
        <f t="shared" si="26"/>
        <v>717</v>
      </c>
      <c r="T183" s="45" t="str">
        <f t="shared" si="27"/>
        <v>502</v>
      </c>
      <c r="U183" s="45" t="str">
        <f t="shared" si="28"/>
        <v>2596</v>
      </c>
      <c r="V183" s="2" t="s">
        <v>2244</v>
      </c>
      <c r="W183" s="45" t="str">
        <f t="shared" si="29"/>
        <v>389</v>
      </c>
    </row>
    <row r="184" spans="1:23" x14ac:dyDescent="0.3">
      <c r="A184" t="s">
        <v>1424</v>
      </c>
      <c r="B184" s="45" t="str">
        <f t="shared" si="20"/>
        <v>George</v>
      </c>
      <c r="C184" t="s">
        <v>81</v>
      </c>
      <c r="D184" t="s">
        <v>2243</v>
      </c>
      <c r="E184" s="45" t="str">
        <f t="shared" si="21"/>
        <v>Reynolds</v>
      </c>
      <c r="F184" s="45" t="str">
        <f t="shared" si="22"/>
        <v>George A Reynolds</v>
      </c>
      <c r="G184" t="s">
        <v>264</v>
      </c>
      <c r="H184" t="str">
        <f t="shared" si="23"/>
        <v>Male</v>
      </c>
      <c r="I184" t="s">
        <v>2242</v>
      </c>
      <c r="J184" t="s">
        <v>2241</v>
      </c>
      <c r="K184" t="s">
        <v>58</v>
      </c>
      <c r="L184">
        <v>93721</v>
      </c>
      <c r="O184" t="s">
        <v>2240</v>
      </c>
      <c r="P184" s="45" t="str">
        <f t="shared" si="24"/>
        <v>hotmail</v>
      </c>
      <c r="Q184" t="s">
        <v>2239</v>
      </c>
      <c r="R184" s="45" t="str">
        <f t="shared" si="25"/>
        <v>559|750|6863</v>
      </c>
      <c r="S184" s="45" t="str">
        <f t="shared" si="26"/>
        <v>559</v>
      </c>
      <c r="T184" s="45" t="str">
        <f t="shared" si="27"/>
        <v>750</v>
      </c>
      <c r="U184" s="45" t="str">
        <f t="shared" si="28"/>
        <v>6863</v>
      </c>
      <c r="V184" s="2" t="s">
        <v>2238</v>
      </c>
      <c r="W184" s="45" t="str">
        <f t="shared" si="29"/>
        <v>2623</v>
      </c>
    </row>
    <row r="185" spans="1:23" x14ac:dyDescent="0.3">
      <c r="A185" t="s">
        <v>2237</v>
      </c>
      <c r="B185" s="45" t="str">
        <f t="shared" si="20"/>
        <v>Marlin</v>
      </c>
      <c r="C185" t="s">
        <v>70</v>
      </c>
      <c r="D185" t="s">
        <v>2236</v>
      </c>
      <c r="E185" s="45" t="str">
        <f t="shared" si="21"/>
        <v>Cambridge</v>
      </c>
      <c r="F185" s="45" t="str">
        <f t="shared" si="22"/>
        <v>Marlin F Cambridge</v>
      </c>
      <c r="G185" t="s">
        <v>264</v>
      </c>
      <c r="H185" t="str">
        <f t="shared" si="23"/>
        <v>Male</v>
      </c>
      <c r="I185" t="s">
        <v>2235</v>
      </c>
      <c r="J185" t="s">
        <v>41</v>
      </c>
      <c r="K185" t="s">
        <v>88</v>
      </c>
      <c r="L185">
        <v>43616</v>
      </c>
      <c r="O185" t="s">
        <v>2234</v>
      </c>
      <c r="P185" s="45" t="str">
        <f t="shared" si="24"/>
        <v>gmail</v>
      </c>
      <c r="Q185" t="s">
        <v>2233</v>
      </c>
      <c r="R185" s="45" t="str">
        <f t="shared" si="25"/>
        <v>419|696|7169</v>
      </c>
      <c r="S185" s="45" t="str">
        <f t="shared" si="26"/>
        <v>419</v>
      </c>
      <c r="T185" s="45" t="str">
        <f t="shared" si="27"/>
        <v>696</v>
      </c>
      <c r="U185" s="45" t="str">
        <f t="shared" si="28"/>
        <v>7169</v>
      </c>
      <c r="V185" s="2" t="s">
        <v>2232</v>
      </c>
      <c r="W185" s="45" t="str">
        <f t="shared" si="29"/>
        <v>2193</v>
      </c>
    </row>
    <row r="186" spans="1:23" x14ac:dyDescent="0.3">
      <c r="A186" t="s">
        <v>328</v>
      </c>
      <c r="B186" s="45" t="str">
        <f t="shared" si="20"/>
        <v>Lucy</v>
      </c>
      <c r="C186" t="s">
        <v>463</v>
      </c>
      <c r="D186" t="s">
        <v>550</v>
      </c>
      <c r="E186" s="45" t="str">
        <f t="shared" si="21"/>
        <v>Murray</v>
      </c>
      <c r="F186" s="45" t="str">
        <f t="shared" si="22"/>
        <v>Lucy W Murray</v>
      </c>
      <c r="G186" t="s">
        <v>241</v>
      </c>
      <c r="H186" t="str">
        <f t="shared" si="23"/>
        <v>Female</v>
      </c>
      <c r="I186" t="s">
        <v>2231</v>
      </c>
      <c r="J186" t="s">
        <v>852</v>
      </c>
      <c r="K186" t="s">
        <v>96</v>
      </c>
      <c r="L186">
        <v>80202</v>
      </c>
      <c r="O186" t="s">
        <v>2230</v>
      </c>
      <c r="P186" s="45" t="str">
        <f t="shared" si="24"/>
        <v>hotmail</v>
      </c>
      <c r="Q186" t="s">
        <v>2229</v>
      </c>
      <c r="R186" s="45" t="str">
        <f t="shared" si="25"/>
        <v>720|530|1785</v>
      </c>
      <c r="S186" s="45" t="str">
        <f t="shared" si="26"/>
        <v>720</v>
      </c>
      <c r="T186" s="45" t="str">
        <f t="shared" si="27"/>
        <v>530</v>
      </c>
      <c r="U186" s="45" t="str">
        <f t="shared" si="28"/>
        <v>1785</v>
      </c>
      <c r="V186" s="2" t="s">
        <v>2228</v>
      </c>
      <c r="W186" s="45" t="str">
        <f t="shared" si="29"/>
        <v>527</v>
      </c>
    </row>
    <row r="187" spans="1:23" x14ac:dyDescent="0.3">
      <c r="A187" t="s">
        <v>855</v>
      </c>
      <c r="B187" s="45" t="str">
        <f t="shared" si="20"/>
        <v>Mark</v>
      </c>
      <c r="C187" t="s">
        <v>60</v>
      </c>
      <c r="D187" t="s">
        <v>2227</v>
      </c>
      <c r="E187" s="45" t="str">
        <f t="shared" si="21"/>
        <v>Numbers</v>
      </c>
      <c r="F187" s="45" t="str">
        <f t="shared" si="22"/>
        <v>Mark M Numbers</v>
      </c>
      <c r="G187" t="s">
        <v>264</v>
      </c>
      <c r="H187" t="str">
        <f t="shared" si="23"/>
        <v>Male</v>
      </c>
      <c r="I187" t="s">
        <v>2226</v>
      </c>
      <c r="J187" t="s">
        <v>979</v>
      </c>
      <c r="K187" t="s">
        <v>79</v>
      </c>
      <c r="L187">
        <v>33614</v>
      </c>
      <c r="O187" t="s">
        <v>2225</v>
      </c>
      <c r="P187" s="45" t="str">
        <f t="shared" si="24"/>
        <v>hotmail</v>
      </c>
      <c r="Q187" t="s">
        <v>2224</v>
      </c>
      <c r="R187" s="45" t="str">
        <f t="shared" si="25"/>
        <v>813|774|9998</v>
      </c>
      <c r="S187" s="45" t="str">
        <f t="shared" si="26"/>
        <v>813</v>
      </c>
      <c r="T187" s="45" t="str">
        <f t="shared" si="27"/>
        <v>774</v>
      </c>
      <c r="U187" s="45" t="str">
        <f t="shared" si="28"/>
        <v>9998</v>
      </c>
      <c r="V187" s="2" t="s">
        <v>2223</v>
      </c>
      <c r="W187" s="45" t="str">
        <f t="shared" si="29"/>
        <v>156</v>
      </c>
    </row>
    <row r="188" spans="1:23" x14ac:dyDescent="0.3">
      <c r="A188" t="s">
        <v>2222</v>
      </c>
      <c r="B188" s="45" t="str">
        <f t="shared" si="20"/>
        <v>Grover</v>
      </c>
      <c r="C188" t="s">
        <v>91</v>
      </c>
      <c r="D188" t="s">
        <v>2221</v>
      </c>
      <c r="E188" s="45" t="str">
        <f t="shared" si="21"/>
        <v>Manning</v>
      </c>
      <c r="F188" s="45" t="str">
        <f t="shared" si="22"/>
        <v>Grover L Manning</v>
      </c>
      <c r="G188" t="s">
        <v>264</v>
      </c>
      <c r="H188" t="str">
        <f t="shared" si="23"/>
        <v>Male</v>
      </c>
      <c r="I188" t="s">
        <v>2220</v>
      </c>
      <c r="J188" t="s">
        <v>239</v>
      </c>
      <c r="K188" t="s">
        <v>95</v>
      </c>
      <c r="L188">
        <v>21201</v>
      </c>
      <c r="O188" t="s">
        <v>2219</v>
      </c>
      <c r="P188" s="45" t="str">
        <f t="shared" si="24"/>
        <v>gmail</v>
      </c>
      <c r="Q188" t="s">
        <v>2218</v>
      </c>
      <c r="R188" s="45" t="str">
        <f t="shared" si="25"/>
        <v>443|441|3108</v>
      </c>
      <c r="S188" s="45" t="str">
        <f t="shared" si="26"/>
        <v>443</v>
      </c>
      <c r="T188" s="45" t="str">
        <f t="shared" si="27"/>
        <v>441</v>
      </c>
      <c r="U188" s="45" t="str">
        <f t="shared" si="28"/>
        <v>3108</v>
      </c>
      <c r="V188" s="2" t="s">
        <v>2217</v>
      </c>
      <c r="W188" s="45" t="str">
        <f t="shared" si="29"/>
        <v>0868</v>
      </c>
    </row>
    <row r="189" spans="1:23" x14ac:dyDescent="0.3">
      <c r="A189" t="s">
        <v>2216</v>
      </c>
      <c r="B189" s="45" t="str">
        <f t="shared" si="20"/>
        <v>Patricia</v>
      </c>
      <c r="C189" t="s">
        <v>81</v>
      </c>
      <c r="D189" t="s">
        <v>2215</v>
      </c>
      <c r="E189" s="45" t="str">
        <f t="shared" si="21"/>
        <v>Simmons</v>
      </c>
      <c r="F189" s="45" t="str">
        <f t="shared" si="22"/>
        <v>Patricia A Simmons</v>
      </c>
      <c r="G189" t="s">
        <v>241</v>
      </c>
      <c r="H189" t="str">
        <f t="shared" si="23"/>
        <v>Female</v>
      </c>
      <c r="I189" t="s">
        <v>2214</v>
      </c>
      <c r="J189" t="s">
        <v>1623</v>
      </c>
      <c r="K189" t="s">
        <v>58</v>
      </c>
      <c r="L189">
        <v>91302</v>
      </c>
      <c r="O189" t="s">
        <v>2213</v>
      </c>
      <c r="P189" s="45" t="str">
        <f t="shared" si="24"/>
        <v>hotmail</v>
      </c>
      <c r="Q189" t="s">
        <v>2212</v>
      </c>
      <c r="R189" s="45" t="str">
        <f t="shared" si="25"/>
        <v>818|871|5647</v>
      </c>
      <c r="S189" s="45" t="str">
        <f t="shared" si="26"/>
        <v>818</v>
      </c>
      <c r="T189" s="45" t="str">
        <f t="shared" si="27"/>
        <v>871</v>
      </c>
      <c r="U189" s="45" t="str">
        <f t="shared" si="28"/>
        <v>5647</v>
      </c>
      <c r="V189" s="2" t="s">
        <v>2211</v>
      </c>
      <c r="W189" s="45" t="str">
        <f t="shared" si="29"/>
        <v>081</v>
      </c>
    </row>
    <row r="190" spans="1:23" x14ac:dyDescent="0.3">
      <c r="A190" t="s">
        <v>2210</v>
      </c>
      <c r="B190" s="45" t="str">
        <f t="shared" si="20"/>
        <v>Vivian</v>
      </c>
      <c r="C190" t="s">
        <v>56</v>
      </c>
      <c r="D190" t="s">
        <v>2209</v>
      </c>
      <c r="E190" s="45" t="str">
        <f t="shared" si="21"/>
        <v>Rosario</v>
      </c>
      <c r="F190" s="45" t="str">
        <f t="shared" si="22"/>
        <v>Vivian J Rosario</v>
      </c>
      <c r="G190" t="s">
        <v>241</v>
      </c>
      <c r="H190" t="str">
        <f t="shared" si="23"/>
        <v>Female</v>
      </c>
      <c r="I190" t="s">
        <v>2208</v>
      </c>
      <c r="J190" t="s">
        <v>2207</v>
      </c>
      <c r="K190" t="s">
        <v>79</v>
      </c>
      <c r="L190">
        <v>33952</v>
      </c>
      <c r="O190" t="s">
        <v>2206</v>
      </c>
      <c r="P190" s="45" t="str">
        <f t="shared" si="24"/>
        <v>hotmail</v>
      </c>
      <c r="Q190" t="s">
        <v>2205</v>
      </c>
      <c r="R190" s="45" t="str">
        <f t="shared" si="25"/>
        <v>941|235|5999</v>
      </c>
      <c r="S190" s="45" t="str">
        <f t="shared" si="26"/>
        <v>941</v>
      </c>
      <c r="T190" s="45" t="str">
        <f t="shared" si="27"/>
        <v>235</v>
      </c>
      <c r="U190" s="45" t="str">
        <f t="shared" si="28"/>
        <v>5999</v>
      </c>
      <c r="V190" s="2" t="s">
        <v>2204</v>
      </c>
      <c r="W190" s="45" t="str">
        <f t="shared" si="29"/>
        <v>618</v>
      </c>
    </row>
    <row r="191" spans="1:23" x14ac:dyDescent="0.3">
      <c r="A191" t="s">
        <v>498</v>
      </c>
      <c r="B191" s="45" t="str">
        <f t="shared" si="20"/>
        <v>Mary</v>
      </c>
      <c r="C191" t="s">
        <v>60</v>
      </c>
      <c r="D191" t="s">
        <v>2203</v>
      </c>
      <c r="E191" s="45" t="str">
        <f t="shared" si="21"/>
        <v>Foltz</v>
      </c>
      <c r="F191" s="45" t="str">
        <f t="shared" si="22"/>
        <v>Mary M Foltz</v>
      </c>
      <c r="G191" t="s">
        <v>241</v>
      </c>
      <c r="H191" t="str">
        <f t="shared" si="23"/>
        <v>Female</v>
      </c>
      <c r="I191" t="s">
        <v>2202</v>
      </c>
      <c r="J191" t="s">
        <v>1630</v>
      </c>
      <c r="K191" t="s">
        <v>71</v>
      </c>
      <c r="L191">
        <v>2905</v>
      </c>
      <c r="O191" t="s">
        <v>2201</v>
      </c>
      <c r="P191" s="45" t="str">
        <f t="shared" si="24"/>
        <v>gmail</v>
      </c>
      <c r="Q191" t="s">
        <v>2200</v>
      </c>
      <c r="R191" s="45" t="str">
        <f t="shared" si="25"/>
        <v>401|350|1932</v>
      </c>
      <c r="S191" s="45" t="str">
        <f t="shared" si="26"/>
        <v>401</v>
      </c>
      <c r="T191" s="45" t="str">
        <f t="shared" si="27"/>
        <v>350</v>
      </c>
      <c r="U191" s="45" t="str">
        <f t="shared" si="28"/>
        <v>1932</v>
      </c>
      <c r="V191" s="2" t="s">
        <v>2199</v>
      </c>
      <c r="W191" s="45" t="str">
        <f t="shared" si="29"/>
        <v>318</v>
      </c>
    </row>
    <row r="192" spans="1:23" x14ac:dyDescent="0.3">
      <c r="A192" t="s">
        <v>1132</v>
      </c>
      <c r="B192" s="45" t="str">
        <f t="shared" si="20"/>
        <v>Martin</v>
      </c>
      <c r="C192" t="s">
        <v>361</v>
      </c>
      <c r="D192" t="s">
        <v>2198</v>
      </c>
      <c r="E192" s="45" t="str">
        <f t="shared" si="21"/>
        <v>Schaal</v>
      </c>
      <c r="F192" s="45" t="str">
        <f t="shared" si="22"/>
        <v>Martin T Schaal</v>
      </c>
      <c r="G192" t="s">
        <v>264</v>
      </c>
      <c r="H192" t="str">
        <f t="shared" si="23"/>
        <v>Male</v>
      </c>
      <c r="I192" t="s">
        <v>2197</v>
      </c>
      <c r="J192" t="s">
        <v>1893</v>
      </c>
      <c r="K192" t="s">
        <v>58</v>
      </c>
      <c r="L192">
        <v>90405</v>
      </c>
      <c r="O192" t="s">
        <v>2196</v>
      </c>
      <c r="P192" s="45" t="str">
        <f t="shared" si="24"/>
        <v>hotmail</v>
      </c>
      <c r="Q192" t="s">
        <v>2195</v>
      </c>
      <c r="R192" s="45" t="str">
        <f t="shared" si="25"/>
        <v>310|267|5199</v>
      </c>
      <c r="S192" s="45" t="str">
        <f t="shared" si="26"/>
        <v>310</v>
      </c>
      <c r="T192" s="45" t="str">
        <f t="shared" si="27"/>
        <v>267</v>
      </c>
      <c r="U192" s="45" t="str">
        <f t="shared" si="28"/>
        <v>5199</v>
      </c>
      <c r="V192" s="2" t="s">
        <v>2194</v>
      </c>
      <c r="W192" s="45" t="str">
        <f t="shared" si="29"/>
        <v>1277</v>
      </c>
    </row>
    <row r="193" spans="1:23" x14ac:dyDescent="0.3">
      <c r="A193" t="s">
        <v>523</v>
      </c>
      <c r="B193" s="45" t="str">
        <f t="shared" si="20"/>
        <v>John</v>
      </c>
      <c r="C193" t="s">
        <v>77</v>
      </c>
      <c r="D193" t="s">
        <v>2193</v>
      </c>
      <c r="E193" s="45" t="str">
        <f t="shared" si="21"/>
        <v>Kile</v>
      </c>
      <c r="F193" s="45" t="str">
        <f t="shared" si="22"/>
        <v>John C Kile</v>
      </c>
      <c r="G193" t="s">
        <v>264</v>
      </c>
      <c r="H193" t="str">
        <f t="shared" si="23"/>
        <v>Male</v>
      </c>
      <c r="I193" t="s">
        <v>2192</v>
      </c>
      <c r="J193" t="s">
        <v>2191</v>
      </c>
      <c r="K193" t="s">
        <v>106</v>
      </c>
      <c r="L193">
        <v>5448</v>
      </c>
      <c r="O193" t="s">
        <v>2190</v>
      </c>
      <c r="P193" s="45" t="str">
        <f t="shared" si="24"/>
        <v>hotmail</v>
      </c>
      <c r="Q193" t="s">
        <v>2189</v>
      </c>
      <c r="R193" s="45" t="str">
        <f t="shared" si="25"/>
        <v>802|664|2037</v>
      </c>
      <c r="S193" s="45" t="str">
        <f t="shared" si="26"/>
        <v>802</v>
      </c>
      <c r="T193" s="45" t="str">
        <f t="shared" si="27"/>
        <v>664</v>
      </c>
      <c r="U193" s="45" t="str">
        <f t="shared" si="28"/>
        <v>2037</v>
      </c>
      <c r="V193" s="2" t="s">
        <v>2188</v>
      </c>
      <c r="W193" s="45" t="str">
        <f t="shared" si="29"/>
        <v>6645</v>
      </c>
    </row>
    <row r="194" spans="1:23" x14ac:dyDescent="0.3">
      <c r="A194" t="s">
        <v>1479</v>
      </c>
      <c r="B194" s="45" t="str">
        <f t="shared" si="20"/>
        <v>Joan</v>
      </c>
      <c r="C194" t="s">
        <v>56</v>
      </c>
      <c r="D194" t="s">
        <v>2187</v>
      </c>
      <c r="E194" s="45" t="str">
        <f t="shared" si="21"/>
        <v>Willingham</v>
      </c>
      <c r="F194" s="45" t="str">
        <f t="shared" si="22"/>
        <v>Joan J Willingham</v>
      </c>
      <c r="G194" t="s">
        <v>241</v>
      </c>
      <c r="H194" t="str">
        <f t="shared" si="23"/>
        <v>Female</v>
      </c>
      <c r="I194" t="s">
        <v>2186</v>
      </c>
      <c r="J194" t="s">
        <v>2185</v>
      </c>
      <c r="K194" t="s">
        <v>114</v>
      </c>
      <c r="L194">
        <v>59901</v>
      </c>
      <c r="O194" t="s">
        <v>2184</v>
      </c>
      <c r="P194" s="45" t="str">
        <f t="shared" si="24"/>
        <v>hotmail</v>
      </c>
      <c r="Q194" t="s">
        <v>2183</v>
      </c>
      <c r="R194" s="45" t="str">
        <f t="shared" si="25"/>
        <v>406|257|3839</v>
      </c>
      <c r="S194" s="45" t="str">
        <f t="shared" si="26"/>
        <v>406</v>
      </c>
      <c r="T194" s="45" t="str">
        <f t="shared" si="27"/>
        <v>257</v>
      </c>
      <c r="U194" s="45" t="str">
        <f t="shared" si="28"/>
        <v>3839</v>
      </c>
      <c r="V194" s="2" t="s">
        <v>2182</v>
      </c>
      <c r="W194" s="45" t="str">
        <f t="shared" si="29"/>
        <v>6503</v>
      </c>
    </row>
    <row r="195" spans="1:23" x14ac:dyDescent="0.3">
      <c r="A195" t="s">
        <v>464</v>
      </c>
      <c r="B195" s="45" t="str">
        <f t="shared" ref="B195:B258" si="30">PROPER(A195)</f>
        <v>Barbara</v>
      </c>
      <c r="C195" t="s">
        <v>91</v>
      </c>
      <c r="D195" t="s">
        <v>2181</v>
      </c>
      <c r="E195" s="45" t="str">
        <f t="shared" ref="E195:E258" si="31">PROPER(D195)</f>
        <v>Long</v>
      </c>
      <c r="F195" s="45" t="str">
        <f t="shared" ref="F195:F258" si="32">_xlfn.CONCAT(B195," ",C195," ",E195)</f>
        <v>Barbara L Long</v>
      </c>
      <c r="G195" t="s">
        <v>241</v>
      </c>
      <c r="H195" t="str">
        <f t="shared" ref="H195:H258" si="33">PROPER(G195)</f>
        <v>Female</v>
      </c>
      <c r="I195" t="s">
        <v>2180</v>
      </c>
      <c r="J195" t="s">
        <v>2179</v>
      </c>
      <c r="K195" t="s">
        <v>109</v>
      </c>
      <c r="L195">
        <v>98932</v>
      </c>
      <c r="O195" t="s">
        <v>2178</v>
      </c>
      <c r="P195" s="45" t="str">
        <f t="shared" ref="P195:P258" si="34">_xlfn.TEXTBEFORE(_xlfn.TEXTAFTER(O195,"@"),".")</f>
        <v>hotmail</v>
      </c>
      <c r="Q195" t="s">
        <v>2177</v>
      </c>
      <c r="R195" s="45" t="str">
        <f t="shared" ref="R195:R258" si="35">SUBSTITUTE(Q195,"-","|")</f>
        <v>509|854|4493</v>
      </c>
      <c r="S195" s="45" t="str">
        <f t="shared" ref="S195:S258" si="36">LEFT(R195,3)</f>
        <v>509</v>
      </c>
      <c r="T195" s="45" t="str">
        <f t="shared" ref="T195:T258" si="37">MID(R195,5,3)</f>
        <v>854</v>
      </c>
      <c r="U195" s="45" t="str">
        <f t="shared" ref="U195:U258" si="38">RIGHT(R195,4)</f>
        <v>4493</v>
      </c>
      <c r="V195" s="2" t="s">
        <v>2176</v>
      </c>
      <c r="W195" s="45" t="str">
        <f t="shared" ref="W195:W258" si="39">RIGHT(V195,LEN(V195)-FIND("-",V195))</f>
        <v>9542</v>
      </c>
    </row>
    <row r="196" spans="1:23" x14ac:dyDescent="0.3">
      <c r="A196" t="s">
        <v>369</v>
      </c>
      <c r="B196" s="45" t="str">
        <f t="shared" si="30"/>
        <v>David</v>
      </c>
      <c r="C196" t="s">
        <v>807</v>
      </c>
      <c r="D196" t="s">
        <v>2175</v>
      </c>
      <c r="E196" s="45" t="str">
        <f t="shared" si="31"/>
        <v>Stuart</v>
      </c>
      <c r="F196" s="45" t="str">
        <f t="shared" si="32"/>
        <v>David N Stuart</v>
      </c>
      <c r="G196" t="s">
        <v>264</v>
      </c>
      <c r="H196" t="str">
        <f t="shared" si="33"/>
        <v>Male</v>
      </c>
      <c r="I196" t="s">
        <v>2174</v>
      </c>
      <c r="J196" t="s">
        <v>2173</v>
      </c>
      <c r="K196" t="s">
        <v>57</v>
      </c>
      <c r="L196">
        <v>60173</v>
      </c>
      <c r="O196" t="s">
        <v>2172</v>
      </c>
      <c r="P196" s="45" t="str">
        <f t="shared" si="34"/>
        <v>hotmail</v>
      </c>
      <c r="Q196" t="s">
        <v>2171</v>
      </c>
      <c r="R196" s="45" t="str">
        <f t="shared" si="35"/>
        <v>708|525|4749</v>
      </c>
      <c r="S196" s="45" t="str">
        <f t="shared" si="36"/>
        <v>708</v>
      </c>
      <c r="T196" s="45" t="str">
        <f t="shared" si="37"/>
        <v>525</v>
      </c>
      <c r="U196" s="45" t="str">
        <f t="shared" si="38"/>
        <v>4749</v>
      </c>
      <c r="V196" s="2" t="s">
        <v>2170</v>
      </c>
      <c r="W196" s="45" t="str">
        <f t="shared" si="39"/>
        <v>1085</v>
      </c>
    </row>
    <row r="197" spans="1:23" x14ac:dyDescent="0.3">
      <c r="A197" t="s">
        <v>417</v>
      </c>
      <c r="B197" s="45" t="str">
        <f t="shared" si="30"/>
        <v>Ronald</v>
      </c>
      <c r="C197" t="s">
        <v>81</v>
      </c>
      <c r="D197" t="s">
        <v>2169</v>
      </c>
      <c r="E197" s="45" t="str">
        <f t="shared" si="31"/>
        <v>Easley</v>
      </c>
      <c r="F197" s="45" t="str">
        <f t="shared" si="32"/>
        <v>Ronald A Easley</v>
      </c>
      <c r="G197" t="s">
        <v>264</v>
      </c>
      <c r="H197" t="str">
        <f t="shared" si="33"/>
        <v>Male</v>
      </c>
      <c r="I197" t="s">
        <v>2168</v>
      </c>
      <c r="J197" t="s">
        <v>2167</v>
      </c>
      <c r="K197" t="s">
        <v>58</v>
      </c>
      <c r="L197">
        <v>91362</v>
      </c>
      <c r="O197" t="s">
        <v>2166</v>
      </c>
      <c r="P197" s="45" t="str">
        <f t="shared" si="34"/>
        <v>aol</v>
      </c>
      <c r="Q197" t="s">
        <v>2165</v>
      </c>
      <c r="R197" s="45" t="str">
        <f t="shared" si="35"/>
        <v>805|373|3889</v>
      </c>
      <c r="S197" s="45" t="str">
        <f t="shared" si="36"/>
        <v>805</v>
      </c>
      <c r="T197" s="45" t="str">
        <f t="shared" si="37"/>
        <v>373</v>
      </c>
      <c r="U197" s="45" t="str">
        <f t="shared" si="38"/>
        <v>3889</v>
      </c>
      <c r="V197" s="2" t="s">
        <v>2164</v>
      </c>
      <c r="W197" s="45" t="str">
        <f t="shared" si="39"/>
        <v>051</v>
      </c>
    </row>
    <row r="198" spans="1:23" x14ac:dyDescent="0.3">
      <c r="A198" t="s">
        <v>1976</v>
      </c>
      <c r="B198" s="45" t="str">
        <f t="shared" si="30"/>
        <v>Sharon</v>
      </c>
      <c r="C198" t="s">
        <v>243</v>
      </c>
      <c r="D198" t="s">
        <v>2163</v>
      </c>
      <c r="E198" s="45" t="str">
        <f t="shared" si="31"/>
        <v>Graham</v>
      </c>
      <c r="F198" s="45" t="str">
        <f t="shared" si="32"/>
        <v>Sharon R Graham</v>
      </c>
      <c r="G198" t="s">
        <v>241</v>
      </c>
      <c r="H198" t="str">
        <f t="shared" si="33"/>
        <v>Female</v>
      </c>
      <c r="I198" t="s">
        <v>2162</v>
      </c>
      <c r="J198" t="s">
        <v>36</v>
      </c>
      <c r="K198" t="s">
        <v>68</v>
      </c>
      <c r="L198">
        <v>10013</v>
      </c>
      <c r="O198" t="s">
        <v>2161</v>
      </c>
      <c r="P198" s="45" t="str">
        <f t="shared" si="34"/>
        <v>aol</v>
      </c>
      <c r="Q198" t="s">
        <v>2160</v>
      </c>
      <c r="R198" s="45" t="str">
        <f t="shared" si="35"/>
        <v>347|697|5792</v>
      </c>
      <c r="S198" s="45" t="str">
        <f t="shared" si="36"/>
        <v>347</v>
      </c>
      <c r="T198" s="45" t="str">
        <f t="shared" si="37"/>
        <v>697</v>
      </c>
      <c r="U198" s="45" t="str">
        <f t="shared" si="38"/>
        <v>5792</v>
      </c>
      <c r="V198" s="2" t="s">
        <v>2159</v>
      </c>
      <c r="W198" s="45" t="str">
        <f t="shared" si="39"/>
        <v>2125</v>
      </c>
    </row>
    <row r="199" spans="1:23" x14ac:dyDescent="0.3">
      <c r="A199" t="s">
        <v>1081</v>
      </c>
      <c r="B199" s="45" t="str">
        <f t="shared" si="30"/>
        <v>Darryl</v>
      </c>
      <c r="C199" t="s">
        <v>72</v>
      </c>
      <c r="D199" t="s">
        <v>1170</v>
      </c>
      <c r="E199" s="45" t="str">
        <f t="shared" si="31"/>
        <v>Ramirez</v>
      </c>
      <c r="F199" s="45" t="str">
        <f t="shared" si="32"/>
        <v>Darryl E Ramirez</v>
      </c>
      <c r="G199" t="s">
        <v>264</v>
      </c>
      <c r="H199" t="str">
        <f t="shared" si="33"/>
        <v>Male</v>
      </c>
      <c r="I199" t="s">
        <v>2158</v>
      </c>
      <c r="J199" t="s">
        <v>2114</v>
      </c>
      <c r="K199" t="s">
        <v>115</v>
      </c>
      <c r="L199">
        <v>72908</v>
      </c>
      <c r="O199" t="s">
        <v>2157</v>
      </c>
      <c r="P199" s="45" t="str">
        <f t="shared" si="34"/>
        <v>aol</v>
      </c>
      <c r="Q199" t="s">
        <v>2156</v>
      </c>
      <c r="R199" s="45" t="str">
        <f t="shared" si="35"/>
        <v>479|466|7147</v>
      </c>
      <c r="S199" s="45" t="str">
        <f t="shared" si="36"/>
        <v>479</v>
      </c>
      <c r="T199" s="45" t="str">
        <f t="shared" si="37"/>
        <v>466</v>
      </c>
      <c r="U199" s="45" t="str">
        <f t="shared" si="38"/>
        <v>7147</v>
      </c>
      <c r="V199" s="2" t="s">
        <v>2155</v>
      </c>
      <c r="W199" s="45" t="str">
        <f t="shared" si="39"/>
        <v>056</v>
      </c>
    </row>
    <row r="200" spans="1:23" x14ac:dyDescent="0.3">
      <c r="A200" t="s">
        <v>2154</v>
      </c>
      <c r="B200" s="45" t="str">
        <f t="shared" si="30"/>
        <v>Anne</v>
      </c>
      <c r="C200" t="s">
        <v>62</v>
      </c>
      <c r="D200" t="s">
        <v>2153</v>
      </c>
      <c r="E200" s="45" t="str">
        <f t="shared" si="31"/>
        <v>Zamora</v>
      </c>
      <c r="F200" s="45" t="str">
        <f t="shared" si="32"/>
        <v>Anne D Zamora</v>
      </c>
      <c r="G200" t="s">
        <v>241</v>
      </c>
      <c r="H200" t="str">
        <f t="shared" si="33"/>
        <v>Female</v>
      </c>
      <c r="I200" t="s">
        <v>2152</v>
      </c>
      <c r="J200" t="s">
        <v>1777</v>
      </c>
      <c r="K200" t="s">
        <v>89</v>
      </c>
      <c r="L200">
        <v>55415</v>
      </c>
      <c r="O200" t="s">
        <v>2151</v>
      </c>
      <c r="P200" s="45" t="str">
        <f t="shared" si="34"/>
        <v>gmail</v>
      </c>
      <c r="Q200" t="s">
        <v>2150</v>
      </c>
      <c r="R200" s="45" t="str">
        <f t="shared" si="35"/>
        <v>763|232|7639</v>
      </c>
      <c r="S200" s="45" t="str">
        <f t="shared" si="36"/>
        <v>763</v>
      </c>
      <c r="T200" s="45" t="str">
        <f t="shared" si="37"/>
        <v>232</v>
      </c>
      <c r="U200" s="45" t="str">
        <f t="shared" si="38"/>
        <v>7639</v>
      </c>
      <c r="V200" s="2" t="s">
        <v>2149</v>
      </c>
      <c r="W200" s="45" t="str">
        <f t="shared" si="39"/>
        <v>307</v>
      </c>
    </row>
    <row r="201" spans="1:23" x14ac:dyDescent="0.3">
      <c r="A201" t="s">
        <v>2148</v>
      </c>
      <c r="B201" s="45" t="str">
        <f t="shared" si="30"/>
        <v>Isaiah</v>
      </c>
      <c r="C201" t="s">
        <v>91</v>
      </c>
      <c r="D201" t="s">
        <v>2147</v>
      </c>
      <c r="E201" s="45" t="str">
        <f t="shared" si="31"/>
        <v>Buckner</v>
      </c>
      <c r="F201" s="45" t="str">
        <f t="shared" si="32"/>
        <v>Isaiah L Buckner</v>
      </c>
      <c r="G201" t="s">
        <v>264</v>
      </c>
      <c r="H201" t="str">
        <f t="shared" si="33"/>
        <v>Male</v>
      </c>
      <c r="I201" t="s">
        <v>2146</v>
      </c>
      <c r="J201" t="s">
        <v>1893</v>
      </c>
      <c r="K201" t="s">
        <v>58</v>
      </c>
      <c r="L201">
        <v>90401</v>
      </c>
      <c r="O201" t="s">
        <v>2145</v>
      </c>
      <c r="P201" s="45" t="str">
        <f t="shared" si="34"/>
        <v>gmail</v>
      </c>
      <c r="Q201" t="s">
        <v>2144</v>
      </c>
      <c r="R201" s="45" t="str">
        <f t="shared" si="35"/>
        <v>310|458|2929</v>
      </c>
      <c r="S201" s="45" t="str">
        <f t="shared" si="36"/>
        <v>310</v>
      </c>
      <c r="T201" s="45" t="str">
        <f t="shared" si="37"/>
        <v>458</v>
      </c>
      <c r="U201" s="45" t="str">
        <f t="shared" si="38"/>
        <v>2929</v>
      </c>
      <c r="V201" s="2" t="s">
        <v>2143</v>
      </c>
      <c r="W201" s="45" t="str">
        <f t="shared" si="39"/>
        <v>4498</v>
      </c>
    </row>
    <row r="202" spans="1:23" x14ac:dyDescent="0.3">
      <c r="A202" t="s">
        <v>2142</v>
      </c>
      <c r="B202" s="45" t="str">
        <f t="shared" si="30"/>
        <v>Angie</v>
      </c>
      <c r="C202" t="s">
        <v>77</v>
      </c>
      <c r="D202" t="s">
        <v>2141</v>
      </c>
      <c r="E202" s="45" t="str">
        <f t="shared" si="31"/>
        <v>Glassman</v>
      </c>
      <c r="F202" s="45" t="str">
        <f t="shared" si="32"/>
        <v>Angie C Glassman</v>
      </c>
      <c r="G202" t="s">
        <v>241</v>
      </c>
      <c r="H202" t="str">
        <f t="shared" si="33"/>
        <v>Female</v>
      </c>
      <c r="I202" t="s">
        <v>2140</v>
      </c>
      <c r="J202" t="s">
        <v>2139</v>
      </c>
      <c r="K202" t="s">
        <v>85</v>
      </c>
      <c r="L202">
        <v>28560</v>
      </c>
      <c r="O202" t="s">
        <v>2138</v>
      </c>
      <c r="P202" s="45" t="str">
        <f t="shared" si="34"/>
        <v>hotmail</v>
      </c>
      <c r="Q202" t="s">
        <v>2137</v>
      </c>
      <c r="R202" s="45" t="str">
        <f t="shared" si="35"/>
        <v>252|636|3151</v>
      </c>
      <c r="S202" s="45" t="str">
        <f t="shared" si="36"/>
        <v>252</v>
      </c>
      <c r="T202" s="45" t="str">
        <f t="shared" si="37"/>
        <v>636</v>
      </c>
      <c r="U202" s="45" t="str">
        <f t="shared" si="38"/>
        <v>3151</v>
      </c>
      <c r="V202" s="2" t="s">
        <v>2136</v>
      </c>
      <c r="W202" s="45" t="str">
        <f t="shared" si="39"/>
        <v>4735</v>
      </c>
    </row>
    <row r="203" spans="1:23" x14ac:dyDescent="0.3">
      <c r="A203" t="s">
        <v>1944</v>
      </c>
      <c r="B203" s="45" t="str">
        <f t="shared" si="30"/>
        <v>Stephen</v>
      </c>
      <c r="C203" t="s">
        <v>62</v>
      </c>
      <c r="D203" t="s">
        <v>2135</v>
      </c>
      <c r="E203" s="45" t="str">
        <f t="shared" si="31"/>
        <v>Bernier</v>
      </c>
      <c r="F203" s="45" t="str">
        <f t="shared" si="32"/>
        <v>Stephen D Bernier</v>
      </c>
      <c r="G203" t="s">
        <v>264</v>
      </c>
      <c r="H203" t="str">
        <f t="shared" si="33"/>
        <v>Male</v>
      </c>
      <c r="I203" t="s">
        <v>2134</v>
      </c>
      <c r="J203" t="s">
        <v>2133</v>
      </c>
      <c r="K203" t="s">
        <v>79</v>
      </c>
      <c r="L203">
        <v>33566</v>
      </c>
      <c r="O203" t="s">
        <v>2132</v>
      </c>
      <c r="P203" s="45" t="str">
        <f t="shared" si="34"/>
        <v>hotmail</v>
      </c>
      <c r="Q203" t="s">
        <v>2131</v>
      </c>
      <c r="R203" s="45" t="str">
        <f t="shared" si="35"/>
        <v>813|545|6399</v>
      </c>
      <c r="S203" s="45" t="str">
        <f t="shared" si="36"/>
        <v>813</v>
      </c>
      <c r="T203" s="45" t="str">
        <f t="shared" si="37"/>
        <v>545</v>
      </c>
      <c r="U203" s="45" t="str">
        <f t="shared" si="38"/>
        <v>6399</v>
      </c>
      <c r="V203" s="2" t="s">
        <v>2130</v>
      </c>
      <c r="W203" s="45" t="str">
        <f t="shared" si="39"/>
        <v>331</v>
      </c>
    </row>
    <row r="204" spans="1:23" x14ac:dyDescent="0.3">
      <c r="A204" t="s">
        <v>1785</v>
      </c>
      <c r="B204" s="45" t="str">
        <f t="shared" si="30"/>
        <v>Dorothy</v>
      </c>
      <c r="C204" t="s">
        <v>93</v>
      </c>
      <c r="D204" t="s">
        <v>2129</v>
      </c>
      <c r="E204" s="45" t="str">
        <f t="shared" si="31"/>
        <v>Ransom</v>
      </c>
      <c r="F204" s="45" t="str">
        <f t="shared" si="32"/>
        <v>Dorothy G Ransom</v>
      </c>
      <c r="G204" t="s">
        <v>241</v>
      </c>
      <c r="H204" t="str">
        <f t="shared" si="33"/>
        <v>Female</v>
      </c>
      <c r="I204" t="s">
        <v>2128</v>
      </c>
      <c r="J204" t="s">
        <v>2043</v>
      </c>
      <c r="K204" t="s">
        <v>116</v>
      </c>
      <c r="L204">
        <v>19720</v>
      </c>
      <c r="O204" t="s">
        <v>2127</v>
      </c>
      <c r="P204" s="45" t="str">
        <f t="shared" si="34"/>
        <v>aol</v>
      </c>
      <c r="Q204" t="s">
        <v>2126</v>
      </c>
      <c r="R204" s="45" t="str">
        <f t="shared" si="35"/>
        <v>302|328|5806</v>
      </c>
      <c r="S204" s="45" t="str">
        <f t="shared" si="36"/>
        <v>302</v>
      </c>
      <c r="T204" s="45" t="str">
        <f t="shared" si="37"/>
        <v>328</v>
      </c>
      <c r="U204" s="45" t="str">
        <f t="shared" si="38"/>
        <v>5806</v>
      </c>
      <c r="V204" s="2" t="s">
        <v>2125</v>
      </c>
      <c r="W204" s="45" t="str">
        <f t="shared" si="39"/>
        <v>695</v>
      </c>
    </row>
    <row r="205" spans="1:23" x14ac:dyDescent="0.3">
      <c r="A205" t="s">
        <v>2124</v>
      </c>
      <c r="B205" s="45" t="str">
        <f t="shared" si="30"/>
        <v>Genevieve</v>
      </c>
      <c r="C205" t="s">
        <v>463</v>
      </c>
      <c r="D205" t="s">
        <v>2123</v>
      </c>
      <c r="E205" s="45" t="str">
        <f t="shared" si="31"/>
        <v>Taranto</v>
      </c>
      <c r="F205" s="45" t="str">
        <f t="shared" si="32"/>
        <v>Genevieve W Taranto</v>
      </c>
      <c r="G205" t="s">
        <v>241</v>
      </c>
      <c r="H205" t="str">
        <f t="shared" si="33"/>
        <v>Female</v>
      </c>
      <c r="I205" t="s">
        <v>2122</v>
      </c>
      <c r="J205" t="s">
        <v>2121</v>
      </c>
      <c r="K205" t="s">
        <v>95</v>
      </c>
      <c r="L205">
        <v>21811</v>
      </c>
      <c r="O205" t="s">
        <v>2120</v>
      </c>
      <c r="P205" s="45" t="str">
        <f t="shared" si="34"/>
        <v>gmail</v>
      </c>
      <c r="Q205" t="s">
        <v>2119</v>
      </c>
      <c r="R205" s="45" t="str">
        <f t="shared" si="35"/>
        <v>410|629|0583</v>
      </c>
      <c r="S205" s="45" t="str">
        <f t="shared" si="36"/>
        <v>410</v>
      </c>
      <c r="T205" s="45" t="str">
        <f t="shared" si="37"/>
        <v>629</v>
      </c>
      <c r="U205" s="45" t="str">
        <f t="shared" si="38"/>
        <v>0583</v>
      </c>
      <c r="V205" s="2" t="s">
        <v>2118</v>
      </c>
      <c r="W205" s="45" t="str">
        <f t="shared" si="39"/>
        <v>168</v>
      </c>
    </row>
    <row r="206" spans="1:23" x14ac:dyDescent="0.3">
      <c r="A206" t="s">
        <v>2117</v>
      </c>
      <c r="B206" s="45" t="str">
        <f t="shared" si="30"/>
        <v>Edward</v>
      </c>
      <c r="C206" t="s">
        <v>72</v>
      </c>
      <c r="D206" t="s">
        <v>2116</v>
      </c>
      <c r="E206" s="45" t="str">
        <f t="shared" si="31"/>
        <v>Kinner</v>
      </c>
      <c r="F206" s="45" t="str">
        <f t="shared" si="32"/>
        <v>Edward E Kinner</v>
      </c>
      <c r="G206" t="s">
        <v>264</v>
      </c>
      <c r="H206" t="str">
        <f t="shared" si="33"/>
        <v>Male</v>
      </c>
      <c r="I206" t="s">
        <v>2115</v>
      </c>
      <c r="J206" t="s">
        <v>2114</v>
      </c>
      <c r="K206" t="s">
        <v>115</v>
      </c>
      <c r="L206">
        <v>72908</v>
      </c>
      <c r="O206" t="s">
        <v>2113</v>
      </c>
      <c r="P206" s="45" t="str">
        <f t="shared" si="34"/>
        <v>aol</v>
      </c>
      <c r="Q206" t="s">
        <v>2112</v>
      </c>
      <c r="R206" s="45" t="str">
        <f t="shared" si="35"/>
        <v>479|461|1718</v>
      </c>
      <c r="S206" s="45" t="str">
        <f t="shared" si="36"/>
        <v>479</v>
      </c>
      <c r="T206" s="45" t="str">
        <f t="shared" si="37"/>
        <v>461</v>
      </c>
      <c r="U206" s="45" t="str">
        <f t="shared" si="38"/>
        <v>1718</v>
      </c>
      <c r="V206" s="2" t="s">
        <v>2111</v>
      </c>
      <c r="W206" s="45" t="str">
        <f t="shared" si="39"/>
        <v>098</v>
      </c>
    </row>
    <row r="207" spans="1:23" x14ac:dyDescent="0.3">
      <c r="A207" t="s">
        <v>693</v>
      </c>
      <c r="B207" s="45" t="str">
        <f t="shared" si="30"/>
        <v>Diane</v>
      </c>
      <c r="C207" t="s">
        <v>56</v>
      </c>
      <c r="D207" t="s">
        <v>2110</v>
      </c>
      <c r="E207" s="45" t="str">
        <f t="shared" si="31"/>
        <v>Figueroa</v>
      </c>
      <c r="F207" s="45" t="str">
        <f t="shared" si="32"/>
        <v>Diane J Figueroa</v>
      </c>
      <c r="G207" t="s">
        <v>241</v>
      </c>
      <c r="H207" t="str">
        <f t="shared" si="33"/>
        <v>Female</v>
      </c>
      <c r="I207" t="s">
        <v>2109</v>
      </c>
      <c r="J207" t="s">
        <v>2108</v>
      </c>
      <c r="K207" t="s">
        <v>61</v>
      </c>
      <c r="L207">
        <v>22101</v>
      </c>
      <c r="O207" t="s">
        <v>2107</v>
      </c>
      <c r="P207" s="45" t="str">
        <f t="shared" si="34"/>
        <v>aol</v>
      </c>
      <c r="Q207" t="s">
        <v>2106</v>
      </c>
      <c r="R207" s="45" t="str">
        <f t="shared" si="35"/>
        <v>703|762|0541</v>
      </c>
      <c r="S207" s="45" t="str">
        <f t="shared" si="36"/>
        <v>703</v>
      </c>
      <c r="T207" s="45" t="str">
        <f t="shared" si="37"/>
        <v>762</v>
      </c>
      <c r="U207" s="45" t="str">
        <f t="shared" si="38"/>
        <v>0541</v>
      </c>
      <c r="V207" s="2" t="s">
        <v>2105</v>
      </c>
      <c r="W207" s="45" t="str">
        <f t="shared" si="39"/>
        <v>840</v>
      </c>
    </row>
    <row r="208" spans="1:23" x14ac:dyDescent="0.3">
      <c r="A208" t="s">
        <v>2104</v>
      </c>
      <c r="B208" s="45" t="str">
        <f t="shared" si="30"/>
        <v>Phyllis</v>
      </c>
      <c r="C208" t="s">
        <v>77</v>
      </c>
      <c r="D208" t="s">
        <v>1677</v>
      </c>
      <c r="E208" s="45" t="str">
        <f t="shared" si="31"/>
        <v>Brown</v>
      </c>
      <c r="F208" s="45" t="str">
        <f t="shared" si="32"/>
        <v>Phyllis C Brown</v>
      </c>
      <c r="G208" t="s">
        <v>241</v>
      </c>
      <c r="H208" t="str">
        <f t="shared" si="33"/>
        <v>Female</v>
      </c>
      <c r="I208" t="s">
        <v>2103</v>
      </c>
      <c r="J208" t="s">
        <v>51</v>
      </c>
      <c r="K208" t="s">
        <v>117</v>
      </c>
      <c r="L208">
        <v>20016</v>
      </c>
      <c r="O208" t="s">
        <v>2102</v>
      </c>
      <c r="P208" s="45" t="str">
        <f t="shared" si="34"/>
        <v>hotmail</v>
      </c>
      <c r="Q208" t="s">
        <v>2101</v>
      </c>
      <c r="R208" s="45" t="str">
        <f t="shared" si="35"/>
        <v>202|686|6356</v>
      </c>
      <c r="S208" s="45" t="str">
        <f t="shared" si="36"/>
        <v>202</v>
      </c>
      <c r="T208" s="45" t="str">
        <f t="shared" si="37"/>
        <v>686</v>
      </c>
      <c r="U208" s="45" t="str">
        <f t="shared" si="38"/>
        <v>6356</v>
      </c>
      <c r="V208" s="2" t="s">
        <v>2100</v>
      </c>
      <c r="W208" s="45" t="str">
        <f t="shared" si="39"/>
        <v>8910</v>
      </c>
    </row>
    <row r="209" spans="1:23" x14ac:dyDescent="0.3">
      <c r="A209" t="s">
        <v>2099</v>
      </c>
      <c r="B209" s="45" t="str">
        <f t="shared" si="30"/>
        <v>Todd</v>
      </c>
      <c r="C209" t="s">
        <v>91</v>
      </c>
      <c r="D209" t="s">
        <v>2098</v>
      </c>
      <c r="E209" s="45" t="str">
        <f t="shared" si="31"/>
        <v>Hooker</v>
      </c>
      <c r="F209" s="45" t="str">
        <f t="shared" si="32"/>
        <v>Todd L Hooker</v>
      </c>
      <c r="G209" t="s">
        <v>264</v>
      </c>
      <c r="H209" t="str">
        <f t="shared" si="33"/>
        <v>Male</v>
      </c>
      <c r="I209" t="s">
        <v>2097</v>
      </c>
      <c r="J209" t="s">
        <v>2096</v>
      </c>
      <c r="K209" t="s">
        <v>88</v>
      </c>
      <c r="L209">
        <v>43215</v>
      </c>
      <c r="O209" t="s">
        <v>2095</v>
      </c>
      <c r="P209" s="45" t="str">
        <f t="shared" si="34"/>
        <v>gmail</v>
      </c>
      <c r="Q209" t="s">
        <v>2094</v>
      </c>
      <c r="R209" s="45" t="str">
        <f t="shared" si="35"/>
        <v>614|782|6925</v>
      </c>
      <c r="S209" s="45" t="str">
        <f t="shared" si="36"/>
        <v>614</v>
      </c>
      <c r="T209" s="45" t="str">
        <f t="shared" si="37"/>
        <v>782</v>
      </c>
      <c r="U209" s="45" t="str">
        <f t="shared" si="38"/>
        <v>6925</v>
      </c>
      <c r="V209" s="2" t="s">
        <v>2093</v>
      </c>
      <c r="W209" s="45" t="str">
        <f t="shared" si="39"/>
        <v>7779</v>
      </c>
    </row>
    <row r="210" spans="1:23" x14ac:dyDescent="0.3">
      <c r="A210" t="s">
        <v>2092</v>
      </c>
      <c r="B210" s="45" t="str">
        <f t="shared" si="30"/>
        <v>Rhea</v>
      </c>
      <c r="C210" t="s">
        <v>361</v>
      </c>
      <c r="D210" t="s">
        <v>2091</v>
      </c>
      <c r="E210" s="45" t="str">
        <f t="shared" si="31"/>
        <v>Dick</v>
      </c>
      <c r="F210" s="45" t="str">
        <f t="shared" si="32"/>
        <v>Rhea T Dick</v>
      </c>
      <c r="G210" t="s">
        <v>241</v>
      </c>
      <c r="H210" t="str">
        <f t="shared" si="33"/>
        <v>Female</v>
      </c>
      <c r="I210" t="s">
        <v>2090</v>
      </c>
      <c r="J210" t="s">
        <v>2089</v>
      </c>
      <c r="K210" t="s">
        <v>74</v>
      </c>
      <c r="L210">
        <v>48075</v>
      </c>
      <c r="O210" t="s">
        <v>2088</v>
      </c>
      <c r="P210" s="45" t="str">
        <f t="shared" si="34"/>
        <v>hotmail</v>
      </c>
      <c r="Q210" t="s">
        <v>2087</v>
      </c>
      <c r="R210" s="45" t="str">
        <f t="shared" si="35"/>
        <v>313|321|8117</v>
      </c>
      <c r="S210" s="45" t="str">
        <f t="shared" si="36"/>
        <v>313</v>
      </c>
      <c r="T210" s="45" t="str">
        <f t="shared" si="37"/>
        <v>321</v>
      </c>
      <c r="U210" s="45" t="str">
        <f t="shared" si="38"/>
        <v>8117</v>
      </c>
      <c r="V210" s="2" t="s">
        <v>2086</v>
      </c>
      <c r="W210" s="45" t="str">
        <f t="shared" si="39"/>
        <v>105</v>
      </c>
    </row>
    <row r="211" spans="1:23" x14ac:dyDescent="0.3">
      <c r="A211" t="s">
        <v>2085</v>
      </c>
      <c r="B211" s="45" t="str">
        <f t="shared" si="30"/>
        <v>Teresa</v>
      </c>
      <c r="C211" t="s">
        <v>361</v>
      </c>
      <c r="D211" t="s">
        <v>2084</v>
      </c>
      <c r="E211" s="45" t="str">
        <f t="shared" si="31"/>
        <v>Payne</v>
      </c>
      <c r="F211" s="45" t="str">
        <f t="shared" si="32"/>
        <v>Teresa T Payne</v>
      </c>
      <c r="G211" t="s">
        <v>241</v>
      </c>
      <c r="H211" t="str">
        <f t="shared" si="33"/>
        <v>Female</v>
      </c>
      <c r="I211" t="s">
        <v>2083</v>
      </c>
      <c r="J211" t="s">
        <v>2082</v>
      </c>
      <c r="K211" t="s">
        <v>61</v>
      </c>
      <c r="L211">
        <v>23060</v>
      </c>
      <c r="O211" t="s">
        <v>2081</v>
      </c>
      <c r="P211" s="45" t="str">
        <f t="shared" si="34"/>
        <v>aol</v>
      </c>
      <c r="Q211" t="s">
        <v>2080</v>
      </c>
      <c r="R211" s="45" t="str">
        <f t="shared" si="35"/>
        <v>804|349|2459</v>
      </c>
      <c r="S211" s="45" t="str">
        <f t="shared" si="36"/>
        <v>804</v>
      </c>
      <c r="T211" s="45" t="str">
        <f t="shared" si="37"/>
        <v>349</v>
      </c>
      <c r="U211" s="45" t="str">
        <f t="shared" si="38"/>
        <v>2459</v>
      </c>
      <c r="V211" s="2" t="s">
        <v>2079</v>
      </c>
      <c r="W211" s="45" t="str">
        <f t="shared" si="39"/>
        <v>061</v>
      </c>
    </row>
    <row r="212" spans="1:23" x14ac:dyDescent="0.3">
      <c r="A212" t="s">
        <v>2078</v>
      </c>
      <c r="B212" s="45" t="str">
        <f t="shared" si="30"/>
        <v>Shawn</v>
      </c>
      <c r="C212" t="s">
        <v>60</v>
      </c>
      <c r="D212" t="s">
        <v>2077</v>
      </c>
      <c r="E212" s="45" t="str">
        <f t="shared" si="31"/>
        <v>Solomon</v>
      </c>
      <c r="F212" s="45" t="str">
        <f t="shared" si="32"/>
        <v>Shawn M Solomon</v>
      </c>
      <c r="G212" t="s">
        <v>264</v>
      </c>
      <c r="H212" t="str">
        <f t="shared" si="33"/>
        <v>Male</v>
      </c>
      <c r="I212" t="s">
        <v>2076</v>
      </c>
      <c r="J212" t="s">
        <v>2075</v>
      </c>
      <c r="K212" t="s">
        <v>68</v>
      </c>
      <c r="L212">
        <v>13122</v>
      </c>
      <c r="O212" t="s">
        <v>2074</v>
      </c>
      <c r="P212" s="45" t="str">
        <f t="shared" si="34"/>
        <v>gmail</v>
      </c>
      <c r="Q212" t="s">
        <v>2073</v>
      </c>
      <c r="R212" s="45" t="str">
        <f t="shared" si="35"/>
        <v>315|662|5924</v>
      </c>
      <c r="S212" s="45" t="str">
        <f t="shared" si="36"/>
        <v>315</v>
      </c>
      <c r="T212" s="45" t="str">
        <f t="shared" si="37"/>
        <v>662</v>
      </c>
      <c r="U212" s="45" t="str">
        <f t="shared" si="38"/>
        <v>5924</v>
      </c>
      <c r="V212" s="2" t="s">
        <v>2072</v>
      </c>
      <c r="W212" s="45" t="str">
        <f t="shared" si="39"/>
        <v>546</v>
      </c>
    </row>
    <row r="213" spans="1:23" x14ac:dyDescent="0.3">
      <c r="A213" t="s">
        <v>2071</v>
      </c>
      <c r="B213" s="45" t="str">
        <f t="shared" si="30"/>
        <v>Leonard</v>
      </c>
      <c r="C213" t="s">
        <v>1011</v>
      </c>
      <c r="D213" t="s">
        <v>2070</v>
      </c>
      <c r="E213" s="45" t="str">
        <f t="shared" si="31"/>
        <v>Connolly</v>
      </c>
      <c r="F213" s="45" t="str">
        <f t="shared" si="32"/>
        <v>Leonard V Connolly</v>
      </c>
      <c r="G213" t="s">
        <v>264</v>
      </c>
      <c r="H213" t="str">
        <f t="shared" si="33"/>
        <v>Male</v>
      </c>
      <c r="I213" t="s">
        <v>2069</v>
      </c>
      <c r="J213" t="s">
        <v>2068</v>
      </c>
      <c r="K213" t="s">
        <v>101</v>
      </c>
      <c r="L213">
        <v>18974</v>
      </c>
      <c r="O213" t="s">
        <v>2067</v>
      </c>
      <c r="P213" s="45" t="str">
        <f t="shared" si="34"/>
        <v>gmail</v>
      </c>
      <c r="Q213" t="s">
        <v>2066</v>
      </c>
      <c r="R213" s="45" t="str">
        <f t="shared" si="35"/>
        <v>267|497|5517</v>
      </c>
      <c r="S213" s="45" t="str">
        <f t="shared" si="36"/>
        <v>267</v>
      </c>
      <c r="T213" s="45" t="str">
        <f t="shared" si="37"/>
        <v>497</v>
      </c>
      <c r="U213" s="45" t="str">
        <f t="shared" si="38"/>
        <v>5517</v>
      </c>
      <c r="V213" s="2" t="s">
        <v>2065</v>
      </c>
      <c r="W213" s="45" t="str">
        <f t="shared" si="39"/>
        <v>7118</v>
      </c>
    </row>
    <row r="214" spans="1:23" x14ac:dyDescent="0.3">
      <c r="A214" t="s">
        <v>2064</v>
      </c>
      <c r="B214" s="45" t="str">
        <f t="shared" si="30"/>
        <v>Beulah</v>
      </c>
      <c r="C214" t="s">
        <v>60</v>
      </c>
      <c r="D214" t="s">
        <v>2063</v>
      </c>
      <c r="E214" s="45" t="str">
        <f t="shared" si="31"/>
        <v>Garnett</v>
      </c>
      <c r="F214" s="45" t="str">
        <f t="shared" si="32"/>
        <v>Beulah M Garnett</v>
      </c>
      <c r="G214" t="s">
        <v>241</v>
      </c>
      <c r="H214" t="str">
        <f t="shared" si="33"/>
        <v>Female</v>
      </c>
      <c r="I214" t="s">
        <v>2062</v>
      </c>
      <c r="J214" t="s">
        <v>922</v>
      </c>
      <c r="K214" t="s">
        <v>97</v>
      </c>
      <c r="L214">
        <v>73102</v>
      </c>
      <c r="O214" t="s">
        <v>2061</v>
      </c>
      <c r="P214" s="45" t="str">
        <f t="shared" si="34"/>
        <v>gmail</v>
      </c>
      <c r="Q214" t="s">
        <v>2060</v>
      </c>
      <c r="R214" s="45" t="str">
        <f t="shared" si="35"/>
        <v>405|232|5203</v>
      </c>
      <c r="S214" s="45" t="str">
        <f t="shared" si="36"/>
        <v>405</v>
      </c>
      <c r="T214" s="45" t="str">
        <f t="shared" si="37"/>
        <v>232</v>
      </c>
      <c r="U214" s="45" t="str">
        <f t="shared" si="38"/>
        <v>5203</v>
      </c>
      <c r="V214" s="2" t="s">
        <v>2059</v>
      </c>
      <c r="W214" s="45" t="str">
        <f t="shared" si="39"/>
        <v>6160</v>
      </c>
    </row>
    <row r="215" spans="1:23" x14ac:dyDescent="0.3">
      <c r="A215" t="s">
        <v>2058</v>
      </c>
      <c r="B215" s="45" t="str">
        <f t="shared" si="30"/>
        <v>Gene</v>
      </c>
      <c r="C215" t="s">
        <v>361</v>
      </c>
      <c r="D215" t="s">
        <v>2057</v>
      </c>
      <c r="E215" s="45" t="str">
        <f t="shared" si="31"/>
        <v>Yelle</v>
      </c>
      <c r="F215" s="45" t="str">
        <f t="shared" si="32"/>
        <v>Gene T Yelle</v>
      </c>
      <c r="G215" t="s">
        <v>264</v>
      </c>
      <c r="H215" t="str">
        <f t="shared" si="33"/>
        <v>Male</v>
      </c>
      <c r="I215" t="s">
        <v>2056</v>
      </c>
      <c r="J215" t="s">
        <v>2055</v>
      </c>
      <c r="K215" t="s">
        <v>76</v>
      </c>
      <c r="L215">
        <v>38115</v>
      </c>
      <c r="O215" t="s">
        <v>2054</v>
      </c>
      <c r="P215" s="45" t="str">
        <f t="shared" si="34"/>
        <v>gmail</v>
      </c>
      <c r="Q215" t="s">
        <v>2053</v>
      </c>
      <c r="R215" s="45" t="str">
        <f t="shared" si="35"/>
        <v>901|312|4432</v>
      </c>
      <c r="S215" s="45" t="str">
        <f t="shared" si="36"/>
        <v>901</v>
      </c>
      <c r="T215" s="45" t="str">
        <f t="shared" si="37"/>
        <v>312</v>
      </c>
      <c r="U215" s="45" t="str">
        <f t="shared" si="38"/>
        <v>4432</v>
      </c>
      <c r="V215" s="2" t="s">
        <v>2052</v>
      </c>
      <c r="W215" s="45" t="str">
        <f t="shared" si="39"/>
        <v>537</v>
      </c>
    </row>
    <row r="216" spans="1:23" x14ac:dyDescent="0.3">
      <c r="A216" t="s">
        <v>1902</v>
      </c>
      <c r="B216" s="45" t="str">
        <f t="shared" si="30"/>
        <v>Shannon</v>
      </c>
      <c r="C216" t="s">
        <v>93</v>
      </c>
      <c r="D216" t="s">
        <v>2051</v>
      </c>
      <c r="E216" s="45" t="str">
        <f t="shared" si="31"/>
        <v>Akers</v>
      </c>
      <c r="F216" s="45" t="str">
        <f t="shared" si="32"/>
        <v>Shannon G Akers</v>
      </c>
      <c r="G216" t="s">
        <v>241</v>
      </c>
      <c r="H216" t="str">
        <f t="shared" si="33"/>
        <v>Female</v>
      </c>
      <c r="I216" t="s">
        <v>2050</v>
      </c>
      <c r="J216" t="s">
        <v>2049</v>
      </c>
      <c r="K216" t="s">
        <v>97</v>
      </c>
      <c r="L216">
        <v>73942</v>
      </c>
      <c r="O216" t="s">
        <v>2048</v>
      </c>
      <c r="P216" s="45" t="str">
        <f t="shared" si="34"/>
        <v>hotmail</v>
      </c>
      <c r="Q216" t="s">
        <v>2047</v>
      </c>
      <c r="R216" s="45" t="str">
        <f t="shared" si="35"/>
        <v>580|643|5025</v>
      </c>
      <c r="S216" s="45" t="str">
        <f t="shared" si="36"/>
        <v>580</v>
      </c>
      <c r="T216" s="45" t="str">
        <f t="shared" si="37"/>
        <v>643</v>
      </c>
      <c r="U216" s="45" t="str">
        <f t="shared" si="38"/>
        <v>5025</v>
      </c>
      <c r="V216" s="2" t="s">
        <v>2046</v>
      </c>
      <c r="W216" s="45" t="str">
        <f t="shared" si="39"/>
        <v>8780</v>
      </c>
    </row>
    <row r="217" spans="1:23" x14ac:dyDescent="0.3">
      <c r="A217" t="s">
        <v>563</v>
      </c>
      <c r="B217" s="45" t="str">
        <f t="shared" si="30"/>
        <v>James</v>
      </c>
      <c r="C217" t="s">
        <v>62</v>
      </c>
      <c r="D217" t="s">
        <v>2045</v>
      </c>
      <c r="E217" s="45" t="str">
        <f t="shared" si="31"/>
        <v>Mccue</v>
      </c>
      <c r="F217" s="45" t="str">
        <f t="shared" si="32"/>
        <v>James D Mccue</v>
      </c>
      <c r="G217" t="s">
        <v>264</v>
      </c>
      <c r="H217" t="str">
        <f t="shared" si="33"/>
        <v>Male</v>
      </c>
      <c r="I217" t="s">
        <v>2044</v>
      </c>
      <c r="J217" t="s">
        <v>2043</v>
      </c>
      <c r="K217" t="s">
        <v>116</v>
      </c>
      <c r="L217">
        <v>19720</v>
      </c>
      <c r="O217" t="s">
        <v>2042</v>
      </c>
      <c r="P217" s="45" t="str">
        <f t="shared" si="34"/>
        <v>aol</v>
      </c>
      <c r="Q217" t="s">
        <v>2041</v>
      </c>
      <c r="R217" s="45" t="str">
        <f t="shared" si="35"/>
        <v>302|323|7123</v>
      </c>
      <c r="S217" s="45" t="str">
        <f t="shared" si="36"/>
        <v>302</v>
      </c>
      <c r="T217" s="45" t="str">
        <f t="shared" si="37"/>
        <v>323</v>
      </c>
      <c r="U217" s="45" t="str">
        <f t="shared" si="38"/>
        <v>7123</v>
      </c>
      <c r="V217" s="2" t="s">
        <v>2040</v>
      </c>
      <c r="W217" s="45" t="str">
        <f t="shared" si="39"/>
        <v>111</v>
      </c>
    </row>
    <row r="218" spans="1:23" x14ac:dyDescent="0.3">
      <c r="A218" t="s">
        <v>2039</v>
      </c>
      <c r="B218" s="45" t="str">
        <f t="shared" si="30"/>
        <v>Fernando</v>
      </c>
      <c r="C218" t="s">
        <v>56</v>
      </c>
      <c r="D218" t="s">
        <v>2038</v>
      </c>
      <c r="E218" s="45" t="str">
        <f t="shared" si="31"/>
        <v>West</v>
      </c>
      <c r="F218" s="45" t="str">
        <f t="shared" si="32"/>
        <v>Fernando J West</v>
      </c>
      <c r="G218" t="s">
        <v>264</v>
      </c>
      <c r="H218" t="str">
        <f t="shared" si="33"/>
        <v>Male</v>
      </c>
      <c r="I218" t="s">
        <v>2037</v>
      </c>
      <c r="J218" t="s">
        <v>2036</v>
      </c>
      <c r="K218" t="s">
        <v>58</v>
      </c>
      <c r="L218">
        <v>94612</v>
      </c>
      <c r="O218" t="s">
        <v>2035</v>
      </c>
      <c r="P218" s="45" t="str">
        <f t="shared" si="34"/>
        <v>hotmail</v>
      </c>
      <c r="Q218" t="s">
        <v>2034</v>
      </c>
      <c r="R218" s="45" t="str">
        <f t="shared" si="35"/>
        <v>707|710|1679</v>
      </c>
      <c r="S218" s="45" t="str">
        <f t="shared" si="36"/>
        <v>707</v>
      </c>
      <c r="T218" s="45" t="str">
        <f t="shared" si="37"/>
        <v>710</v>
      </c>
      <c r="U218" s="45" t="str">
        <f t="shared" si="38"/>
        <v>1679</v>
      </c>
      <c r="V218" s="2" t="s">
        <v>2033</v>
      </c>
      <c r="W218" s="45" t="str">
        <f t="shared" si="39"/>
        <v>9448</v>
      </c>
    </row>
    <row r="219" spans="1:23" x14ac:dyDescent="0.3">
      <c r="A219" t="s">
        <v>2032</v>
      </c>
      <c r="B219" s="45" t="str">
        <f t="shared" si="30"/>
        <v>Della</v>
      </c>
      <c r="C219" t="s">
        <v>56</v>
      </c>
      <c r="D219" t="s">
        <v>2031</v>
      </c>
      <c r="E219" s="45" t="str">
        <f t="shared" si="31"/>
        <v>Quillen</v>
      </c>
      <c r="F219" s="45" t="str">
        <f t="shared" si="32"/>
        <v>Della J Quillen</v>
      </c>
      <c r="G219" t="s">
        <v>241</v>
      </c>
      <c r="H219" t="str">
        <f t="shared" si="33"/>
        <v>Female</v>
      </c>
      <c r="I219" t="s">
        <v>2030</v>
      </c>
      <c r="J219" t="s">
        <v>710</v>
      </c>
      <c r="K219" t="s">
        <v>88</v>
      </c>
      <c r="L219">
        <v>45402</v>
      </c>
      <c r="O219" t="s">
        <v>2029</v>
      </c>
      <c r="P219" s="45" t="str">
        <f t="shared" si="34"/>
        <v>hotmail</v>
      </c>
      <c r="Q219" t="s">
        <v>2028</v>
      </c>
      <c r="R219" s="45" t="str">
        <f t="shared" si="35"/>
        <v>937|334|4086</v>
      </c>
      <c r="S219" s="45" t="str">
        <f t="shared" si="36"/>
        <v>937</v>
      </c>
      <c r="T219" s="45" t="str">
        <f t="shared" si="37"/>
        <v>334</v>
      </c>
      <c r="U219" s="45" t="str">
        <f t="shared" si="38"/>
        <v>4086</v>
      </c>
      <c r="V219" s="2" t="s">
        <v>2027</v>
      </c>
      <c r="W219" s="45" t="str">
        <f t="shared" si="39"/>
        <v>939</v>
      </c>
    </row>
    <row r="220" spans="1:23" x14ac:dyDescent="0.3">
      <c r="A220" t="s">
        <v>2026</v>
      </c>
      <c r="B220" s="45" t="str">
        <f t="shared" si="30"/>
        <v>Dillon</v>
      </c>
      <c r="C220" t="s">
        <v>1051</v>
      </c>
      <c r="D220" t="s">
        <v>368</v>
      </c>
      <c r="E220" s="45" t="str">
        <f t="shared" si="31"/>
        <v>Williams</v>
      </c>
      <c r="F220" s="45" t="str">
        <f t="shared" si="32"/>
        <v>Dillon P Williams</v>
      </c>
      <c r="G220" t="s">
        <v>264</v>
      </c>
      <c r="H220" t="str">
        <f t="shared" si="33"/>
        <v>Male</v>
      </c>
      <c r="I220" t="s">
        <v>2025</v>
      </c>
      <c r="J220" t="s">
        <v>51</v>
      </c>
      <c r="K220" t="s">
        <v>117</v>
      </c>
      <c r="L220">
        <v>20005</v>
      </c>
      <c r="O220" t="s">
        <v>2024</v>
      </c>
      <c r="P220" s="45" t="str">
        <f t="shared" si="34"/>
        <v>aol</v>
      </c>
      <c r="Q220" t="s">
        <v>2023</v>
      </c>
      <c r="R220" s="45" t="str">
        <f t="shared" si="35"/>
        <v>202|383|0909</v>
      </c>
      <c r="S220" s="45" t="str">
        <f t="shared" si="36"/>
        <v>202</v>
      </c>
      <c r="T220" s="45" t="str">
        <f t="shared" si="37"/>
        <v>383</v>
      </c>
      <c r="U220" s="45" t="str">
        <f t="shared" si="38"/>
        <v>0909</v>
      </c>
      <c r="V220" s="2" t="s">
        <v>2022</v>
      </c>
      <c r="W220" s="45" t="str">
        <f t="shared" si="39"/>
        <v>263</v>
      </c>
    </row>
    <row r="221" spans="1:23" x14ac:dyDescent="0.3">
      <c r="A221" t="s">
        <v>925</v>
      </c>
      <c r="B221" s="45" t="str">
        <f t="shared" si="30"/>
        <v>Paul</v>
      </c>
      <c r="C221" t="s">
        <v>266</v>
      </c>
      <c r="D221" t="s">
        <v>455</v>
      </c>
      <c r="E221" s="45" t="str">
        <f t="shared" si="31"/>
        <v>Johnson</v>
      </c>
      <c r="F221" s="45" t="str">
        <f t="shared" si="32"/>
        <v>Paul S Johnson</v>
      </c>
      <c r="G221" t="s">
        <v>264</v>
      </c>
      <c r="H221" t="str">
        <f t="shared" si="33"/>
        <v>Male</v>
      </c>
      <c r="I221" t="s">
        <v>2021</v>
      </c>
      <c r="J221" t="s">
        <v>2020</v>
      </c>
      <c r="K221" t="s">
        <v>101</v>
      </c>
      <c r="L221">
        <v>15323</v>
      </c>
      <c r="O221" t="s">
        <v>2019</v>
      </c>
      <c r="P221" s="45" t="str">
        <f t="shared" si="34"/>
        <v>hotmail</v>
      </c>
      <c r="Q221" t="s">
        <v>2018</v>
      </c>
      <c r="R221" s="45" t="str">
        <f t="shared" si="35"/>
        <v>724|663|1197</v>
      </c>
      <c r="S221" s="45" t="str">
        <f t="shared" si="36"/>
        <v>724</v>
      </c>
      <c r="T221" s="45" t="str">
        <f t="shared" si="37"/>
        <v>663</v>
      </c>
      <c r="U221" s="45" t="str">
        <f t="shared" si="38"/>
        <v>1197</v>
      </c>
      <c r="V221" s="2" t="s">
        <v>2017</v>
      </c>
      <c r="W221" s="45" t="str">
        <f t="shared" si="39"/>
        <v>8287</v>
      </c>
    </row>
    <row r="222" spans="1:23" x14ac:dyDescent="0.3">
      <c r="A222" t="s">
        <v>2016</v>
      </c>
      <c r="B222" s="45" t="str">
        <f t="shared" si="30"/>
        <v>Nicholas</v>
      </c>
      <c r="C222" t="s">
        <v>56</v>
      </c>
      <c r="D222" t="s">
        <v>2015</v>
      </c>
      <c r="E222" s="45" t="str">
        <f t="shared" si="31"/>
        <v>Stice</v>
      </c>
      <c r="F222" s="45" t="str">
        <f t="shared" si="32"/>
        <v>Nicholas J Stice</v>
      </c>
      <c r="G222" t="s">
        <v>264</v>
      </c>
      <c r="H222" t="str">
        <f t="shared" si="33"/>
        <v>Male</v>
      </c>
      <c r="I222" t="s">
        <v>2014</v>
      </c>
      <c r="J222" t="s">
        <v>2013</v>
      </c>
      <c r="K222" t="s">
        <v>79</v>
      </c>
      <c r="L222">
        <v>33411</v>
      </c>
      <c r="O222" t="s">
        <v>2012</v>
      </c>
      <c r="P222" s="45" t="str">
        <f t="shared" si="34"/>
        <v>aol</v>
      </c>
      <c r="Q222" t="s">
        <v>2011</v>
      </c>
      <c r="R222" s="45" t="str">
        <f t="shared" si="35"/>
        <v>561|751|6293</v>
      </c>
      <c r="S222" s="45" t="str">
        <f t="shared" si="36"/>
        <v>561</v>
      </c>
      <c r="T222" s="45" t="str">
        <f t="shared" si="37"/>
        <v>751</v>
      </c>
      <c r="U222" s="45" t="str">
        <f t="shared" si="38"/>
        <v>6293</v>
      </c>
      <c r="V222" s="2" t="s">
        <v>2010</v>
      </c>
      <c r="W222" s="45" t="str">
        <f t="shared" si="39"/>
        <v>952</v>
      </c>
    </row>
    <row r="223" spans="1:23" x14ac:dyDescent="0.3">
      <c r="A223" t="s">
        <v>2009</v>
      </c>
      <c r="B223" s="45" t="str">
        <f t="shared" si="30"/>
        <v>Danny</v>
      </c>
      <c r="C223" t="s">
        <v>60</v>
      </c>
      <c r="D223" t="s">
        <v>2008</v>
      </c>
      <c r="E223" s="45" t="str">
        <f t="shared" si="31"/>
        <v>Quesada</v>
      </c>
      <c r="F223" s="45" t="str">
        <f t="shared" si="32"/>
        <v>Danny M Quesada</v>
      </c>
      <c r="G223" t="s">
        <v>264</v>
      </c>
      <c r="H223" t="str">
        <f t="shared" si="33"/>
        <v>Male</v>
      </c>
      <c r="I223" t="s">
        <v>2007</v>
      </c>
      <c r="J223" t="s">
        <v>878</v>
      </c>
      <c r="K223" t="s">
        <v>109</v>
      </c>
      <c r="L223">
        <v>98105</v>
      </c>
      <c r="O223" t="s">
        <v>2006</v>
      </c>
      <c r="P223" s="45" t="str">
        <f t="shared" si="34"/>
        <v>hotmail</v>
      </c>
      <c r="Q223" t="s">
        <v>2005</v>
      </c>
      <c r="R223" s="45" t="str">
        <f t="shared" si="35"/>
        <v>206|632|7520</v>
      </c>
      <c r="S223" s="45" t="str">
        <f t="shared" si="36"/>
        <v>206</v>
      </c>
      <c r="T223" s="45" t="str">
        <f t="shared" si="37"/>
        <v>632</v>
      </c>
      <c r="U223" s="45" t="str">
        <f t="shared" si="38"/>
        <v>7520</v>
      </c>
      <c r="V223" s="2" t="s">
        <v>2004</v>
      </c>
      <c r="W223" s="45" t="str">
        <f t="shared" si="39"/>
        <v>1137</v>
      </c>
    </row>
    <row r="224" spans="1:23" x14ac:dyDescent="0.3">
      <c r="A224" t="s">
        <v>430</v>
      </c>
      <c r="B224" s="45" t="str">
        <f t="shared" si="30"/>
        <v>Patrick</v>
      </c>
      <c r="C224" t="s">
        <v>77</v>
      </c>
      <c r="D224" t="s">
        <v>455</v>
      </c>
      <c r="E224" s="45" t="str">
        <f t="shared" si="31"/>
        <v>Johnson</v>
      </c>
      <c r="F224" s="45" t="str">
        <f t="shared" si="32"/>
        <v>Patrick C Johnson</v>
      </c>
      <c r="G224" t="s">
        <v>264</v>
      </c>
      <c r="H224" t="str">
        <f t="shared" si="33"/>
        <v>Male</v>
      </c>
      <c r="I224" t="s">
        <v>2003</v>
      </c>
      <c r="J224" t="s">
        <v>942</v>
      </c>
      <c r="K224" t="s">
        <v>118</v>
      </c>
      <c r="L224">
        <v>89106</v>
      </c>
      <c r="O224" t="s">
        <v>2002</v>
      </c>
      <c r="P224" s="45" t="str">
        <f t="shared" si="34"/>
        <v>gmail</v>
      </c>
      <c r="Q224" t="s">
        <v>2001</v>
      </c>
      <c r="R224" s="45" t="str">
        <f t="shared" si="35"/>
        <v>702|646|7948</v>
      </c>
      <c r="S224" s="45" t="str">
        <f t="shared" si="36"/>
        <v>702</v>
      </c>
      <c r="T224" s="45" t="str">
        <f t="shared" si="37"/>
        <v>646</v>
      </c>
      <c r="U224" s="45" t="str">
        <f t="shared" si="38"/>
        <v>7948</v>
      </c>
      <c r="V224" s="2" t="s">
        <v>2000</v>
      </c>
      <c r="W224" s="45" t="str">
        <f t="shared" si="39"/>
        <v>2493</v>
      </c>
    </row>
    <row r="225" spans="1:23" x14ac:dyDescent="0.3">
      <c r="A225" t="s">
        <v>442</v>
      </c>
      <c r="B225" s="45" t="str">
        <f t="shared" si="30"/>
        <v>Christopher</v>
      </c>
      <c r="C225" t="s">
        <v>56</v>
      </c>
      <c r="D225" t="s">
        <v>1010</v>
      </c>
      <c r="E225" s="45" t="str">
        <f t="shared" si="31"/>
        <v>White</v>
      </c>
      <c r="F225" s="45" t="str">
        <f t="shared" si="32"/>
        <v>Christopher J White</v>
      </c>
      <c r="G225" t="s">
        <v>264</v>
      </c>
      <c r="H225" t="str">
        <f t="shared" si="33"/>
        <v>Male</v>
      </c>
      <c r="I225" t="s">
        <v>1999</v>
      </c>
      <c r="J225" t="s">
        <v>1998</v>
      </c>
      <c r="K225" t="s">
        <v>58</v>
      </c>
      <c r="L225">
        <v>92801</v>
      </c>
      <c r="O225" t="s">
        <v>1997</v>
      </c>
      <c r="P225" s="45" t="str">
        <f t="shared" si="34"/>
        <v>gmail</v>
      </c>
      <c r="Q225" t="s">
        <v>1996</v>
      </c>
      <c r="R225" s="45" t="str">
        <f t="shared" si="35"/>
        <v>714|227|7227</v>
      </c>
      <c r="S225" s="45" t="str">
        <f t="shared" si="36"/>
        <v>714</v>
      </c>
      <c r="T225" s="45" t="str">
        <f t="shared" si="37"/>
        <v>227</v>
      </c>
      <c r="U225" s="45" t="str">
        <f t="shared" si="38"/>
        <v>7227</v>
      </c>
      <c r="V225" s="2" t="s">
        <v>1995</v>
      </c>
      <c r="W225" s="45" t="str">
        <f t="shared" si="39"/>
        <v>5058</v>
      </c>
    </row>
    <row r="226" spans="1:23" x14ac:dyDescent="0.3">
      <c r="A226" t="s">
        <v>563</v>
      </c>
      <c r="B226" s="45" t="str">
        <f t="shared" si="30"/>
        <v>James</v>
      </c>
      <c r="C226" t="s">
        <v>65</v>
      </c>
      <c r="D226" t="s">
        <v>1994</v>
      </c>
      <c r="E226" s="45" t="str">
        <f t="shared" si="31"/>
        <v>Washington</v>
      </c>
      <c r="F226" s="45" t="str">
        <f t="shared" si="32"/>
        <v>James K Washington</v>
      </c>
      <c r="G226" t="s">
        <v>264</v>
      </c>
      <c r="H226" t="str">
        <f t="shared" si="33"/>
        <v>Male</v>
      </c>
      <c r="I226" t="s">
        <v>1993</v>
      </c>
      <c r="J226" t="s">
        <v>1992</v>
      </c>
      <c r="K226" t="s">
        <v>109</v>
      </c>
      <c r="L226">
        <v>98926</v>
      </c>
      <c r="O226" t="s">
        <v>1991</v>
      </c>
      <c r="P226" s="45" t="str">
        <f t="shared" si="34"/>
        <v>gmail</v>
      </c>
      <c r="Q226" t="s">
        <v>1990</v>
      </c>
      <c r="R226" s="45" t="str">
        <f t="shared" si="35"/>
        <v>509|929|2283</v>
      </c>
      <c r="S226" s="45" t="str">
        <f t="shared" si="36"/>
        <v>509</v>
      </c>
      <c r="T226" s="45" t="str">
        <f t="shared" si="37"/>
        <v>929</v>
      </c>
      <c r="U226" s="45" t="str">
        <f t="shared" si="38"/>
        <v>2283</v>
      </c>
      <c r="V226" s="2" t="s">
        <v>1989</v>
      </c>
      <c r="W226" s="45" t="str">
        <f t="shared" si="39"/>
        <v>972</v>
      </c>
    </row>
    <row r="227" spans="1:23" x14ac:dyDescent="0.3">
      <c r="A227" t="s">
        <v>1354</v>
      </c>
      <c r="B227" s="45" t="str">
        <f t="shared" si="30"/>
        <v>Christine</v>
      </c>
      <c r="C227" t="s">
        <v>361</v>
      </c>
      <c r="D227" t="s">
        <v>1988</v>
      </c>
      <c r="E227" s="45" t="str">
        <f t="shared" si="31"/>
        <v>Pierce</v>
      </c>
      <c r="F227" s="45" t="str">
        <f t="shared" si="32"/>
        <v>Christine T Pierce</v>
      </c>
      <c r="G227" t="s">
        <v>241</v>
      </c>
      <c r="H227" t="str">
        <f t="shared" si="33"/>
        <v>Female</v>
      </c>
      <c r="I227" t="s">
        <v>1987</v>
      </c>
      <c r="J227" t="s">
        <v>1986</v>
      </c>
      <c r="K227" t="s">
        <v>57</v>
      </c>
      <c r="L227">
        <v>61759</v>
      </c>
      <c r="O227" t="s">
        <v>1985</v>
      </c>
      <c r="P227" s="45" t="str">
        <f t="shared" si="34"/>
        <v>gmail</v>
      </c>
      <c r="Q227" t="s">
        <v>1984</v>
      </c>
      <c r="R227" s="45" t="str">
        <f t="shared" si="35"/>
        <v>309|392|0556</v>
      </c>
      <c r="S227" s="45" t="str">
        <f t="shared" si="36"/>
        <v>309</v>
      </c>
      <c r="T227" s="45" t="str">
        <f t="shared" si="37"/>
        <v>392</v>
      </c>
      <c r="U227" s="45" t="str">
        <f t="shared" si="38"/>
        <v>0556</v>
      </c>
      <c r="V227" s="2" t="s">
        <v>1983</v>
      </c>
      <c r="W227" s="45" t="str">
        <f t="shared" si="39"/>
        <v>1065</v>
      </c>
    </row>
    <row r="228" spans="1:23" x14ac:dyDescent="0.3">
      <c r="A228" t="s">
        <v>1982</v>
      </c>
      <c r="B228" s="45" t="str">
        <f t="shared" si="30"/>
        <v>Marie</v>
      </c>
      <c r="C228" t="s">
        <v>62</v>
      </c>
      <c r="D228" t="s">
        <v>368</v>
      </c>
      <c r="E228" s="45" t="str">
        <f t="shared" si="31"/>
        <v>Williams</v>
      </c>
      <c r="F228" s="45" t="str">
        <f t="shared" si="32"/>
        <v>Marie D Williams</v>
      </c>
      <c r="G228" t="s">
        <v>241</v>
      </c>
      <c r="H228" t="str">
        <f t="shared" si="33"/>
        <v>Female</v>
      </c>
      <c r="I228" t="s">
        <v>1981</v>
      </c>
      <c r="J228" t="s">
        <v>1980</v>
      </c>
      <c r="K228" t="s">
        <v>84</v>
      </c>
      <c r="L228">
        <v>31792</v>
      </c>
      <c r="O228" t="s">
        <v>1979</v>
      </c>
      <c r="P228" s="45" t="str">
        <f t="shared" si="34"/>
        <v>gmail</v>
      </c>
      <c r="Q228" t="s">
        <v>1978</v>
      </c>
      <c r="R228" s="45" t="str">
        <f t="shared" si="35"/>
        <v>229|672|6963</v>
      </c>
      <c r="S228" s="45" t="str">
        <f t="shared" si="36"/>
        <v>229</v>
      </c>
      <c r="T228" s="45" t="str">
        <f t="shared" si="37"/>
        <v>672</v>
      </c>
      <c r="U228" s="45" t="str">
        <f t="shared" si="38"/>
        <v>6963</v>
      </c>
      <c r="V228" s="2" t="s">
        <v>1977</v>
      </c>
      <c r="W228" s="45" t="str">
        <f t="shared" si="39"/>
        <v>7201</v>
      </c>
    </row>
    <row r="229" spans="1:23" x14ac:dyDescent="0.3">
      <c r="A229" t="s">
        <v>1976</v>
      </c>
      <c r="B229" s="45" t="str">
        <f t="shared" si="30"/>
        <v>Sharon</v>
      </c>
      <c r="C229" t="s">
        <v>81</v>
      </c>
      <c r="D229" t="s">
        <v>1975</v>
      </c>
      <c r="E229" s="45" t="str">
        <f t="shared" si="31"/>
        <v>Hamilton</v>
      </c>
      <c r="F229" s="45" t="str">
        <f t="shared" si="32"/>
        <v>Sharon A Hamilton</v>
      </c>
      <c r="G229" t="s">
        <v>241</v>
      </c>
      <c r="H229" t="str">
        <f t="shared" si="33"/>
        <v>Female</v>
      </c>
      <c r="I229" t="s">
        <v>1974</v>
      </c>
      <c r="J229" t="s">
        <v>1973</v>
      </c>
      <c r="K229" t="s">
        <v>61</v>
      </c>
      <c r="L229">
        <v>24011</v>
      </c>
      <c r="O229" t="s">
        <v>1972</v>
      </c>
      <c r="P229" s="45" t="str">
        <f t="shared" si="34"/>
        <v>aol</v>
      </c>
      <c r="Q229" t="s">
        <v>1971</v>
      </c>
      <c r="R229" s="45" t="str">
        <f t="shared" si="35"/>
        <v>540|344|8487</v>
      </c>
      <c r="S229" s="45" t="str">
        <f t="shared" si="36"/>
        <v>540</v>
      </c>
      <c r="T229" s="45" t="str">
        <f t="shared" si="37"/>
        <v>344</v>
      </c>
      <c r="U229" s="45" t="str">
        <f t="shared" si="38"/>
        <v>8487</v>
      </c>
      <c r="V229" s="2" t="s">
        <v>1970</v>
      </c>
      <c r="W229" s="45" t="str">
        <f t="shared" si="39"/>
        <v>828</v>
      </c>
    </row>
    <row r="230" spans="1:23" x14ac:dyDescent="0.3">
      <c r="A230" t="s">
        <v>1969</v>
      </c>
      <c r="B230" s="45" t="str">
        <f t="shared" si="30"/>
        <v>Landon</v>
      </c>
      <c r="C230" t="s">
        <v>266</v>
      </c>
      <c r="D230" t="s">
        <v>437</v>
      </c>
      <c r="E230" s="45" t="str">
        <f t="shared" si="31"/>
        <v>Bryan</v>
      </c>
      <c r="F230" s="45" t="str">
        <f t="shared" si="32"/>
        <v>Landon S Bryan</v>
      </c>
      <c r="G230" t="s">
        <v>264</v>
      </c>
      <c r="H230" t="str">
        <f t="shared" si="33"/>
        <v>Male</v>
      </c>
      <c r="I230" t="s">
        <v>1968</v>
      </c>
      <c r="J230" t="s">
        <v>1967</v>
      </c>
      <c r="K230" t="s">
        <v>68</v>
      </c>
      <c r="L230">
        <v>11590</v>
      </c>
      <c r="O230" t="s">
        <v>1966</v>
      </c>
      <c r="P230" s="45" t="str">
        <f t="shared" si="34"/>
        <v>aol</v>
      </c>
      <c r="Q230" t="s">
        <v>1965</v>
      </c>
      <c r="R230" s="45" t="str">
        <f t="shared" si="35"/>
        <v>914|573|4676</v>
      </c>
      <c r="S230" s="45" t="str">
        <f t="shared" si="36"/>
        <v>914</v>
      </c>
      <c r="T230" s="45" t="str">
        <f t="shared" si="37"/>
        <v>573</v>
      </c>
      <c r="U230" s="45" t="str">
        <f t="shared" si="38"/>
        <v>4676</v>
      </c>
      <c r="V230" s="2" t="s">
        <v>1964</v>
      </c>
      <c r="W230" s="45" t="str">
        <f t="shared" si="39"/>
        <v>6711</v>
      </c>
    </row>
    <row r="231" spans="1:23" x14ac:dyDescent="0.3">
      <c r="A231" t="s">
        <v>855</v>
      </c>
      <c r="B231" s="45" t="str">
        <f t="shared" si="30"/>
        <v>Mark</v>
      </c>
      <c r="C231" t="s">
        <v>1051</v>
      </c>
      <c r="D231" t="s">
        <v>1963</v>
      </c>
      <c r="E231" s="45" t="str">
        <f t="shared" si="31"/>
        <v>Garrison</v>
      </c>
      <c r="F231" s="45" t="str">
        <f t="shared" si="32"/>
        <v>Mark P Garrison</v>
      </c>
      <c r="G231" t="s">
        <v>264</v>
      </c>
      <c r="H231" t="str">
        <f t="shared" si="33"/>
        <v>Male</v>
      </c>
      <c r="I231" t="s">
        <v>1962</v>
      </c>
      <c r="J231" t="s">
        <v>1961</v>
      </c>
      <c r="K231" t="s">
        <v>99</v>
      </c>
      <c r="L231">
        <v>47408</v>
      </c>
      <c r="O231" t="s">
        <v>1960</v>
      </c>
      <c r="P231" s="45" t="str">
        <f t="shared" si="34"/>
        <v>gmail</v>
      </c>
      <c r="Q231" t="s">
        <v>1959</v>
      </c>
      <c r="R231" s="45" t="str">
        <f t="shared" si="35"/>
        <v>812|581|1981</v>
      </c>
      <c r="S231" s="45" t="str">
        <f t="shared" si="36"/>
        <v>812</v>
      </c>
      <c r="T231" s="45" t="str">
        <f t="shared" si="37"/>
        <v>581</v>
      </c>
      <c r="U231" s="45" t="str">
        <f t="shared" si="38"/>
        <v>1981</v>
      </c>
      <c r="V231" s="2" t="s">
        <v>1958</v>
      </c>
      <c r="W231" s="45" t="str">
        <f t="shared" si="39"/>
        <v>477</v>
      </c>
    </row>
    <row r="232" spans="1:23" x14ac:dyDescent="0.3">
      <c r="A232" t="s">
        <v>1957</v>
      </c>
      <c r="B232" s="45" t="str">
        <f t="shared" si="30"/>
        <v>Jeremy</v>
      </c>
      <c r="C232" t="s">
        <v>81</v>
      </c>
      <c r="D232" t="s">
        <v>1956</v>
      </c>
      <c r="E232" s="45" t="str">
        <f t="shared" si="31"/>
        <v>Whitaker</v>
      </c>
      <c r="F232" s="45" t="str">
        <f t="shared" si="32"/>
        <v>Jeremy A Whitaker</v>
      </c>
      <c r="G232" t="s">
        <v>264</v>
      </c>
      <c r="H232" t="str">
        <f t="shared" si="33"/>
        <v>Male</v>
      </c>
      <c r="I232" t="s">
        <v>1955</v>
      </c>
      <c r="J232" t="s">
        <v>1954</v>
      </c>
      <c r="K232" t="s">
        <v>58</v>
      </c>
      <c r="L232">
        <v>93401</v>
      </c>
      <c r="O232" t="s">
        <v>1953</v>
      </c>
      <c r="P232" s="45" t="str">
        <f t="shared" si="34"/>
        <v>aol</v>
      </c>
      <c r="Q232" t="s">
        <v>1952</v>
      </c>
      <c r="R232" s="45" t="str">
        <f t="shared" si="35"/>
        <v>805|710|2361</v>
      </c>
      <c r="S232" s="45" t="str">
        <f t="shared" si="36"/>
        <v>805</v>
      </c>
      <c r="T232" s="45" t="str">
        <f t="shared" si="37"/>
        <v>710</v>
      </c>
      <c r="U232" s="45" t="str">
        <f t="shared" si="38"/>
        <v>2361</v>
      </c>
      <c r="V232" s="2" t="s">
        <v>1951</v>
      </c>
      <c r="W232" s="45" t="str">
        <f t="shared" si="39"/>
        <v>5370</v>
      </c>
    </row>
    <row r="233" spans="1:23" x14ac:dyDescent="0.3">
      <c r="A233" t="s">
        <v>1517</v>
      </c>
      <c r="B233" s="45" t="str">
        <f t="shared" si="30"/>
        <v>Matthew</v>
      </c>
      <c r="C233" t="s">
        <v>60</v>
      </c>
      <c r="D233" t="s">
        <v>1950</v>
      </c>
      <c r="E233" s="45" t="str">
        <f t="shared" si="31"/>
        <v>Dupre</v>
      </c>
      <c r="F233" s="45" t="str">
        <f t="shared" si="32"/>
        <v>Matthew M Dupre</v>
      </c>
      <c r="G233" t="s">
        <v>264</v>
      </c>
      <c r="H233" t="str">
        <f t="shared" si="33"/>
        <v>Male</v>
      </c>
      <c r="I233" t="s">
        <v>1949</v>
      </c>
      <c r="J233" t="s">
        <v>1948</v>
      </c>
      <c r="K233" t="s">
        <v>101</v>
      </c>
      <c r="L233">
        <v>15017</v>
      </c>
      <c r="O233" t="s">
        <v>1947</v>
      </c>
      <c r="P233" s="45" t="str">
        <f t="shared" si="34"/>
        <v>gmail</v>
      </c>
      <c r="Q233" t="s">
        <v>1946</v>
      </c>
      <c r="R233" s="45" t="str">
        <f t="shared" si="35"/>
        <v>412|585|3743</v>
      </c>
      <c r="S233" s="45" t="str">
        <f t="shared" si="36"/>
        <v>412</v>
      </c>
      <c r="T233" s="45" t="str">
        <f t="shared" si="37"/>
        <v>585</v>
      </c>
      <c r="U233" s="45" t="str">
        <f t="shared" si="38"/>
        <v>3743</v>
      </c>
      <c r="V233" s="2" t="s">
        <v>1945</v>
      </c>
      <c r="W233" s="45" t="str">
        <f t="shared" si="39"/>
        <v>1993</v>
      </c>
    </row>
    <row r="234" spans="1:23" x14ac:dyDescent="0.3">
      <c r="A234" t="s">
        <v>1944</v>
      </c>
      <c r="B234" s="45" t="str">
        <f t="shared" si="30"/>
        <v>Stephen</v>
      </c>
      <c r="C234" t="s">
        <v>91</v>
      </c>
      <c r="D234" t="s">
        <v>1943</v>
      </c>
      <c r="E234" s="45" t="str">
        <f t="shared" si="31"/>
        <v>Carlson</v>
      </c>
      <c r="F234" s="45" t="str">
        <f t="shared" si="32"/>
        <v>Stephen L Carlson</v>
      </c>
      <c r="G234" t="s">
        <v>264</v>
      </c>
      <c r="H234" t="str">
        <f t="shared" si="33"/>
        <v>Male</v>
      </c>
      <c r="I234" t="s">
        <v>1942</v>
      </c>
      <c r="J234" t="s">
        <v>1941</v>
      </c>
      <c r="K234" t="s">
        <v>74</v>
      </c>
      <c r="L234">
        <v>49855</v>
      </c>
      <c r="O234" t="s">
        <v>1940</v>
      </c>
      <c r="P234" s="45" t="str">
        <f t="shared" si="34"/>
        <v>hotmail</v>
      </c>
      <c r="Q234" t="s">
        <v>1939</v>
      </c>
      <c r="R234" s="45" t="str">
        <f t="shared" si="35"/>
        <v>906|731|6381</v>
      </c>
      <c r="S234" s="45" t="str">
        <f t="shared" si="36"/>
        <v>906</v>
      </c>
      <c r="T234" s="45" t="str">
        <f t="shared" si="37"/>
        <v>731</v>
      </c>
      <c r="U234" s="45" t="str">
        <f t="shared" si="38"/>
        <v>6381</v>
      </c>
      <c r="V234" s="2" t="s">
        <v>1938</v>
      </c>
      <c r="W234" s="45" t="str">
        <f t="shared" si="39"/>
        <v>199</v>
      </c>
    </row>
    <row r="235" spans="1:23" x14ac:dyDescent="0.3">
      <c r="A235" t="s">
        <v>1725</v>
      </c>
      <c r="B235" s="45" t="str">
        <f t="shared" si="30"/>
        <v>Richard</v>
      </c>
      <c r="C235" t="s">
        <v>807</v>
      </c>
      <c r="D235" t="s">
        <v>1937</v>
      </c>
      <c r="E235" s="45" t="str">
        <f t="shared" si="31"/>
        <v>Bivona</v>
      </c>
      <c r="F235" s="45" t="str">
        <f t="shared" si="32"/>
        <v>Richard N Bivona</v>
      </c>
      <c r="G235" t="s">
        <v>264</v>
      </c>
      <c r="H235" t="str">
        <f t="shared" si="33"/>
        <v>Male</v>
      </c>
      <c r="I235" t="s">
        <v>1936</v>
      </c>
      <c r="J235" t="s">
        <v>1935</v>
      </c>
      <c r="K235" t="s">
        <v>101</v>
      </c>
      <c r="L235">
        <v>16353</v>
      </c>
      <c r="O235" t="s">
        <v>1934</v>
      </c>
      <c r="P235" s="45" t="str">
        <f t="shared" si="34"/>
        <v>gmail</v>
      </c>
      <c r="Q235" t="s">
        <v>1933</v>
      </c>
      <c r="R235" s="45" t="str">
        <f t="shared" si="35"/>
        <v>814|755|0549</v>
      </c>
      <c r="S235" s="45" t="str">
        <f t="shared" si="36"/>
        <v>814</v>
      </c>
      <c r="T235" s="45" t="str">
        <f t="shared" si="37"/>
        <v>755</v>
      </c>
      <c r="U235" s="45" t="str">
        <f t="shared" si="38"/>
        <v>0549</v>
      </c>
      <c r="V235" s="2" t="s">
        <v>1932</v>
      </c>
      <c r="W235" s="45" t="str">
        <f t="shared" si="39"/>
        <v>096</v>
      </c>
    </row>
    <row r="236" spans="1:23" x14ac:dyDescent="0.3">
      <c r="A236" t="s">
        <v>931</v>
      </c>
      <c r="B236" s="45" t="str">
        <f t="shared" si="30"/>
        <v>Theresa</v>
      </c>
      <c r="C236" t="s">
        <v>93</v>
      </c>
      <c r="D236" t="s">
        <v>1931</v>
      </c>
      <c r="E236" s="45" t="str">
        <f t="shared" si="31"/>
        <v>Wynn</v>
      </c>
      <c r="F236" s="45" t="str">
        <f t="shared" si="32"/>
        <v>Theresa G Wynn</v>
      </c>
      <c r="G236" t="s">
        <v>241</v>
      </c>
      <c r="H236" t="str">
        <f t="shared" si="33"/>
        <v>Female</v>
      </c>
      <c r="I236" t="s">
        <v>1930</v>
      </c>
      <c r="J236" t="s">
        <v>1929</v>
      </c>
      <c r="K236" t="s">
        <v>76</v>
      </c>
      <c r="L236">
        <v>37917</v>
      </c>
      <c r="O236" t="s">
        <v>1928</v>
      </c>
      <c r="P236" s="45" t="str">
        <f t="shared" si="34"/>
        <v>gmail</v>
      </c>
      <c r="Q236" t="s">
        <v>1927</v>
      </c>
      <c r="R236" s="45" t="str">
        <f t="shared" si="35"/>
        <v>865|245|1971</v>
      </c>
      <c r="S236" s="45" t="str">
        <f t="shared" si="36"/>
        <v>865</v>
      </c>
      <c r="T236" s="45" t="str">
        <f t="shared" si="37"/>
        <v>245</v>
      </c>
      <c r="U236" s="45" t="str">
        <f t="shared" si="38"/>
        <v>1971</v>
      </c>
      <c r="V236" s="2" t="s">
        <v>1926</v>
      </c>
      <c r="W236" s="45" t="str">
        <f t="shared" si="39"/>
        <v>032</v>
      </c>
    </row>
    <row r="237" spans="1:23" x14ac:dyDescent="0.3">
      <c r="A237" t="s">
        <v>1424</v>
      </c>
      <c r="B237" s="45" t="str">
        <f t="shared" si="30"/>
        <v>George</v>
      </c>
      <c r="C237" t="s">
        <v>463</v>
      </c>
      <c r="D237" t="s">
        <v>1925</v>
      </c>
      <c r="E237" s="45" t="str">
        <f t="shared" si="31"/>
        <v>Schell</v>
      </c>
      <c r="F237" s="45" t="str">
        <f t="shared" si="32"/>
        <v>George W Schell</v>
      </c>
      <c r="G237" t="s">
        <v>264</v>
      </c>
      <c r="H237" t="str">
        <f t="shared" si="33"/>
        <v>Male</v>
      </c>
      <c r="I237" t="s">
        <v>1924</v>
      </c>
      <c r="J237" t="s">
        <v>262</v>
      </c>
      <c r="K237" t="s">
        <v>63</v>
      </c>
      <c r="L237">
        <v>70605</v>
      </c>
      <c r="O237" t="s">
        <v>1923</v>
      </c>
      <c r="P237" s="45" t="str">
        <f t="shared" si="34"/>
        <v>aol</v>
      </c>
      <c r="Q237" t="s">
        <v>1922</v>
      </c>
      <c r="R237" s="45" t="str">
        <f t="shared" si="35"/>
        <v>337|474|8383</v>
      </c>
      <c r="S237" s="45" t="str">
        <f t="shared" si="36"/>
        <v>337</v>
      </c>
      <c r="T237" s="45" t="str">
        <f t="shared" si="37"/>
        <v>474</v>
      </c>
      <c r="U237" s="45" t="str">
        <f t="shared" si="38"/>
        <v>8383</v>
      </c>
      <c r="V237" s="2" t="s">
        <v>1921</v>
      </c>
      <c r="W237" s="45" t="str">
        <f t="shared" si="39"/>
        <v>4976</v>
      </c>
    </row>
    <row r="238" spans="1:23" x14ac:dyDescent="0.3">
      <c r="A238" t="s">
        <v>1920</v>
      </c>
      <c r="B238" s="45" t="str">
        <f t="shared" si="30"/>
        <v>Denise</v>
      </c>
      <c r="C238" t="s">
        <v>62</v>
      </c>
      <c r="D238" t="s">
        <v>1677</v>
      </c>
      <c r="E238" s="45" t="str">
        <f t="shared" si="31"/>
        <v>Brown</v>
      </c>
      <c r="F238" s="45" t="str">
        <f t="shared" si="32"/>
        <v>Denise D Brown</v>
      </c>
      <c r="G238" t="s">
        <v>241</v>
      </c>
      <c r="H238" t="str">
        <f t="shared" si="33"/>
        <v>Female</v>
      </c>
      <c r="I238" t="s">
        <v>1919</v>
      </c>
      <c r="J238" t="s">
        <v>1918</v>
      </c>
      <c r="K238" t="s">
        <v>119</v>
      </c>
      <c r="L238">
        <v>6995</v>
      </c>
      <c r="O238" t="s">
        <v>1917</v>
      </c>
      <c r="P238" s="45" t="str">
        <f t="shared" si="34"/>
        <v>hotmail</v>
      </c>
      <c r="Q238" t="s">
        <v>1916</v>
      </c>
      <c r="R238" s="45" t="str">
        <f t="shared" si="35"/>
        <v>860|760|6015</v>
      </c>
      <c r="S238" s="45" t="str">
        <f t="shared" si="36"/>
        <v>860</v>
      </c>
      <c r="T238" s="45" t="str">
        <f t="shared" si="37"/>
        <v>760</v>
      </c>
      <c r="U238" s="45" t="str">
        <f t="shared" si="38"/>
        <v>6015</v>
      </c>
      <c r="V238" s="2" t="s">
        <v>1915</v>
      </c>
      <c r="W238" s="45" t="str">
        <f t="shared" si="39"/>
        <v>356</v>
      </c>
    </row>
    <row r="239" spans="1:23" x14ac:dyDescent="0.3">
      <c r="A239" t="s">
        <v>1914</v>
      </c>
      <c r="B239" s="45" t="str">
        <f t="shared" si="30"/>
        <v>Philip</v>
      </c>
      <c r="C239" t="s">
        <v>93</v>
      </c>
      <c r="D239" t="s">
        <v>1913</v>
      </c>
      <c r="E239" s="45" t="str">
        <f t="shared" si="31"/>
        <v>Phillips</v>
      </c>
      <c r="F239" s="45" t="str">
        <f t="shared" si="32"/>
        <v>Philip G Phillips</v>
      </c>
      <c r="G239" t="s">
        <v>264</v>
      </c>
      <c r="H239" t="str">
        <f t="shared" si="33"/>
        <v>Male</v>
      </c>
      <c r="I239" t="s">
        <v>1912</v>
      </c>
      <c r="J239" t="s">
        <v>1911</v>
      </c>
      <c r="K239" t="s">
        <v>84</v>
      </c>
      <c r="L239">
        <v>30071</v>
      </c>
      <c r="O239" t="s">
        <v>1910</v>
      </c>
      <c r="P239" s="45" t="str">
        <f t="shared" si="34"/>
        <v>aol</v>
      </c>
      <c r="Q239" t="s">
        <v>1909</v>
      </c>
      <c r="R239" s="45" t="str">
        <f t="shared" si="35"/>
        <v>770|245|3087</v>
      </c>
      <c r="S239" s="45" t="str">
        <f t="shared" si="36"/>
        <v>770</v>
      </c>
      <c r="T239" s="45" t="str">
        <f t="shared" si="37"/>
        <v>245</v>
      </c>
      <c r="U239" s="45" t="str">
        <f t="shared" si="38"/>
        <v>3087</v>
      </c>
      <c r="V239" s="2" t="s">
        <v>1908</v>
      </c>
      <c r="W239" s="45" t="str">
        <f t="shared" si="39"/>
        <v>981</v>
      </c>
    </row>
    <row r="240" spans="1:23" x14ac:dyDescent="0.3">
      <c r="A240" t="s">
        <v>369</v>
      </c>
      <c r="B240" s="45" t="str">
        <f t="shared" si="30"/>
        <v>David</v>
      </c>
      <c r="C240" t="s">
        <v>62</v>
      </c>
      <c r="D240" t="s">
        <v>1907</v>
      </c>
      <c r="E240" s="45" t="str">
        <f t="shared" si="31"/>
        <v>Pendleton</v>
      </c>
      <c r="F240" s="45" t="str">
        <f t="shared" si="32"/>
        <v>David D Pendleton</v>
      </c>
      <c r="G240" t="s">
        <v>264</v>
      </c>
      <c r="H240" t="str">
        <f t="shared" si="33"/>
        <v>Male</v>
      </c>
      <c r="I240" t="s">
        <v>1906</v>
      </c>
      <c r="J240" t="s">
        <v>339</v>
      </c>
      <c r="K240" t="s">
        <v>67</v>
      </c>
      <c r="L240">
        <v>35209</v>
      </c>
      <c r="O240" t="s">
        <v>1905</v>
      </c>
      <c r="P240" s="45" t="str">
        <f t="shared" si="34"/>
        <v>gmail</v>
      </c>
      <c r="Q240" t="s">
        <v>1904</v>
      </c>
      <c r="R240" s="45" t="str">
        <f t="shared" si="35"/>
        <v>205|889|7735</v>
      </c>
      <c r="S240" s="45" t="str">
        <f t="shared" si="36"/>
        <v>205</v>
      </c>
      <c r="T240" s="45" t="str">
        <f t="shared" si="37"/>
        <v>889</v>
      </c>
      <c r="U240" s="45" t="str">
        <f t="shared" si="38"/>
        <v>7735</v>
      </c>
      <c r="V240" s="2" t="s">
        <v>1903</v>
      </c>
      <c r="W240" s="45" t="str">
        <f t="shared" si="39"/>
        <v>577</v>
      </c>
    </row>
    <row r="241" spans="1:23" x14ac:dyDescent="0.3">
      <c r="A241" t="s">
        <v>1902</v>
      </c>
      <c r="B241" s="45" t="str">
        <f t="shared" si="30"/>
        <v>Shannon</v>
      </c>
      <c r="C241" t="s">
        <v>56</v>
      </c>
      <c r="D241" t="s">
        <v>1297</v>
      </c>
      <c r="E241" s="45" t="str">
        <f t="shared" si="31"/>
        <v>Green</v>
      </c>
      <c r="F241" s="45" t="str">
        <f t="shared" si="32"/>
        <v>Shannon J Green</v>
      </c>
      <c r="G241" t="s">
        <v>241</v>
      </c>
      <c r="H241" t="str">
        <f t="shared" si="33"/>
        <v>Female</v>
      </c>
      <c r="I241" t="s">
        <v>1901</v>
      </c>
      <c r="J241" t="s">
        <v>1900</v>
      </c>
      <c r="K241" t="s">
        <v>79</v>
      </c>
      <c r="L241">
        <v>33012</v>
      </c>
      <c r="O241" t="s">
        <v>1899</v>
      </c>
      <c r="P241" s="45" t="str">
        <f t="shared" si="34"/>
        <v>aol</v>
      </c>
      <c r="Q241" t="s">
        <v>1898</v>
      </c>
      <c r="R241" s="45" t="str">
        <f t="shared" si="35"/>
        <v>772|268|6487</v>
      </c>
      <c r="S241" s="45" t="str">
        <f t="shared" si="36"/>
        <v>772</v>
      </c>
      <c r="T241" s="45" t="str">
        <f t="shared" si="37"/>
        <v>268</v>
      </c>
      <c r="U241" s="45" t="str">
        <f t="shared" si="38"/>
        <v>6487</v>
      </c>
      <c r="V241" s="2" t="s">
        <v>1897</v>
      </c>
      <c r="W241" s="45" t="str">
        <f t="shared" si="39"/>
        <v>025</v>
      </c>
    </row>
    <row r="242" spans="1:23" x14ac:dyDescent="0.3">
      <c r="A242" t="s">
        <v>1896</v>
      </c>
      <c r="B242" s="45" t="str">
        <f t="shared" si="30"/>
        <v>Dave</v>
      </c>
      <c r="C242" t="s">
        <v>75</v>
      </c>
      <c r="D242" t="s">
        <v>1895</v>
      </c>
      <c r="E242" s="45" t="str">
        <f t="shared" si="31"/>
        <v>Spears</v>
      </c>
      <c r="F242" s="45" t="str">
        <f t="shared" si="32"/>
        <v>Dave B Spears</v>
      </c>
      <c r="G242" t="s">
        <v>264</v>
      </c>
      <c r="H242" t="str">
        <f t="shared" si="33"/>
        <v>Male</v>
      </c>
      <c r="I242" t="s">
        <v>1894</v>
      </c>
      <c r="J242" t="s">
        <v>1893</v>
      </c>
      <c r="K242" t="s">
        <v>58</v>
      </c>
      <c r="L242">
        <v>90404</v>
      </c>
      <c r="O242" t="s">
        <v>1892</v>
      </c>
      <c r="P242" s="45" t="str">
        <f t="shared" si="34"/>
        <v>aol</v>
      </c>
      <c r="Q242" t="s">
        <v>1891</v>
      </c>
      <c r="R242" s="45" t="str">
        <f t="shared" si="35"/>
        <v>310|401|9353</v>
      </c>
      <c r="S242" s="45" t="str">
        <f t="shared" si="36"/>
        <v>310</v>
      </c>
      <c r="T242" s="45" t="str">
        <f t="shared" si="37"/>
        <v>401</v>
      </c>
      <c r="U242" s="45" t="str">
        <f t="shared" si="38"/>
        <v>9353</v>
      </c>
      <c r="V242" s="2" t="s">
        <v>1890</v>
      </c>
      <c r="W242" s="45" t="str">
        <f t="shared" si="39"/>
        <v>5253</v>
      </c>
    </row>
    <row r="243" spans="1:23" x14ac:dyDescent="0.3">
      <c r="A243" t="s">
        <v>369</v>
      </c>
      <c r="B243" s="45" t="str">
        <f t="shared" si="30"/>
        <v>David</v>
      </c>
      <c r="C243" t="s">
        <v>56</v>
      </c>
      <c r="D243" t="s">
        <v>1889</v>
      </c>
      <c r="E243" s="45" t="str">
        <f t="shared" si="31"/>
        <v>Turner</v>
      </c>
      <c r="F243" s="45" t="str">
        <f t="shared" si="32"/>
        <v>David J Turner</v>
      </c>
      <c r="G243" t="s">
        <v>264</v>
      </c>
      <c r="H243" t="str">
        <f t="shared" si="33"/>
        <v>Male</v>
      </c>
      <c r="I243" t="s">
        <v>1888</v>
      </c>
      <c r="J243" t="s">
        <v>1547</v>
      </c>
      <c r="K243" t="s">
        <v>73</v>
      </c>
      <c r="L243">
        <v>53202</v>
      </c>
      <c r="O243" t="s">
        <v>1887</v>
      </c>
      <c r="P243" s="45" t="str">
        <f t="shared" si="34"/>
        <v>gmail</v>
      </c>
      <c r="Q243" t="s">
        <v>1886</v>
      </c>
      <c r="R243" s="45" t="str">
        <f t="shared" si="35"/>
        <v>414|377|6047</v>
      </c>
      <c r="S243" s="45" t="str">
        <f t="shared" si="36"/>
        <v>414</v>
      </c>
      <c r="T243" s="45" t="str">
        <f t="shared" si="37"/>
        <v>377</v>
      </c>
      <c r="U243" s="45" t="str">
        <f t="shared" si="38"/>
        <v>6047</v>
      </c>
      <c r="V243" s="2" t="s">
        <v>1885</v>
      </c>
      <c r="W243" s="45" t="str">
        <f t="shared" si="39"/>
        <v>5312</v>
      </c>
    </row>
    <row r="244" spans="1:23" x14ac:dyDescent="0.3">
      <c r="A244" t="s">
        <v>815</v>
      </c>
      <c r="B244" s="45" t="str">
        <f t="shared" si="30"/>
        <v>Daniel</v>
      </c>
      <c r="C244" t="s">
        <v>69</v>
      </c>
      <c r="D244" t="s">
        <v>1884</v>
      </c>
      <c r="E244" s="45" t="str">
        <f t="shared" si="31"/>
        <v>Dwyer</v>
      </c>
      <c r="F244" s="45" t="str">
        <f t="shared" si="32"/>
        <v>Daniel H Dwyer</v>
      </c>
      <c r="G244" t="s">
        <v>264</v>
      </c>
      <c r="H244" t="str">
        <f t="shared" si="33"/>
        <v>Male</v>
      </c>
      <c r="I244" t="s">
        <v>1883</v>
      </c>
      <c r="J244" t="s">
        <v>1882</v>
      </c>
      <c r="K244" t="s">
        <v>85</v>
      </c>
      <c r="L244">
        <v>28412</v>
      </c>
      <c r="O244" t="s">
        <v>1881</v>
      </c>
      <c r="P244" s="45" t="str">
        <f t="shared" si="34"/>
        <v>aol</v>
      </c>
      <c r="Q244" t="s">
        <v>1880</v>
      </c>
      <c r="R244" s="45" t="str">
        <f t="shared" si="35"/>
        <v>910|412|9036</v>
      </c>
      <c r="S244" s="45" t="str">
        <f t="shared" si="36"/>
        <v>910</v>
      </c>
      <c r="T244" s="45" t="str">
        <f t="shared" si="37"/>
        <v>412</v>
      </c>
      <c r="U244" s="45" t="str">
        <f t="shared" si="38"/>
        <v>9036</v>
      </c>
      <c r="V244" s="2" t="s">
        <v>1879</v>
      </c>
      <c r="W244" s="45" t="str">
        <f t="shared" si="39"/>
        <v>4116</v>
      </c>
    </row>
    <row r="245" spans="1:23" x14ac:dyDescent="0.3">
      <c r="A245" t="s">
        <v>1878</v>
      </c>
      <c r="B245" s="45" t="str">
        <f t="shared" si="30"/>
        <v>Darlene</v>
      </c>
      <c r="C245" t="s">
        <v>62</v>
      </c>
      <c r="D245" t="s">
        <v>1712</v>
      </c>
      <c r="E245" s="45" t="str">
        <f t="shared" si="31"/>
        <v>Ward</v>
      </c>
      <c r="F245" s="45" t="str">
        <f t="shared" si="32"/>
        <v>Darlene D Ward</v>
      </c>
      <c r="G245" t="s">
        <v>241</v>
      </c>
      <c r="H245" t="str">
        <f t="shared" si="33"/>
        <v>Female</v>
      </c>
      <c r="I245" t="s">
        <v>1877</v>
      </c>
      <c r="J245" t="s">
        <v>1876</v>
      </c>
      <c r="K245" t="s">
        <v>58</v>
      </c>
      <c r="L245">
        <v>94010</v>
      </c>
      <c r="O245" t="s">
        <v>1875</v>
      </c>
      <c r="P245" s="45" t="str">
        <f t="shared" si="34"/>
        <v>aol</v>
      </c>
      <c r="Q245" t="s">
        <v>1874</v>
      </c>
      <c r="R245" s="45" t="str">
        <f t="shared" si="35"/>
        <v>650|696|0121</v>
      </c>
      <c r="S245" s="45" t="str">
        <f t="shared" si="36"/>
        <v>650</v>
      </c>
      <c r="T245" s="45" t="str">
        <f t="shared" si="37"/>
        <v>696</v>
      </c>
      <c r="U245" s="45" t="str">
        <f t="shared" si="38"/>
        <v>0121</v>
      </c>
      <c r="V245" s="2" t="s">
        <v>1873</v>
      </c>
      <c r="W245" s="45" t="str">
        <f t="shared" si="39"/>
        <v>4380</v>
      </c>
    </row>
    <row r="246" spans="1:23" x14ac:dyDescent="0.3">
      <c r="A246" t="s">
        <v>1872</v>
      </c>
      <c r="B246" s="45" t="str">
        <f t="shared" si="30"/>
        <v>Walter</v>
      </c>
      <c r="C246" t="s">
        <v>243</v>
      </c>
      <c r="D246" t="s">
        <v>1871</v>
      </c>
      <c r="E246" s="45" t="str">
        <f t="shared" si="31"/>
        <v>Gavin</v>
      </c>
      <c r="F246" s="45" t="str">
        <f t="shared" si="32"/>
        <v>Walter R Gavin</v>
      </c>
      <c r="G246" t="s">
        <v>264</v>
      </c>
      <c r="H246" t="str">
        <f t="shared" si="33"/>
        <v>Male</v>
      </c>
      <c r="I246" t="s">
        <v>1870</v>
      </c>
      <c r="J246" t="s">
        <v>1869</v>
      </c>
      <c r="K246" t="s">
        <v>74</v>
      </c>
      <c r="L246">
        <v>49503</v>
      </c>
      <c r="O246" t="s">
        <v>1868</v>
      </c>
      <c r="P246" s="45" t="str">
        <f t="shared" si="34"/>
        <v>aol</v>
      </c>
      <c r="Q246" t="s">
        <v>1867</v>
      </c>
      <c r="R246" s="45" t="str">
        <f t="shared" si="35"/>
        <v>269|268|1166</v>
      </c>
      <c r="S246" s="45" t="str">
        <f t="shared" si="36"/>
        <v>269</v>
      </c>
      <c r="T246" s="45" t="str">
        <f t="shared" si="37"/>
        <v>268</v>
      </c>
      <c r="U246" s="45" t="str">
        <f t="shared" si="38"/>
        <v>1166</v>
      </c>
      <c r="V246" s="2" t="s">
        <v>1866</v>
      </c>
      <c r="W246" s="45" t="str">
        <f t="shared" si="39"/>
        <v>0813</v>
      </c>
    </row>
    <row r="247" spans="1:23" x14ac:dyDescent="0.3">
      <c r="A247" t="s">
        <v>498</v>
      </c>
      <c r="B247" s="45" t="str">
        <f t="shared" si="30"/>
        <v>Mary</v>
      </c>
      <c r="C247" t="s">
        <v>62</v>
      </c>
      <c r="D247" t="s">
        <v>1865</v>
      </c>
      <c r="E247" s="45" t="str">
        <f t="shared" si="31"/>
        <v>Glaspie</v>
      </c>
      <c r="F247" s="45" t="str">
        <f t="shared" si="32"/>
        <v>Mary D Glaspie</v>
      </c>
      <c r="G247" t="s">
        <v>241</v>
      </c>
      <c r="H247" t="str">
        <f t="shared" si="33"/>
        <v>Female</v>
      </c>
      <c r="I247" t="s">
        <v>1864</v>
      </c>
      <c r="J247" t="s">
        <v>1630</v>
      </c>
      <c r="K247" t="s">
        <v>71</v>
      </c>
      <c r="L247">
        <v>2908</v>
      </c>
      <c r="O247" t="s">
        <v>1863</v>
      </c>
      <c r="P247" s="45" t="str">
        <f t="shared" si="34"/>
        <v>gmail</v>
      </c>
      <c r="Q247" t="s">
        <v>1862</v>
      </c>
      <c r="R247" s="45" t="str">
        <f t="shared" si="35"/>
        <v>401|313|0452</v>
      </c>
      <c r="S247" s="45" t="str">
        <f t="shared" si="36"/>
        <v>401</v>
      </c>
      <c r="T247" s="45" t="str">
        <f t="shared" si="37"/>
        <v>313</v>
      </c>
      <c r="U247" s="45" t="str">
        <f t="shared" si="38"/>
        <v>0452</v>
      </c>
      <c r="V247" s="2" t="s">
        <v>1861</v>
      </c>
      <c r="W247" s="45" t="str">
        <f t="shared" si="39"/>
        <v>1846</v>
      </c>
    </row>
    <row r="248" spans="1:23" x14ac:dyDescent="0.3">
      <c r="A248" t="s">
        <v>314</v>
      </c>
      <c r="B248" s="45" t="str">
        <f t="shared" si="30"/>
        <v>Frank</v>
      </c>
      <c r="C248" t="s">
        <v>56</v>
      </c>
      <c r="D248" t="s">
        <v>1860</v>
      </c>
      <c r="E248" s="45" t="str">
        <f t="shared" si="31"/>
        <v>Santos</v>
      </c>
      <c r="F248" s="45" t="str">
        <f t="shared" si="32"/>
        <v>Frank J Santos</v>
      </c>
      <c r="G248" t="s">
        <v>264</v>
      </c>
      <c r="H248" t="str">
        <f t="shared" si="33"/>
        <v>Male</v>
      </c>
      <c r="I248" t="s">
        <v>1859</v>
      </c>
      <c r="J248" t="s">
        <v>1858</v>
      </c>
      <c r="K248" t="s">
        <v>80</v>
      </c>
      <c r="L248">
        <v>68309</v>
      </c>
      <c r="O248" t="s">
        <v>1857</v>
      </c>
      <c r="P248" s="45" t="str">
        <f t="shared" si="34"/>
        <v>aol</v>
      </c>
      <c r="Q248" t="s">
        <v>1856</v>
      </c>
      <c r="R248" s="45" t="str">
        <f t="shared" si="35"/>
        <v>402|674|6125</v>
      </c>
      <c r="S248" s="45" t="str">
        <f t="shared" si="36"/>
        <v>402</v>
      </c>
      <c r="T248" s="45" t="str">
        <f t="shared" si="37"/>
        <v>674</v>
      </c>
      <c r="U248" s="45" t="str">
        <f t="shared" si="38"/>
        <v>6125</v>
      </c>
      <c r="V248" s="2" t="s">
        <v>1855</v>
      </c>
      <c r="W248" s="45" t="str">
        <f t="shared" si="39"/>
        <v>488</v>
      </c>
    </row>
    <row r="249" spans="1:23" x14ac:dyDescent="0.3">
      <c r="A249" t="s">
        <v>288</v>
      </c>
      <c r="B249" s="45" t="str">
        <f t="shared" si="30"/>
        <v>Kevin</v>
      </c>
      <c r="C249" t="s">
        <v>266</v>
      </c>
      <c r="D249" t="s">
        <v>1854</v>
      </c>
      <c r="E249" s="45" t="str">
        <f t="shared" si="31"/>
        <v>Arias</v>
      </c>
      <c r="F249" s="45" t="str">
        <f t="shared" si="32"/>
        <v>Kevin S Arias</v>
      </c>
      <c r="G249" t="s">
        <v>264</v>
      </c>
      <c r="H249" t="str">
        <f t="shared" si="33"/>
        <v>Male</v>
      </c>
      <c r="I249" t="s">
        <v>1853</v>
      </c>
      <c r="J249" t="s">
        <v>1852</v>
      </c>
      <c r="K249" t="s">
        <v>67</v>
      </c>
      <c r="L249">
        <v>36538</v>
      </c>
      <c r="O249" t="s">
        <v>1851</v>
      </c>
      <c r="P249" s="45" t="str">
        <f t="shared" si="34"/>
        <v>gmail</v>
      </c>
      <c r="Q249" t="s">
        <v>1850</v>
      </c>
      <c r="R249" s="45" t="str">
        <f t="shared" si="35"/>
        <v>251|754|8822</v>
      </c>
      <c r="S249" s="45" t="str">
        <f t="shared" si="36"/>
        <v>251</v>
      </c>
      <c r="T249" s="45" t="str">
        <f t="shared" si="37"/>
        <v>754</v>
      </c>
      <c r="U249" s="45" t="str">
        <f t="shared" si="38"/>
        <v>8822</v>
      </c>
      <c r="V249" s="2" t="s">
        <v>1849</v>
      </c>
      <c r="W249" s="45" t="str">
        <f t="shared" si="39"/>
        <v>4216</v>
      </c>
    </row>
    <row r="250" spans="1:23" x14ac:dyDescent="0.3">
      <c r="A250" t="s">
        <v>563</v>
      </c>
      <c r="B250" s="45" t="str">
        <f t="shared" si="30"/>
        <v>James</v>
      </c>
      <c r="C250" t="s">
        <v>65</v>
      </c>
      <c r="D250" t="s">
        <v>1848</v>
      </c>
      <c r="E250" s="45" t="str">
        <f t="shared" si="31"/>
        <v>Foster</v>
      </c>
      <c r="F250" s="45" t="str">
        <f t="shared" si="32"/>
        <v>James K Foster</v>
      </c>
      <c r="G250" t="s">
        <v>264</v>
      </c>
      <c r="H250" t="str">
        <f t="shared" si="33"/>
        <v>Male</v>
      </c>
      <c r="I250" t="s">
        <v>1847</v>
      </c>
      <c r="J250" t="s">
        <v>51</v>
      </c>
      <c r="K250" t="s">
        <v>117</v>
      </c>
      <c r="L250">
        <v>20020</v>
      </c>
      <c r="O250" t="s">
        <v>1846</v>
      </c>
      <c r="P250" s="45" t="str">
        <f t="shared" si="34"/>
        <v>hotmail</v>
      </c>
      <c r="Q250" t="s">
        <v>1845</v>
      </c>
      <c r="R250" s="45" t="str">
        <f t="shared" si="35"/>
        <v>202|889|1944</v>
      </c>
      <c r="S250" s="45" t="str">
        <f t="shared" si="36"/>
        <v>202</v>
      </c>
      <c r="T250" s="45" t="str">
        <f t="shared" si="37"/>
        <v>889</v>
      </c>
      <c r="U250" s="45" t="str">
        <f t="shared" si="38"/>
        <v>1944</v>
      </c>
      <c r="V250" s="2" t="s">
        <v>1844</v>
      </c>
      <c r="W250" s="45" t="str">
        <f t="shared" si="39"/>
        <v>3551</v>
      </c>
    </row>
    <row r="251" spans="1:23" x14ac:dyDescent="0.3">
      <c r="A251" t="s">
        <v>1394</v>
      </c>
      <c r="B251" s="45" t="str">
        <f t="shared" si="30"/>
        <v>Randy</v>
      </c>
      <c r="C251" t="s">
        <v>807</v>
      </c>
      <c r="D251" t="s">
        <v>1843</v>
      </c>
      <c r="E251" s="45" t="str">
        <f t="shared" si="31"/>
        <v>Harrison</v>
      </c>
      <c r="F251" s="45" t="str">
        <f t="shared" si="32"/>
        <v>Randy N Harrison</v>
      </c>
      <c r="G251" t="s">
        <v>264</v>
      </c>
      <c r="H251" t="str">
        <f t="shared" si="33"/>
        <v>Male</v>
      </c>
      <c r="I251" t="s">
        <v>1842</v>
      </c>
      <c r="J251" t="s">
        <v>1841</v>
      </c>
      <c r="K251" t="s">
        <v>66</v>
      </c>
      <c r="L251">
        <v>76301</v>
      </c>
      <c r="O251" t="s">
        <v>1840</v>
      </c>
      <c r="P251" s="45" t="str">
        <f t="shared" si="34"/>
        <v>aol</v>
      </c>
      <c r="Q251" t="s">
        <v>1839</v>
      </c>
      <c r="R251" s="45" t="str">
        <f t="shared" si="35"/>
        <v>940|228|9302</v>
      </c>
      <c r="S251" s="45" t="str">
        <f t="shared" si="36"/>
        <v>940</v>
      </c>
      <c r="T251" s="45" t="str">
        <f t="shared" si="37"/>
        <v>228</v>
      </c>
      <c r="U251" s="45" t="str">
        <f t="shared" si="38"/>
        <v>9302</v>
      </c>
      <c r="V251" s="2" t="s">
        <v>1838</v>
      </c>
      <c r="W251" s="45" t="str">
        <f t="shared" si="39"/>
        <v>111</v>
      </c>
    </row>
    <row r="252" spans="1:23" x14ac:dyDescent="0.3">
      <c r="A252" t="s">
        <v>464</v>
      </c>
      <c r="B252" s="45" t="str">
        <f t="shared" si="30"/>
        <v>Barbara</v>
      </c>
      <c r="C252" t="s">
        <v>243</v>
      </c>
      <c r="D252" t="s">
        <v>1837</v>
      </c>
      <c r="E252" s="45" t="str">
        <f t="shared" si="31"/>
        <v>Gray</v>
      </c>
      <c r="F252" s="45" t="str">
        <f t="shared" si="32"/>
        <v>Barbara R Gray</v>
      </c>
      <c r="G252" t="s">
        <v>241</v>
      </c>
      <c r="H252" t="str">
        <f t="shared" si="33"/>
        <v>Female</v>
      </c>
      <c r="I252" t="s">
        <v>1836</v>
      </c>
      <c r="J252" t="s">
        <v>1514</v>
      </c>
      <c r="K252" t="s">
        <v>112</v>
      </c>
      <c r="L252">
        <v>29646</v>
      </c>
      <c r="O252" t="s">
        <v>1835</v>
      </c>
      <c r="P252" s="45" t="str">
        <f t="shared" si="34"/>
        <v>gmail</v>
      </c>
      <c r="Q252" t="s">
        <v>1834</v>
      </c>
      <c r="R252" s="45" t="str">
        <f t="shared" si="35"/>
        <v>864|725|0784</v>
      </c>
      <c r="S252" s="45" t="str">
        <f t="shared" si="36"/>
        <v>864</v>
      </c>
      <c r="T252" s="45" t="str">
        <f t="shared" si="37"/>
        <v>725</v>
      </c>
      <c r="U252" s="45" t="str">
        <f t="shared" si="38"/>
        <v>0784</v>
      </c>
      <c r="V252" s="2" t="s">
        <v>1833</v>
      </c>
      <c r="W252" s="45" t="str">
        <f t="shared" si="39"/>
        <v>5864</v>
      </c>
    </row>
    <row r="253" spans="1:23" x14ac:dyDescent="0.3">
      <c r="A253" t="s">
        <v>1832</v>
      </c>
      <c r="B253" s="45" t="str">
        <f t="shared" si="30"/>
        <v>Chad</v>
      </c>
      <c r="C253" t="s">
        <v>60</v>
      </c>
      <c r="D253" t="s">
        <v>1831</v>
      </c>
      <c r="E253" s="45" t="str">
        <f t="shared" si="31"/>
        <v>Mitchell</v>
      </c>
      <c r="F253" s="45" t="str">
        <f t="shared" si="32"/>
        <v>Chad M Mitchell</v>
      </c>
      <c r="G253" t="s">
        <v>264</v>
      </c>
      <c r="H253" t="str">
        <f t="shared" si="33"/>
        <v>Male</v>
      </c>
      <c r="I253" t="s">
        <v>1830</v>
      </c>
      <c r="J253" t="s">
        <v>586</v>
      </c>
      <c r="K253" t="s">
        <v>76</v>
      </c>
      <c r="L253">
        <v>37209</v>
      </c>
      <c r="O253" t="s">
        <v>1829</v>
      </c>
      <c r="P253" s="45" t="str">
        <f t="shared" si="34"/>
        <v>hotmail</v>
      </c>
      <c r="Q253" t="s">
        <v>1828</v>
      </c>
      <c r="R253" s="45" t="str">
        <f t="shared" si="35"/>
        <v>615|426|6227</v>
      </c>
      <c r="S253" s="45" t="str">
        <f t="shared" si="36"/>
        <v>615</v>
      </c>
      <c r="T253" s="45" t="str">
        <f t="shared" si="37"/>
        <v>426</v>
      </c>
      <c r="U253" s="45" t="str">
        <f t="shared" si="38"/>
        <v>6227</v>
      </c>
      <c r="V253" s="2" t="s">
        <v>1827</v>
      </c>
      <c r="W253" s="45" t="str">
        <f t="shared" si="39"/>
        <v>806</v>
      </c>
    </row>
    <row r="254" spans="1:23" x14ac:dyDescent="0.3">
      <c r="A254" t="s">
        <v>1826</v>
      </c>
      <c r="B254" s="45" t="str">
        <f t="shared" si="30"/>
        <v>Lauren</v>
      </c>
      <c r="C254" t="s">
        <v>56</v>
      </c>
      <c r="D254" t="s">
        <v>1825</v>
      </c>
      <c r="E254" s="45" t="str">
        <f t="shared" si="31"/>
        <v>Keese</v>
      </c>
      <c r="F254" s="45" t="str">
        <f t="shared" si="32"/>
        <v>Lauren J Keese</v>
      </c>
      <c r="G254" t="s">
        <v>241</v>
      </c>
      <c r="H254" t="str">
        <f t="shared" si="33"/>
        <v>Female</v>
      </c>
      <c r="I254" t="s">
        <v>1824</v>
      </c>
      <c r="J254" t="s">
        <v>1823</v>
      </c>
      <c r="K254" t="s">
        <v>57</v>
      </c>
      <c r="L254">
        <v>61274</v>
      </c>
      <c r="O254" t="s">
        <v>1822</v>
      </c>
      <c r="P254" s="45" t="str">
        <f t="shared" si="34"/>
        <v>hotmail</v>
      </c>
      <c r="Q254" t="s">
        <v>1821</v>
      </c>
      <c r="R254" s="45" t="str">
        <f t="shared" si="35"/>
        <v>309|522|5188</v>
      </c>
      <c r="S254" s="45" t="str">
        <f t="shared" si="36"/>
        <v>309</v>
      </c>
      <c r="T254" s="45" t="str">
        <f t="shared" si="37"/>
        <v>522</v>
      </c>
      <c r="U254" s="45" t="str">
        <f t="shared" si="38"/>
        <v>5188</v>
      </c>
      <c r="V254" s="2" t="s">
        <v>1820</v>
      </c>
      <c r="W254" s="45" t="str">
        <f t="shared" si="39"/>
        <v>859</v>
      </c>
    </row>
    <row r="255" spans="1:23" x14ac:dyDescent="0.3">
      <c r="A255" t="s">
        <v>498</v>
      </c>
      <c r="B255" s="45" t="str">
        <f t="shared" si="30"/>
        <v>Mary</v>
      </c>
      <c r="C255" t="s">
        <v>77</v>
      </c>
      <c r="D255" t="s">
        <v>1737</v>
      </c>
      <c r="E255" s="45" t="str">
        <f t="shared" si="31"/>
        <v>Hernandez</v>
      </c>
      <c r="F255" s="45" t="str">
        <f t="shared" si="32"/>
        <v>Mary C Hernandez</v>
      </c>
      <c r="G255" t="s">
        <v>241</v>
      </c>
      <c r="H255" t="str">
        <f t="shared" si="33"/>
        <v>Female</v>
      </c>
      <c r="I255" t="s">
        <v>1819</v>
      </c>
      <c r="J255" t="s">
        <v>1818</v>
      </c>
      <c r="K255" t="s">
        <v>92</v>
      </c>
      <c r="L255">
        <v>63101</v>
      </c>
      <c r="O255" t="s">
        <v>1817</v>
      </c>
      <c r="P255" s="45" t="str">
        <f t="shared" si="34"/>
        <v>aol</v>
      </c>
      <c r="Q255" t="s">
        <v>1816</v>
      </c>
      <c r="R255" s="45" t="str">
        <f t="shared" si="35"/>
        <v>314|340|4113</v>
      </c>
      <c r="S255" s="45" t="str">
        <f t="shared" si="36"/>
        <v>314</v>
      </c>
      <c r="T255" s="45" t="str">
        <f t="shared" si="37"/>
        <v>340</v>
      </c>
      <c r="U255" s="45" t="str">
        <f t="shared" si="38"/>
        <v>4113</v>
      </c>
      <c r="V255" s="2" t="s">
        <v>1815</v>
      </c>
      <c r="W255" s="45" t="str">
        <f t="shared" si="39"/>
        <v>696</v>
      </c>
    </row>
    <row r="256" spans="1:23" x14ac:dyDescent="0.3">
      <c r="A256" t="s">
        <v>794</v>
      </c>
      <c r="B256" s="45" t="str">
        <f t="shared" si="30"/>
        <v>Victor</v>
      </c>
      <c r="C256" t="s">
        <v>69</v>
      </c>
      <c r="D256" t="s">
        <v>1814</v>
      </c>
      <c r="E256" s="45" t="str">
        <f t="shared" si="31"/>
        <v>Vest</v>
      </c>
      <c r="F256" s="45" t="str">
        <f t="shared" si="32"/>
        <v>Victor H Vest</v>
      </c>
      <c r="G256" t="s">
        <v>264</v>
      </c>
      <c r="H256" t="str">
        <f t="shared" si="33"/>
        <v>Male</v>
      </c>
      <c r="I256" t="s">
        <v>1813</v>
      </c>
      <c r="J256" t="s">
        <v>421</v>
      </c>
      <c r="K256" t="s">
        <v>58</v>
      </c>
      <c r="L256">
        <v>90017</v>
      </c>
      <c r="O256" t="s">
        <v>1812</v>
      </c>
      <c r="P256" s="45" t="str">
        <f t="shared" si="34"/>
        <v>gmail</v>
      </c>
      <c r="Q256" t="s">
        <v>1811</v>
      </c>
      <c r="R256" s="45" t="str">
        <f t="shared" si="35"/>
        <v>626|320|5237</v>
      </c>
      <c r="S256" s="45" t="str">
        <f t="shared" si="36"/>
        <v>626</v>
      </c>
      <c r="T256" s="45" t="str">
        <f t="shared" si="37"/>
        <v>320</v>
      </c>
      <c r="U256" s="45" t="str">
        <f t="shared" si="38"/>
        <v>5237</v>
      </c>
      <c r="V256" s="2" t="s">
        <v>1810</v>
      </c>
      <c r="W256" s="45" t="str">
        <f t="shared" si="39"/>
        <v>514</v>
      </c>
    </row>
    <row r="257" spans="1:23" x14ac:dyDescent="0.3">
      <c r="A257" t="s">
        <v>1809</v>
      </c>
      <c r="B257" s="45" t="str">
        <f t="shared" si="30"/>
        <v>Shirley</v>
      </c>
      <c r="C257" t="s">
        <v>56</v>
      </c>
      <c r="D257" t="s">
        <v>1808</v>
      </c>
      <c r="E257" s="45" t="str">
        <f t="shared" si="31"/>
        <v>Davenport</v>
      </c>
      <c r="F257" s="45" t="str">
        <f t="shared" si="32"/>
        <v>Shirley J Davenport</v>
      </c>
      <c r="G257" t="s">
        <v>241</v>
      </c>
      <c r="H257" t="str">
        <f t="shared" si="33"/>
        <v>Female</v>
      </c>
      <c r="I257" t="s">
        <v>1807</v>
      </c>
      <c r="J257" t="s">
        <v>1806</v>
      </c>
      <c r="K257" t="s">
        <v>90</v>
      </c>
      <c r="L257">
        <v>83642</v>
      </c>
      <c r="O257" t="s">
        <v>1805</v>
      </c>
      <c r="P257" s="45" t="str">
        <f t="shared" si="34"/>
        <v>hotmail</v>
      </c>
      <c r="Q257" t="s">
        <v>1804</v>
      </c>
      <c r="R257" s="45" t="str">
        <f t="shared" si="35"/>
        <v>208|846|4255</v>
      </c>
      <c r="S257" s="45" t="str">
        <f t="shared" si="36"/>
        <v>208</v>
      </c>
      <c r="T257" s="45" t="str">
        <f t="shared" si="37"/>
        <v>846</v>
      </c>
      <c r="U257" s="45" t="str">
        <f t="shared" si="38"/>
        <v>4255</v>
      </c>
      <c r="V257" s="2" t="s">
        <v>1803</v>
      </c>
      <c r="W257" s="45" t="str">
        <f t="shared" si="39"/>
        <v>103</v>
      </c>
    </row>
    <row r="258" spans="1:23" x14ac:dyDescent="0.3">
      <c r="A258" t="s">
        <v>642</v>
      </c>
      <c r="B258" s="45" t="str">
        <f t="shared" si="30"/>
        <v>Thomas</v>
      </c>
      <c r="C258" t="s">
        <v>361</v>
      </c>
      <c r="D258" t="s">
        <v>1276</v>
      </c>
      <c r="E258" s="45" t="str">
        <f t="shared" si="31"/>
        <v>Miller</v>
      </c>
      <c r="F258" s="45" t="str">
        <f t="shared" si="32"/>
        <v>Thomas T Miller</v>
      </c>
      <c r="G258" t="s">
        <v>264</v>
      </c>
      <c r="H258" t="str">
        <f t="shared" si="33"/>
        <v>Male</v>
      </c>
      <c r="I258" t="s">
        <v>1802</v>
      </c>
      <c r="J258" t="s">
        <v>1801</v>
      </c>
      <c r="K258" t="s">
        <v>119</v>
      </c>
      <c r="L258">
        <v>6702</v>
      </c>
      <c r="O258" t="s">
        <v>1800</v>
      </c>
      <c r="P258" s="45" t="str">
        <f t="shared" si="34"/>
        <v>aol</v>
      </c>
      <c r="Q258" t="s">
        <v>1799</v>
      </c>
      <c r="R258" s="45" t="str">
        <f t="shared" si="35"/>
        <v>203|756|4654</v>
      </c>
      <c r="S258" s="45" t="str">
        <f t="shared" si="36"/>
        <v>203</v>
      </c>
      <c r="T258" s="45" t="str">
        <f t="shared" si="37"/>
        <v>756</v>
      </c>
      <c r="U258" s="45" t="str">
        <f t="shared" si="38"/>
        <v>4654</v>
      </c>
      <c r="V258" s="2" t="s">
        <v>1798</v>
      </c>
      <c r="W258" s="45" t="str">
        <f t="shared" si="39"/>
        <v>058</v>
      </c>
    </row>
    <row r="259" spans="1:23" x14ac:dyDescent="0.3">
      <c r="A259" t="s">
        <v>1019</v>
      </c>
      <c r="B259" s="45" t="str">
        <f t="shared" ref="B259:B322" si="40">PROPER(A259)</f>
        <v>Bobby</v>
      </c>
      <c r="C259" t="s">
        <v>1051</v>
      </c>
      <c r="D259" t="s">
        <v>1797</v>
      </c>
      <c r="E259" s="45" t="str">
        <f t="shared" ref="E259:E322" si="41">PROPER(D259)</f>
        <v>Peterson</v>
      </c>
      <c r="F259" s="45" t="str">
        <f t="shared" ref="F259:F322" si="42">_xlfn.CONCAT(B259," ",C259," ",E259)</f>
        <v>Bobby P Peterson</v>
      </c>
      <c r="G259" t="s">
        <v>264</v>
      </c>
      <c r="H259" t="str">
        <f t="shared" ref="H259:H322" si="43">PROPER(G259)</f>
        <v>Male</v>
      </c>
      <c r="I259" t="s">
        <v>1796</v>
      </c>
      <c r="J259" t="s">
        <v>586</v>
      </c>
      <c r="K259" t="s">
        <v>76</v>
      </c>
      <c r="L259">
        <v>37201</v>
      </c>
      <c r="O259" t="s">
        <v>1795</v>
      </c>
      <c r="P259" s="45" t="str">
        <f t="shared" ref="P259:P322" si="44">_xlfn.TEXTBEFORE(_xlfn.TEXTAFTER(O259,"@"),".")</f>
        <v>gmail</v>
      </c>
      <c r="Q259" t="s">
        <v>1794</v>
      </c>
      <c r="R259" s="45" t="str">
        <f t="shared" ref="R259:R322" si="45">SUBSTITUTE(Q259,"-","|")</f>
        <v>931|903|7838</v>
      </c>
      <c r="S259" s="45" t="str">
        <f t="shared" ref="S259:S322" si="46">LEFT(R259,3)</f>
        <v>931</v>
      </c>
      <c r="T259" s="45" t="str">
        <f t="shared" ref="T259:T322" si="47">MID(R259,5,3)</f>
        <v>903</v>
      </c>
      <c r="U259" s="45" t="str">
        <f t="shared" ref="U259:U322" si="48">RIGHT(R259,4)</f>
        <v>7838</v>
      </c>
      <c r="V259" s="2" t="s">
        <v>1793</v>
      </c>
      <c r="W259" s="45" t="str">
        <f t="shared" ref="W259:W322" si="49">RIGHT(V259,LEN(V259)-FIND("-",V259))</f>
        <v>908</v>
      </c>
    </row>
    <row r="260" spans="1:23" x14ac:dyDescent="0.3">
      <c r="A260" t="s">
        <v>1792</v>
      </c>
      <c r="B260" s="45" t="str">
        <f t="shared" si="40"/>
        <v>Cecelia</v>
      </c>
      <c r="C260" t="s">
        <v>62</v>
      </c>
      <c r="D260" t="s">
        <v>1791</v>
      </c>
      <c r="E260" s="45" t="str">
        <f t="shared" si="41"/>
        <v>Maniscalco</v>
      </c>
      <c r="F260" s="45" t="str">
        <f t="shared" si="42"/>
        <v>Cecelia D Maniscalco</v>
      </c>
      <c r="G260" t="s">
        <v>241</v>
      </c>
      <c r="H260" t="str">
        <f t="shared" si="43"/>
        <v>Female</v>
      </c>
      <c r="I260" t="s">
        <v>1790</v>
      </c>
      <c r="J260" t="s">
        <v>1789</v>
      </c>
      <c r="K260" t="s">
        <v>97</v>
      </c>
      <c r="L260">
        <v>74003</v>
      </c>
      <c r="O260" t="s">
        <v>1788</v>
      </c>
      <c r="P260" s="45" t="str">
        <f t="shared" si="44"/>
        <v>gmail</v>
      </c>
      <c r="Q260" t="s">
        <v>1787</v>
      </c>
      <c r="R260" s="45" t="str">
        <f t="shared" si="45"/>
        <v>918|327|4974</v>
      </c>
      <c r="S260" s="45" t="str">
        <f t="shared" si="46"/>
        <v>918</v>
      </c>
      <c r="T260" s="45" t="str">
        <f t="shared" si="47"/>
        <v>327</v>
      </c>
      <c r="U260" s="45" t="str">
        <f t="shared" si="48"/>
        <v>4974</v>
      </c>
      <c r="V260" s="2" t="s">
        <v>1786</v>
      </c>
      <c r="W260" s="45" t="str">
        <f t="shared" si="49"/>
        <v>6507</v>
      </c>
    </row>
    <row r="261" spans="1:23" x14ac:dyDescent="0.3">
      <c r="A261" t="s">
        <v>1785</v>
      </c>
      <c r="B261" s="45" t="str">
        <f t="shared" si="40"/>
        <v>Dorothy</v>
      </c>
      <c r="C261" t="s">
        <v>60</v>
      </c>
      <c r="D261" t="s">
        <v>1784</v>
      </c>
      <c r="E261" s="45" t="str">
        <f t="shared" si="41"/>
        <v>Curry</v>
      </c>
      <c r="F261" s="45" t="str">
        <f t="shared" si="42"/>
        <v>Dorothy M Curry</v>
      </c>
      <c r="G261" t="s">
        <v>241</v>
      </c>
      <c r="H261" t="str">
        <f t="shared" si="43"/>
        <v>Female</v>
      </c>
      <c r="I261" t="s">
        <v>1783</v>
      </c>
      <c r="J261" t="s">
        <v>1540</v>
      </c>
      <c r="K261" t="s">
        <v>85</v>
      </c>
      <c r="L261">
        <v>27401</v>
      </c>
      <c r="O261" t="s">
        <v>1782</v>
      </c>
      <c r="P261" s="45" t="str">
        <f t="shared" si="44"/>
        <v>hotmail</v>
      </c>
      <c r="Q261" t="s">
        <v>1781</v>
      </c>
      <c r="R261" s="45" t="str">
        <f t="shared" si="45"/>
        <v>336|272|7849</v>
      </c>
      <c r="S261" s="45" t="str">
        <f t="shared" si="46"/>
        <v>336</v>
      </c>
      <c r="T261" s="45" t="str">
        <f t="shared" si="47"/>
        <v>272</v>
      </c>
      <c r="U261" s="45" t="str">
        <f t="shared" si="48"/>
        <v>7849</v>
      </c>
      <c r="V261" s="2" t="s">
        <v>1780</v>
      </c>
      <c r="W261" s="45" t="str">
        <f t="shared" si="49"/>
        <v>083</v>
      </c>
    </row>
    <row r="262" spans="1:23" x14ac:dyDescent="0.3">
      <c r="A262" t="s">
        <v>523</v>
      </c>
      <c r="B262" s="45" t="str">
        <f t="shared" si="40"/>
        <v>John</v>
      </c>
      <c r="C262" t="s">
        <v>72</v>
      </c>
      <c r="D262" t="s">
        <v>1779</v>
      </c>
      <c r="E262" s="45" t="str">
        <f t="shared" si="41"/>
        <v>Sutter</v>
      </c>
      <c r="F262" s="45" t="str">
        <f t="shared" si="42"/>
        <v>John E Sutter</v>
      </c>
      <c r="G262" t="s">
        <v>264</v>
      </c>
      <c r="H262" t="str">
        <f t="shared" si="43"/>
        <v>Male</v>
      </c>
      <c r="I262" t="s">
        <v>1778</v>
      </c>
      <c r="J262" t="s">
        <v>1777</v>
      </c>
      <c r="K262" t="s">
        <v>89</v>
      </c>
      <c r="L262">
        <v>55406</v>
      </c>
      <c r="O262" t="s">
        <v>1776</v>
      </c>
      <c r="P262" s="45" t="str">
        <f t="shared" si="44"/>
        <v>hotmail</v>
      </c>
      <c r="Q262" t="s">
        <v>1775</v>
      </c>
      <c r="R262" s="45" t="str">
        <f t="shared" si="45"/>
        <v>612|802|7642</v>
      </c>
      <c r="S262" s="45" t="str">
        <f t="shared" si="46"/>
        <v>612</v>
      </c>
      <c r="T262" s="45" t="str">
        <f t="shared" si="47"/>
        <v>802</v>
      </c>
      <c r="U262" s="45" t="str">
        <f t="shared" si="48"/>
        <v>7642</v>
      </c>
      <c r="V262" s="2" t="s">
        <v>1774</v>
      </c>
      <c r="W262" s="45" t="str">
        <f t="shared" si="49"/>
        <v>3278</v>
      </c>
    </row>
    <row r="263" spans="1:23" x14ac:dyDescent="0.3">
      <c r="A263" t="s">
        <v>808</v>
      </c>
      <c r="B263" s="45" t="str">
        <f t="shared" si="40"/>
        <v>Michael</v>
      </c>
      <c r="C263" t="s">
        <v>75</v>
      </c>
      <c r="D263" t="s">
        <v>1773</v>
      </c>
      <c r="E263" s="45" t="str">
        <f t="shared" si="41"/>
        <v>Sackett</v>
      </c>
      <c r="F263" s="45" t="str">
        <f t="shared" si="42"/>
        <v>Michael B Sackett</v>
      </c>
      <c r="G263" t="s">
        <v>264</v>
      </c>
      <c r="H263" t="str">
        <f t="shared" si="43"/>
        <v>Male</v>
      </c>
      <c r="I263" t="s">
        <v>1772</v>
      </c>
      <c r="J263" t="s">
        <v>1771</v>
      </c>
      <c r="K263" t="s">
        <v>68</v>
      </c>
      <c r="L263">
        <v>13064</v>
      </c>
      <c r="O263" t="s">
        <v>1770</v>
      </c>
      <c r="P263" s="45" t="str">
        <f t="shared" si="44"/>
        <v>gmail</v>
      </c>
      <c r="Q263" t="s">
        <v>1769</v>
      </c>
      <c r="R263" s="45" t="str">
        <f t="shared" si="45"/>
        <v>315|947|9213</v>
      </c>
      <c r="S263" s="45" t="str">
        <f t="shared" si="46"/>
        <v>315</v>
      </c>
      <c r="T263" s="45" t="str">
        <f t="shared" si="47"/>
        <v>947</v>
      </c>
      <c r="U263" s="45" t="str">
        <f t="shared" si="48"/>
        <v>9213</v>
      </c>
      <c r="V263" s="2" t="s">
        <v>1768</v>
      </c>
      <c r="W263" s="45" t="str">
        <f t="shared" si="49"/>
        <v>927</v>
      </c>
    </row>
    <row r="264" spans="1:23" x14ac:dyDescent="0.3">
      <c r="A264" t="s">
        <v>925</v>
      </c>
      <c r="B264" s="45" t="str">
        <f t="shared" si="40"/>
        <v>Paul</v>
      </c>
      <c r="C264" t="s">
        <v>77</v>
      </c>
      <c r="D264" t="s">
        <v>1767</v>
      </c>
      <c r="E264" s="45" t="str">
        <f t="shared" si="41"/>
        <v>Cook</v>
      </c>
      <c r="F264" s="45" t="str">
        <f t="shared" si="42"/>
        <v>Paul C Cook</v>
      </c>
      <c r="G264" t="s">
        <v>264</v>
      </c>
      <c r="H264" t="str">
        <f t="shared" si="43"/>
        <v>Male</v>
      </c>
      <c r="I264" t="s">
        <v>1766</v>
      </c>
      <c r="J264" t="s">
        <v>1765</v>
      </c>
      <c r="K264" t="s">
        <v>89</v>
      </c>
      <c r="L264">
        <v>56141</v>
      </c>
      <c r="O264" t="s">
        <v>1764</v>
      </c>
      <c r="P264" s="45" t="str">
        <f t="shared" si="44"/>
        <v>aol</v>
      </c>
      <c r="Q264" t="s">
        <v>1763</v>
      </c>
      <c r="R264" s="45" t="str">
        <f t="shared" si="45"/>
        <v>507|264|9162</v>
      </c>
      <c r="S264" s="45" t="str">
        <f t="shared" si="46"/>
        <v>507</v>
      </c>
      <c r="T264" s="45" t="str">
        <f t="shared" si="47"/>
        <v>264</v>
      </c>
      <c r="U264" s="45" t="str">
        <f t="shared" si="48"/>
        <v>9162</v>
      </c>
      <c r="V264" s="2" t="s">
        <v>1762</v>
      </c>
      <c r="W264" s="45" t="str">
        <f t="shared" si="49"/>
        <v>736</v>
      </c>
    </row>
    <row r="265" spans="1:23" x14ac:dyDescent="0.3">
      <c r="A265" t="s">
        <v>756</v>
      </c>
      <c r="B265" s="45" t="str">
        <f t="shared" si="40"/>
        <v>Robert</v>
      </c>
      <c r="C265" t="s">
        <v>62</v>
      </c>
      <c r="D265" t="s">
        <v>1761</v>
      </c>
      <c r="E265" s="45" t="str">
        <f t="shared" si="41"/>
        <v>Behrens</v>
      </c>
      <c r="F265" s="45" t="str">
        <f t="shared" si="42"/>
        <v>Robert D Behrens</v>
      </c>
      <c r="G265" t="s">
        <v>264</v>
      </c>
      <c r="H265" t="str">
        <f t="shared" si="43"/>
        <v>Male</v>
      </c>
      <c r="I265" t="s">
        <v>1760</v>
      </c>
      <c r="J265" t="s">
        <v>36</v>
      </c>
      <c r="K265" t="s">
        <v>68</v>
      </c>
      <c r="L265">
        <v>10033</v>
      </c>
      <c r="O265" t="s">
        <v>1759</v>
      </c>
      <c r="P265" s="45" t="str">
        <f t="shared" si="44"/>
        <v>gmail</v>
      </c>
      <c r="Q265" t="s">
        <v>1758</v>
      </c>
      <c r="R265" s="45" t="str">
        <f t="shared" si="45"/>
        <v>212|923|0087</v>
      </c>
      <c r="S265" s="45" t="str">
        <f t="shared" si="46"/>
        <v>212</v>
      </c>
      <c r="T265" s="45" t="str">
        <f t="shared" si="47"/>
        <v>923</v>
      </c>
      <c r="U265" s="45" t="str">
        <f t="shared" si="48"/>
        <v>0087</v>
      </c>
      <c r="V265" s="2" t="s">
        <v>1757</v>
      </c>
      <c r="W265" s="45" t="str">
        <f t="shared" si="49"/>
        <v>435</v>
      </c>
    </row>
    <row r="266" spans="1:23" x14ac:dyDescent="0.3">
      <c r="A266" t="s">
        <v>1044</v>
      </c>
      <c r="B266" s="45" t="str">
        <f t="shared" si="40"/>
        <v>Chester</v>
      </c>
      <c r="C266" t="s">
        <v>266</v>
      </c>
      <c r="D266" t="s">
        <v>436</v>
      </c>
      <c r="E266" s="45" t="str">
        <f t="shared" si="41"/>
        <v>Robinson</v>
      </c>
      <c r="F266" s="45" t="str">
        <f t="shared" si="42"/>
        <v>Chester S Robinson</v>
      </c>
      <c r="G266" t="s">
        <v>264</v>
      </c>
      <c r="H266" t="str">
        <f t="shared" si="43"/>
        <v>Male</v>
      </c>
      <c r="I266" t="s">
        <v>1756</v>
      </c>
      <c r="J266" t="s">
        <v>1755</v>
      </c>
      <c r="K266" t="s">
        <v>89</v>
      </c>
      <c r="L266">
        <v>56001</v>
      </c>
      <c r="O266" t="s">
        <v>1754</v>
      </c>
      <c r="P266" s="45" t="str">
        <f t="shared" si="44"/>
        <v>hotmail</v>
      </c>
      <c r="Q266" t="s">
        <v>1753</v>
      </c>
      <c r="R266" s="45" t="str">
        <f t="shared" si="45"/>
        <v>507|380|7249</v>
      </c>
      <c r="S266" s="45" t="str">
        <f t="shared" si="46"/>
        <v>507</v>
      </c>
      <c r="T266" s="45" t="str">
        <f t="shared" si="47"/>
        <v>380</v>
      </c>
      <c r="U266" s="45" t="str">
        <f t="shared" si="48"/>
        <v>7249</v>
      </c>
      <c r="V266" s="2" t="s">
        <v>1752</v>
      </c>
      <c r="W266" s="45" t="str">
        <f t="shared" si="49"/>
        <v>1070</v>
      </c>
    </row>
    <row r="267" spans="1:23" x14ac:dyDescent="0.3">
      <c r="A267" t="s">
        <v>1751</v>
      </c>
      <c r="B267" s="45" t="str">
        <f t="shared" si="40"/>
        <v>Fredrick</v>
      </c>
      <c r="C267" t="s">
        <v>1011</v>
      </c>
      <c r="D267" t="s">
        <v>1750</v>
      </c>
      <c r="E267" s="45" t="str">
        <f t="shared" si="41"/>
        <v>Kirst</v>
      </c>
      <c r="F267" s="45" t="str">
        <f t="shared" si="42"/>
        <v>Fredrick V Kirst</v>
      </c>
      <c r="G267" t="s">
        <v>264</v>
      </c>
      <c r="H267" t="str">
        <f t="shared" si="43"/>
        <v>Male</v>
      </c>
      <c r="I267" t="s">
        <v>1749</v>
      </c>
      <c r="J267" t="s">
        <v>1748</v>
      </c>
      <c r="K267" t="s">
        <v>66</v>
      </c>
      <c r="L267">
        <v>75601</v>
      </c>
      <c r="O267" t="s">
        <v>1747</v>
      </c>
      <c r="P267" s="45" t="str">
        <f t="shared" si="44"/>
        <v>hotmail</v>
      </c>
      <c r="Q267" t="s">
        <v>1746</v>
      </c>
      <c r="R267" s="45" t="str">
        <f t="shared" si="45"/>
        <v>903|330|0685</v>
      </c>
      <c r="S267" s="45" t="str">
        <f t="shared" si="46"/>
        <v>903</v>
      </c>
      <c r="T267" s="45" t="str">
        <f t="shared" si="47"/>
        <v>330</v>
      </c>
      <c r="U267" s="45" t="str">
        <f t="shared" si="48"/>
        <v>0685</v>
      </c>
      <c r="V267" s="2" t="s">
        <v>1745</v>
      </c>
      <c r="W267" s="45" t="str">
        <f t="shared" si="49"/>
        <v>1546</v>
      </c>
    </row>
    <row r="268" spans="1:23" x14ac:dyDescent="0.3">
      <c r="A268" t="s">
        <v>1744</v>
      </c>
      <c r="B268" s="45" t="str">
        <f t="shared" si="40"/>
        <v>Randall</v>
      </c>
      <c r="C268" t="s">
        <v>62</v>
      </c>
      <c r="D268" t="s">
        <v>1743</v>
      </c>
      <c r="E268" s="45" t="str">
        <f t="shared" si="41"/>
        <v>Beaty</v>
      </c>
      <c r="F268" s="45" t="str">
        <f t="shared" si="42"/>
        <v>Randall D Beaty</v>
      </c>
      <c r="G268" t="s">
        <v>264</v>
      </c>
      <c r="H268" t="str">
        <f t="shared" si="43"/>
        <v>Male</v>
      </c>
      <c r="I268" t="s">
        <v>1742</v>
      </c>
      <c r="J268" t="s">
        <v>1741</v>
      </c>
      <c r="K268" t="s">
        <v>84</v>
      </c>
      <c r="L268">
        <v>30601</v>
      </c>
      <c r="O268" t="s">
        <v>1740</v>
      </c>
      <c r="P268" s="45" t="str">
        <f t="shared" si="44"/>
        <v>hotmail</v>
      </c>
      <c r="Q268" t="s">
        <v>1739</v>
      </c>
      <c r="R268" s="45" t="str">
        <f t="shared" si="45"/>
        <v>706|389|3066</v>
      </c>
      <c r="S268" s="45" t="str">
        <f t="shared" si="46"/>
        <v>706</v>
      </c>
      <c r="T268" s="45" t="str">
        <f t="shared" si="47"/>
        <v>389</v>
      </c>
      <c r="U268" s="45" t="str">
        <f t="shared" si="48"/>
        <v>3066</v>
      </c>
      <c r="V268" s="2" t="s">
        <v>1738</v>
      </c>
      <c r="W268" s="45" t="str">
        <f t="shared" si="49"/>
        <v>924</v>
      </c>
    </row>
    <row r="269" spans="1:23" x14ac:dyDescent="0.3">
      <c r="A269" t="s">
        <v>516</v>
      </c>
      <c r="B269" s="45" t="str">
        <f t="shared" si="40"/>
        <v>Linda</v>
      </c>
      <c r="C269" t="s">
        <v>243</v>
      </c>
      <c r="D269" t="s">
        <v>1737</v>
      </c>
      <c r="E269" s="45" t="str">
        <f t="shared" si="41"/>
        <v>Hernandez</v>
      </c>
      <c r="F269" s="45" t="str">
        <f t="shared" si="42"/>
        <v>Linda R Hernandez</v>
      </c>
      <c r="G269" t="s">
        <v>241</v>
      </c>
      <c r="H269" t="str">
        <f t="shared" si="43"/>
        <v>Female</v>
      </c>
      <c r="I269" t="s">
        <v>1736</v>
      </c>
      <c r="J269" t="s">
        <v>1735</v>
      </c>
      <c r="K269" t="s">
        <v>68</v>
      </c>
      <c r="L269">
        <v>14424</v>
      </c>
      <c r="O269" t="s">
        <v>1734</v>
      </c>
      <c r="P269" s="45" t="str">
        <f t="shared" si="44"/>
        <v>gmail</v>
      </c>
      <c r="Q269" t="s">
        <v>1733</v>
      </c>
      <c r="R269" s="45" t="str">
        <f t="shared" si="45"/>
        <v>585|396|9512</v>
      </c>
      <c r="S269" s="45" t="str">
        <f t="shared" si="46"/>
        <v>585</v>
      </c>
      <c r="T269" s="45" t="str">
        <f t="shared" si="47"/>
        <v>396</v>
      </c>
      <c r="U269" s="45" t="str">
        <f t="shared" si="48"/>
        <v>9512</v>
      </c>
      <c r="V269" s="2" t="s">
        <v>1732</v>
      </c>
      <c r="W269" s="45" t="str">
        <f t="shared" si="49"/>
        <v>8968</v>
      </c>
    </row>
    <row r="270" spans="1:23" x14ac:dyDescent="0.3">
      <c r="A270" t="s">
        <v>1731</v>
      </c>
      <c r="B270" s="45" t="str">
        <f t="shared" si="40"/>
        <v>Jerome</v>
      </c>
      <c r="C270" t="s">
        <v>91</v>
      </c>
      <c r="D270" t="s">
        <v>382</v>
      </c>
      <c r="E270" s="45" t="str">
        <f t="shared" si="41"/>
        <v>Perry</v>
      </c>
      <c r="F270" s="45" t="str">
        <f t="shared" si="42"/>
        <v>Jerome L Perry</v>
      </c>
      <c r="G270" t="s">
        <v>264</v>
      </c>
      <c r="H270" t="str">
        <f t="shared" si="43"/>
        <v>Male</v>
      </c>
      <c r="I270" t="s">
        <v>1730</v>
      </c>
      <c r="J270" t="s">
        <v>1729</v>
      </c>
      <c r="K270" t="s">
        <v>101</v>
      </c>
      <c r="L270">
        <v>15904</v>
      </c>
      <c r="O270" t="s">
        <v>1728</v>
      </c>
      <c r="P270" s="45" t="str">
        <f t="shared" si="44"/>
        <v>hotmail</v>
      </c>
      <c r="Q270" t="s">
        <v>1727</v>
      </c>
      <c r="R270" s="45" t="str">
        <f t="shared" si="45"/>
        <v>814|599|6725</v>
      </c>
      <c r="S270" s="45" t="str">
        <f t="shared" si="46"/>
        <v>814</v>
      </c>
      <c r="T270" s="45" t="str">
        <f t="shared" si="47"/>
        <v>599</v>
      </c>
      <c r="U270" s="45" t="str">
        <f t="shared" si="48"/>
        <v>6725</v>
      </c>
      <c r="V270" s="2" t="s">
        <v>1726</v>
      </c>
      <c r="W270" s="45" t="str">
        <f t="shared" si="49"/>
        <v>719</v>
      </c>
    </row>
    <row r="271" spans="1:23" x14ac:dyDescent="0.3">
      <c r="A271" t="s">
        <v>1725</v>
      </c>
      <c r="B271" s="45" t="str">
        <f t="shared" si="40"/>
        <v>Richard</v>
      </c>
      <c r="C271" t="s">
        <v>60</v>
      </c>
      <c r="D271" t="s">
        <v>1724</v>
      </c>
      <c r="E271" s="45" t="str">
        <f t="shared" si="41"/>
        <v>Pittman</v>
      </c>
      <c r="F271" s="45" t="str">
        <f t="shared" si="42"/>
        <v>Richard M Pittman</v>
      </c>
      <c r="G271" t="s">
        <v>264</v>
      </c>
      <c r="H271" t="str">
        <f t="shared" si="43"/>
        <v>Male</v>
      </c>
      <c r="I271" t="s">
        <v>1723</v>
      </c>
      <c r="J271" t="s">
        <v>1722</v>
      </c>
      <c r="K271" t="s">
        <v>73</v>
      </c>
      <c r="L271">
        <v>54481</v>
      </c>
      <c r="O271" t="s">
        <v>1721</v>
      </c>
      <c r="P271" s="45" t="str">
        <f t="shared" si="44"/>
        <v>aol</v>
      </c>
      <c r="Q271" t="s">
        <v>1720</v>
      </c>
      <c r="R271" s="45" t="str">
        <f t="shared" si="45"/>
        <v>715|722|0751</v>
      </c>
      <c r="S271" s="45" t="str">
        <f t="shared" si="46"/>
        <v>715</v>
      </c>
      <c r="T271" s="45" t="str">
        <f t="shared" si="47"/>
        <v>722</v>
      </c>
      <c r="U271" s="45" t="str">
        <f t="shared" si="48"/>
        <v>0751</v>
      </c>
      <c r="V271" s="2" t="s">
        <v>1719</v>
      </c>
      <c r="W271" s="45" t="str">
        <f t="shared" si="49"/>
        <v>346</v>
      </c>
    </row>
    <row r="272" spans="1:23" x14ac:dyDescent="0.3">
      <c r="A272" t="s">
        <v>1387</v>
      </c>
      <c r="B272" s="45" t="str">
        <f t="shared" si="40"/>
        <v>Helen</v>
      </c>
      <c r="C272" t="s">
        <v>62</v>
      </c>
      <c r="D272" t="s">
        <v>313</v>
      </c>
      <c r="E272" s="45" t="str">
        <f t="shared" si="41"/>
        <v>Olson</v>
      </c>
      <c r="F272" s="45" t="str">
        <f t="shared" si="42"/>
        <v>Helen D Olson</v>
      </c>
      <c r="G272" t="s">
        <v>241</v>
      </c>
      <c r="H272" t="str">
        <f t="shared" si="43"/>
        <v>Female</v>
      </c>
      <c r="I272" t="s">
        <v>1718</v>
      </c>
      <c r="J272" t="s">
        <v>1717</v>
      </c>
      <c r="K272" t="s">
        <v>68</v>
      </c>
      <c r="L272">
        <v>13057</v>
      </c>
      <c r="O272" t="s">
        <v>1716</v>
      </c>
      <c r="P272" s="45" t="str">
        <f t="shared" si="44"/>
        <v>gmail</v>
      </c>
      <c r="Q272" t="s">
        <v>1715</v>
      </c>
      <c r="R272" s="45" t="str">
        <f t="shared" si="45"/>
        <v>315|405|8099</v>
      </c>
      <c r="S272" s="45" t="str">
        <f t="shared" si="46"/>
        <v>315</v>
      </c>
      <c r="T272" s="45" t="str">
        <f t="shared" si="47"/>
        <v>405</v>
      </c>
      <c r="U272" s="45" t="str">
        <f t="shared" si="48"/>
        <v>8099</v>
      </c>
      <c r="V272" s="2" t="s">
        <v>1714</v>
      </c>
      <c r="W272" s="45" t="str">
        <f t="shared" si="49"/>
        <v>7943</v>
      </c>
    </row>
    <row r="273" spans="1:23" x14ac:dyDescent="0.3">
      <c r="A273" t="s">
        <v>1713</v>
      </c>
      <c r="B273" s="45" t="str">
        <f t="shared" si="40"/>
        <v>Ruth</v>
      </c>
      <c r="C273" t="s">
        <v>93</v>
      </c>
      <c r="D273" t="s">
        <v>1712</v>
      </c>
      <c r="E273" s="45" t="str">
        <f t="shared" si="41"/>
        <v>Ward</v>
      </c>
      <c r="F273" s="45" t="str">
        <f t="shared" si="42"/>
        <v>Ruth G Ward</v>
      </c>
      <c r="G273" t="s">
        <v>241</v>
      </c>
      <c r="H273" t="str">
        <f t="shared" si="43"/>
        <v>Female</v>
      </c>
      <c r="I273" t="s">
        <v>1711</v>
      </c>
      <c r="J273" t="s">
        <v>1415</v>
      </c>
      <c r="K273" t="s">
        <v>66</v>
      </c>
      <c r="L273">
        <v>78550</v>
      </c>
      <c r="O273" t="s">
        <v>1710</v>
      </c>
      <c r="P273" s="45" t="str">
        <f t="shared" si="44"/>
        <v>hotmail</v>
      </c>
      <c r="Q273" t="s">
        <v>1709</v>
      </c>
      <c r="R273" s="45" t="str">
        <f t="shared" si="45"/>
        <v>956|707|0282</v>
      </c>
      <c r="S273" s="45" t="str">
        <f t="shared" si="46"/>
        <v>956</v>
      </c>
      <c r="T273" s="45" t="str">
        <f t="shared" si="47"/>
        <v>707</v>
      </c>
      <c r="U273" s="45" t="str">
        <f t="shared" si="48"/>
        <v>0282</v>
      </c>
      <c r="V273" s="2" t="s">
        <v>1708</v>
      </c>
      <c r="W273" s="45" t="str">
        <f t="shared" si="49"/>
        <v>0003</v>
      </c>
    </row>
    <row r="274" spans="1:23" x14ac:dyDescent="0.3">
      <c r="A274" t="s">
        <v>1707</v>
      </c>
      <c r="B274" s="45" t="str">
        <f t="shared" si="40"/>
        <v>Gregory</v>
      </c>
      <c r="C274" t="s">
        <v>56</v>
      </c>
      <c r="D274" t="s">
        <v>1706</v>
      </c>
      <c r="E274" s="45" t="str">
        <f t="shared" si="41"/>
        <v>Read</v>
      </c>
      <c r="F274" s="45" t="str">
        <f t="shared" si="42"/>
        <v>Gregory J Read</v>
      </c>
      <c r="G274" t="s">
        <v>264</v>
      </c>
      <c r="H274" t="str">
        <f t="shared" si="43"/>
        <v>Male</v>
      </c>
      <c r="I274" t="s">
        <v>1705</v>
      </c>
      <c r="J274" t="s">
        <v>703</v>
      </c>
      <c r="K274" t="s">
        <v>66</v>
      </c>
      <c r="L274">
        <v>75247</v>
      </c>
      <c r="O274" t="s">
        <v>1704</v>
      </c>
      <c r="P274" s="45" t="str">
        <f t="shared" si="44"/>
        <v>hotmail</v>
      </c>
      <c r="Q274" t="s">
        <v>1703</v>
      </c>
      <c r="R274" s="45" t="str">
        <f t="shared" si="45"/>
        <v>214|905|1653</v>
      </c>
      <c r="S274" s="45" t="str">
        <f t="shared" si="46"/>
        <v>214</v>
      </c>
      <c r="T274" s="45" t="str">
        <f t="shared" si="47"/>
        <v>905</v>
      </c>
      <c r="U274" s="45" t="str">
        <f t="shared" si="48"/>
        <v>1653</v>
      </c>
      <c r="V274" s="2" t="s">
        <v>1702</v>
      </c>
      <c r="W274" s="45" t="str">
        <f t="shared" si="49"/>
        <v>8565</v>
      </c>
    </row>
    <row r="275" spans="1:23" x14ac:dyDescent="0.3">
      <c r="A275" t="s">
        <v>808</v>
      </c>
      <c r="B275" s="45" t="str">
        <f t="shared" si="40"/>
        <v>Michael</v>
      </c>
      <c r="C275" t="s">
        <v>60</v>
      </c>
      <c r="D275" t="s">
        <v>1701</v>
      </c>
      <c r="E275" s="45" t="str">
        <f t="shared" si="41"/>
        <v>Schiro</v>
      </c>
      <c r="F275" s="45" t="str">
        <f t="shared" si="42"/>
        <v>Michael M Schiro</v>
      </c>
      <c r="G275" t="s">
        <v>264</v>
      </c>
      <c r="H275" t="str">
        <f t="shared" si="43"/>
        <v>Male</v>
      </c>
      <c r="I275" t="s">
        <v>1700</v>
      </c>
      <c r="J275" t="s">
        <v>1333</v>
      </c>
      <c r="K275" t="s">
        <v>101</v>
      </c>
      <c r="L275">
        <v>19403</v>
      </c>
      <c r="O275" t="s">
        <v>1699</v>
      </c>
      <c r="P275" s="45" t="str">
        <f t="shared" si="44"/>
        <v>hotmail</v>
      </c>
      <c r="Q275" t="s">
        <v>1698</v>
      </c>
      <c r="R275" s="45" t="str">
        <f t="shared" si="45"/>
        <v>484|979|2720</v>
      </c>
      <c r="S275" s="45" t="str">
        <f t="shared" si="46"/>
        <v>484</v>
      </c>
      <c r="T275" s="45" t="str">
        <f t="shared" si="47"/>
        <v>979</v>
      </c>
      <c r="U275" s="45" t="str">
        <f t="shared" si="48"/>
        <v>2720</v>
      </c>
      <c r="V275" s="2" t="s">
        <v>1697</v>
      </c>
      <c r="W275" s="45" t="str">
        <f t="shared" si="49"/>
        <v>7700</v>
      </c>
    </row>
    <row r="276" spans="1:23" x14ac:dyDescent="0.3">
      <c r="A276" t="s">
        <v>1696</v>
      </c>
      <c r="B276" s="45" t="str">
        <f t="shared" si="40"/>
        <v>Fumiko</v>
      </c>
      <c r="C276" t="s">
        <v>81</v>
      </c>
      <c r="D276" t="s">
        <v>1695</v>
      </c>
      <c r="E276" s="45" t="str">
        <f t="shared" si="41"/>
        <v>Estep</v>
      </c>
      <c r="F276" s="45" t="str">
        <f t="shared" si="42"/>
        <v>Fumiko A Estep</v>
      </c>
      <c r="G276" t="s">
        <v>241</v>
      </c>
      <c r="H276" t="str">
        <f t="shared" si="43"/>
        <v>Female</v>
      </c>
      <c r="I276" t="s">
        <v>1694</v>
      </c>
      <c r="J276" t="s">
        <v>1693</v>
      </c>
      <c r="K276" t="s">
        <v>119</v>
      </c>
      <c r="L276">
        <v>6770</v>
      </c>
      <c r="O276" t="s">
        <v>1692</v>
      </c>
      <c r="P276" s="45" t="str">
        <f t="shared" si="44"/>
        <v>aol</v>
      </c>
      <c r="Q276" t="s">
        <v>1691</v>
      </c>
      <c r="R276" s="45" t="str">
        <f t="shared" si="45"/>
        <v>203|720|8403</v>
      </c>
      <c r="S276" s="45" t="str">
        <f t="shared" si="46"/>
        <v>203</v>
      </c>
      <c r="T276" s="45" t="str">
        <f t="shared" si="47"/>
        <v>720</v>
      </c>
      <c r="U276" s="45" t="str">
        <f t="shared" si="48"/>
        <v>8403</v>
      </c>
      <c r="V276" s="2" t="s">
        <v>1690</v>
      </c>
      <c r="W276" s="45" t="str">
        <f t="shared" si="49"/>
        <v>163</v>
      </c>
    </row>
    <row r="277" spans="1:23" x14ac:dyDescent="0.3">
      <c r="A277" t="s">
        <v>808</v>
      </c>
      <c r="B277" s="45" t="str">
        <f t="shared" si="40"/>
        <v>Michael</v>
      </c>
      <c r="C277" t="s">
        <v>62</v>
      </c>
      <c r="D277" t="s">
        <v>1689</v>
      </c>
      <c r="E277" s="45" t="str">
        <f t="shared" si="41"/>
        <v>Pinney</v>
      </c>
      <c r="F277" s="45" t="str">
        <f t="shared" si="42"/>
        <v>Michael D Pinney</v>
      </c>
      <c r="G277" t="s">
        <v>264</v>
      </c>
      <c r="H277" t="str">
        <f t="shared" si="43"/>
        <v>Male</v>
      </c>
      <c r="I277" t="s">
        <v>1688</v>
      </c>
      <c r="J277" t="s">
        <v>468</v>
      </c>
      <c r="K277" t="s">
        <v>68</v>
      </c>
      <c r="L277">
        <v>11530</v>
      </c>
      <c r="O277" t="s">
        <v>1687</v>
      </c>
      <c r="P277" s="45" t="str">
        <f t="shared" si="44"/>
        <v>aol</v>
      </c>
      <c r="Q277" t="s">
        <v>1686</v>
      </c>
      <c r="R277" s="45" t="str">
        <f t="shared" si="45"/>
        <v>516|534|2203</v>
      </c>
      <c r="S277" s="45" t="str">
        <f t="shared" si="46"/>
        <v>516</v>
      </c>
      <c r="T277" s="45" t="str">
        <f t="shared" si="47"/>
        <v>534</v>
      </c>
      <c r="U277" s="45" t="str">
        <f t="shared" si="48"/>
        <v>2203</v>
      </c>
      <c r="V277" s="2" t="s">
        <v>1685</v>
      </c>
      <c r="W277" s="45" t="str">
        <f t="shared" si="49"/>
        <v>7865</v>
      </c>
    </row>
    <row r="278" spans="1:23" x14ac:dyDescent="0.3">
      <c r="A278" t="s">
        <v>1684</v>
      </c>
      <c r="B278" s="45" t="str">
        <f t="shared" si="40"/>
        <v>Jessica</v>
      </c>
      <c r="C278" t="s">
        <v>75</v>
      </c>
      <c r="D278" t="s">
        <v>1683</v>
      </c>
      <c r="E278" s="45" t="str">
        <f t="shared" si="41"/>
        <v>Chaudhry</v>
      </c>
      <c r="F278" s="45" t="str">
        <f t="shared" si="42"/>
        <v>Jessica B Chaudhry</v>
      </c>
      <c r="G278" t="s">
        <v>241</v>
      </c>
      <c r="H278" t="str">
        <f t="shared" si="43"/>
        <v>Female</v>
      </c>
      <c r="I278" t="s">
        <v>1682</v>
      </c>
      <c r="J278" t="s">
        <v>434</v>
      </c>
      <c r="K278" t="s">
        <v>59</v>
      </c>
      <c r="L278">
        <v>8070</v>
      </c>
      <c r="O278" t="s">
        <v>1681</v>
      </c>
      <c r="P278" s="45" t="str">
        <f t="shared" si="44"/>
        <v>aol</v>
      </c>
      <c r="Q278" t="s">
        <v>1680</v>
      </c>
      <c r="R278" s="45" t="str">
        <f t="shared" si="45"/>
        <v>856|678|0016</v>
      </c>
      <c r="S278" s="45" t="str">
        <f t="shared" si="46"/>
        <v>856</v>
      </c>
      <c r="T278" s="45" t="str">
        <f t="shared" si="47"/>
        <v>678</v>
      </c>
      <c r="U278" s="45" t="str">
        <f t="shared" si="48"/>
        <v>0016</v>
      </c>
      <c r="V278" s="2" t="s">
        <v>1679</v>
      </c>
      <c r="W278" s="45" t="str">
        <f t="shared" si="49"/>
        <v>6869</v>
      </c>
    </row>
    <row r="279" spans="1:23" x14ac:dyDescent="0.3">
      <c r="A279" t="s">
        <v>1678</v>
      </c>
      <c r="B279" s="45" t="str">
        <f t="shared" si="40"/>
        <v>Emilia</v>
      </c>
      <c r="C279" t="s">
        <v>65</v>
      </c>
      <c r="D279" t="s">
        <v>1677</v>
      </c>
      <c r="E279" s="45" t="str">
        <f t="shared" si="41"/>
        <v>Brown</v>
      </c>
      <c r="F279" s="45" t="str">
        <f t="shared" si="42"/>
        <v>Emilia K Brown</v>
      </c>
      <c r="G279" t="s">
        <v>241</v>
      </c>
      <c r="H279" t="str">
        <f t="shared" si="43"/>
        <v>Female</v>
      </c>
      <c r="I279" t="s">
        <v>1676</v>
      </c>
      <c r="J279" t="s">
        <v>1675</v>
      </c>
      <c r="K279" t="s">
        <v>112</v>
      </c>
      <c r="L279">
        <v>29536</v>
      </c>
      <c r="O279" t="s">
        <v>1674</v>
      </c>
      <c r="P279" s="45" t="str">
        <f t="shared" si="44"/>
        <v>aol</v>
      </c>
      <c r="Q279" t="s">
        <v>1673</v>
      </c>
      <c r="R279" s="45" t="str">
        <f t="shared" si="45"/>
        <v>843|841|0937</v>
      </c>
      <c r="S279" s="45" t="str">
        <f t="shared" si="46"/>
        <v>843</v>
      </c>
      <c r="T279" s="45" t="str">
        <f t="shared" si="47"/>
        <v>841</v>
      </c>
      <c r="U279" s="45" t="str">
        <f t="shared" si="48"/>
        <v>0937</v>
      </c>
      <c r="V279" s="2" t="s">
        <v>1672</v>
      </c>
      <c r="W279" s="45" t="str">
        <f t="shared" si="49"/>
        <v>7772</v>
      </c>
    </row>
    <row r="280" spans="1:23" x14ac:dyDescent="0.3">
      <c r="A280" t="s">
        <v>1671</v>
      </c>
      <c r="B280" s="45" t="str">
        <f t="shared" si="40"/>
        <v>Kenneth</v>
      </c>
      <c r="C280" t="s">
        <v>75</v>
      </c>
      <c r="D280" t="s">
        <v>1087</v>
      </c>
      <c r="E280" s="45" t="str">
        <f t="shared" si="41"/>
        <v>Hughes</v>
      </c>
      <c r="F280" s="45" t="str">
        <f t="shared" si="42"/>
        <v>Kenneth B Hughes</v>
      </c>
      <c r="G280" t="s">
        <v>264</v>
      </c>
      <c r="H280" t="str">
        <f t="shared" si="43"/>
        <v>Male</v>
      </c>
      <c r="I280" t="s">
        <v>1670</v>
      </c>
      <c r="J280" t="s">
        <v>1669</v>
      </c>
      <c r="K280" t="s">
        <v>89</v>
      </c>
      <c r="L280">
        <v>51334</v>
      </c>
      <c r="O280" t="s">
        <v>1668</v>
      </c>
      <c r="P280" s="45" t="str">
        <f t="shared" si="44"/>
        <v>hotmail</v>
      </c>
      <c r="Q280" t="s">
        <v>1667</v>
      </c>
      <c r="R280" s="45" t="str">
        <f t="shared" si="45"/>
        <v>507|862|7634</v>
      </c>
      <c r="S280" s="45" t="str">
        <f t="shared" si="46"/>
        <v>507</v>
      </c>
      <c r="T280" s="45" t="str">
        <f t="shared" si="47"/>
        <v>862</v>
      </c>
      <c r="U280" s="45" t="str">
        <f t="shared" si="48"/>
        <v>7634</v>
      </c>
      <c r="V280" s="2" t="s">
        <v>1666</v>
      </c>
      <c r="W280" s="45" t="str">
        <f t="shared" si="49"/>
        <v>7037</v>
      </c>
    </row>
    <row r="281" spans="1:23" x14ac:dyDescent="0.3">
      <c r="A281" t="s">
        <v>1665</v>
      </c>
      <c r="B281" s="45" t="str">
        <f t="shared" si="40"/>
        <v>Janet</v>
      </c>
      <c r="C281" t="s">
        <v>75</v>
      </c>
      <c r="D281" t="s">
        <v>1664</v>
      </c>
      <c r="E281" s="45" t="str">
        <f t="shared" si="41"/>
        <v>Mccary</v>
      </c>
      <c r="F281" s="45" t="str">
        <f t="shared" si="42"/>
        <v>Janet B Mccary</v>
      </c>
      <c r="G281" t="s">
        <v>241</v>
      </c>
      <c r="H281" t="str">
        <f t="shared" si="43"/>
        <v>Female</v>
      </c>
      <c r="I281" t="s">
        <v>1663</v>
      </c>
      <c r="J281" t="s">
        <v>1662</v>
      </c>
      <c r="K281" t="s">
        <v>86</v>
      </c>
      <c r="L281">
        <v>1109</v>
      </c>
      <c r="O281" t="s">
        <v>1661</v>
      </c>
      <c r="P281" s="45" t="str">
        <f t="shared" si="44"/>
        <v>gmail</v>
      </c>
      <c r="Q281" t="s">
        <v>1660</v>
      </c>
      <c r="R281" s="45" t="str">
        <f t="shared" si="45"/>
        <v>413|612|2907</v>
      </c>
      <c r="S281" s="45" t="str">
        <f t="shared" si="46"/>
        <v>413</v>
      </c>
      <c r="T281" s="45" t="str">
        <f t="shared" si="47"/>
        <v>612</v>
      </c>
      <c r="U281" s="45" t="str">
        <f t="shared" si="48"/>
        <v>2907</v>
      </c>
      <c r="V281" s="2" t="s">
        <v>1659</v>
      </c>
      <c r="W281" s="45" t="str">
        <f t="shared" si="49"/>
        <v>158</v>
      </c>
    </row>
    <row r="282" spans="1:23" x14ac:dyDescent="0.3">
      <c r="A282" t="s">
        <v>1658</v>
      </c>
      <c r="B282" s="45" t="str">
        <f t="shared" si="40"/>
        <v>Jason</v>
      </c>
      <c r="C282" t="s">
        <v>1011</v>
      </c>
      <c r="D282" t="s">
        <v>1657</v>
      </c>
      <c r="E282" s="45" t="str">
        <f t="shared" si="41"/>
        <v>Almanza</v>
      </c>
      <c r="F282" s="45" t="str">
        <f t="shared" si="42"/>
        <v>Jason V Almanza</v>
      </c>
      <c r="G282" t="s">
        <v>264</v>
      </c>
      <c r="H282" t="str">
        <f t="shared" si="43"/>
        <v>Male</v>
      </c>
      <c r="I282" t="s">
        <v>1656</v>
      </c>
      <c r="J282" t="s">
        <v>1655</v>
      </c>
      <c r="K282" t="s">
        <v>58</v>
      </c>
      <c r="L282">
        <v>93010</v>
      </c>
      <c r="O282" t="s">
        <v>1654</v>
      </c>
      <c r="P282" s="45" t="str">
        <f t="shared" si="44"/>
        <v>aol</v>
      </c>
      <c r="Q282" t="s">
        <v>1653</v>
      </c>
      <c r="R282" s="45" t="str">
        <f t="shared" si="45"/>
        <v>805|386|5275</v>
      </c>
      <c r="S282" s="45" t="str">
        <f t="shared" si="46"/>
        <v>805</v>
      </c>
      <c r="T282" s="45" t="str">
        <f t="shared" si="47"/>
        <v>386</v>
      </c>
      <c r="U282" s="45" t="str">
        <f t="shared" si="48"/>
        <v>5275</v>
      </c>
      <c r="V282" s="2" t="s">
        <v>1652</v>
      </c>
      <c r="W282" s="45" t="str">
        <f t="shared" si="49"/>
        <v>9558</v>
      </c>
    </row>
    <row r="283" spans="1:23" x14ac:dyDescent="0.3">
      <c r="A283" t="s">
        <v>1651</v>
      </c>
      <c r="B283" s="45" t="str">
        <f t="shared" si="40"/>
        <v>Antonio</v>
      </c>
      <c r="C283" t="s">
        <v>60</v>
      </c>
      <c r="D283" t="s">
        <v>1650</v>
      </c>
      <c r="E283" s="45" t="str">
        <f t="shared" si="41"/>
        <v>Peters</v>
      </c>
      <c r="F283" s="45" t="str">
        <f t="shared" si="42"/>
        <v>Antonio M Peters</v>
      </c>
      <c r="G283" t="s">
        <v>264</v>
      </c>
      <c r="H283" t="str">
        <f t="shared" si="43"/>
        <v>Male</v>
      </c>
      <c r="I283" t="s">
        <v>1649</v>
      </c>
      <c r="J283" t="s">
        <v>1648</v>
      </c>
      <c r="K283" t="s">
        <v>112</v>
      </c>
      <c r="L283">
        <v>29591</v>
      </c>
      <c r="O283" t="s">
        <v>1647</v>
      </c>
      <c r="P283" s="45" t="str">
        <f t="shared" si="44"/>
        <v>aol</v>
      </c>
      <c r="Q283" t="s">
        <v>1646</v>
      </c>
      <c r="R283" s="45" t="str">
        <f t="shared" si="45"/>
        <v>843|210|7921</v>
      </c>
      <c r="S283" s="45" t="str">
        <f t="shared" si="46"/>
        <v>843</v>
      </c>
      <c r="T283" s="45" t="str">
        <f t="shared" si="47"/>
        <v>210</v>
      </c>
      <c r="U283" s="45" t="str">
        <f t="shared" si="48"/>
        <v>7921</v>
      </c>
      <c r="V283" s="2" t="s">
        <v>1645</v>
      </c>
      <c r="W283" s="45" t="str">
        <f t="shared" si="49"/>
        <v>1008</v>
      </c>
    </row>
    <row r="284" spans="1:23" x14ac:dyDescent="0.3">
      <c r="A284" t="s">
        <v>1479</v>
      </c>
      <c r="B284" s="45" t="str">
        <f t="shared" si="40"/>
        <v>Joan</v>
      </c>
      <c r="C284" t="s">
        <v>75</v>
      </c>
      <c r="D284" t="s">
        <v>1644</v>
      </c>
      <c r="E284" s="45" t="str">
        <f t="shared" si="41"/>
        <v>Tripp</v>
      </c>
      <c r="F284" s="45" t="str">
        <f t="shared" si="42"/>
        <v>Joan B Tripp</v>
      </c>
      <c r="G284" t="s">
        <v>241</v>
      </c>
      <c r="H284" t="str">
        <f t="shared" si="43"/>
        <v>Female</v>
      </c>
      <c r="I284" t="s">
        <v>1643</v>
      </c>
      <c r="J284" t="s">
        <v>1642</v>
      </c>
      <c r="K284" t="s">
        <v>95</v>
      </c>
      <c r="L284">
        <v>21122</v>
      </c>
      <c r="O284" t="s">
        <v>1641</v>
      </c>
      <c r="P284" s="45" t="str">
        <f t="shared" si="44"/>
        <v>aol</v>
      </c>
      <c r="Q284" t="s">
        <v>1640</v>
      </c>
      <c r="R284" s="45" t="str">
        <f t="shared" si="45"/>
        <v>443|770|5360</v>
      </c>
      <c r="S284" s="45" t="str">
        <f t="shared" si="46"/>
        <v>443</v>
      </c>
      <c r="T284" s="45" t="str">
        <f t="shared" si="47"/>
        <v>770</v>
      </c>
      <c r="U284" s="45" t="str">
        <f t="shared" si="48"/>
        <v>5360</v>
      </c>
      <c r="V284" s="2" t="s">
        <v>1639</v>
      </c>
      <c r="W284" s="45" t="str">
        <f t="shared" si="49"/>
        <v>959</v>
      </c>
    </row>
    <row r="285" spans="1:23" x14ac:dyDescent="0.3">
      <c r="A285" t="s">
        <v>523</v>
      </c>
      <c r="B285" s="45" t="str">
        <f t="shared" si="40"/>
        <v>John</v>
      </c>
      <c r="C285" t="s">
        <v>60</v>
      </c>
      <c r="D285" t="s">
        <v>1638</v>
      </c>
      <c r="E285" s="45" t="str">
        <f t="shared" si="41"/>
        <v>Bradley</v>
      </c>
      <c r="F285" s="45" t="str">
        <f t="shared" si="42"/>
        <v>John M Bradley</v>
      </c>
      <c r="G285" t="s">
        <v>264</v>
      </c>
      <c r="H285" t="str">
        <f t="shared" si="43"/>
        <v>Male</v>
      </c>
      <c r="I285" t="s">
        <v>1637</v>
      </c>
      <c r="J285" t="s">
        <v>36</v>
      </c>
      <c r="K285" t="s">
        <v>68</v>
      </c>
      <c r="L285">
        <v>10022</v>
      </c>
      <c r="O285" t="s">
        <v>1636</v>
      </c>
      <c r="P285" s="45" t="str">
        <f t="shared" si="44"/>
        <v>hotmail</v>
      </c>
      <c r="Q285" t="s">
        <v>1635</v>
      </c>
      <c r="R285" s="45" t="str">
        <f t="shared" si="45"/>
        <v>212|906|5369</v>
      </c>
      <c r="S285" s="45" t="str">
        <f t="shared" si="46"/>
        <v>212</v>
      </c>
      <c r="T285" s="45" t="str">
        <f t="shared" si="47"/>
        <v>906</v>
      </c>
      <c r="U285" s="45" t="str">
        <f t="shared" si="48"/>
        <v>5369</v>
      </c>
      <c r="V285" s="2" t="s">
        <v>1634</v>
      </c>
      <c r="W285" s="45" t="str">
        <f t="shared" si="49"/>
        <v>5085</v>
      </c>
    </row>
    <row r="286" spans="1:23" x14ac:dyDescent="0.3">
      <c r="A286" t="s">
        <v>1633</v>
      </c>
      <c r="B286" s="45" t="str">
        <f t="shared" si="40"/>
        <v>Laura</v>
      </c>
      <c r="C286" t="s">
        <v>62</v>
      </c>
      <c r="D286" t="s">
        <v>1632</v>
      </c>
      <c r="E286" s="45" t="str">
        <f t="shared" si="41"/>
        <v>Medlin</v>
      </c>
      <c r="F286" s="45" t="str">
        <f t="shared" si="42"/>
        <v>Laura D Medlin</v>
      </c>
      <c r="G286" t="s">
        <v>241</v>
      </c>
      <c r="H286" t="str">
        <f t="shared" si="43"/>
        <v>Female</v>
      </c>
      <c r="I286" t="s">
        <v>1631</v>
      </c>
      <c r="J286" t="s">
        <v>1630</v>
      </c>
      <c r="K286" t="s">
        <v>71</v>
      </c>
      <c r="L286">
        <v>2905</v>
      </c>
      <c r="O286" t="s">
        <v>1629</v>
      </c>
      <c r="P286" s="45" t="str">
        <f t="shared" si="44"/>
        <v>gmail</v>
      </c>
      <c r="Q286" t="s">
        <v>1628</v>
      </c>
      <c r="R286" s="45" t="str">
        <f t="shared" si="45"/>
        <v>401|456|4014</v>
      </c>
      <c r="S286" s="45" t="str">
        <f t="shared" si="46"/>
        <v>401</v>
      </c>
      <c r="T286" s="45" t="str">
        <f t="shared" si="47"/>
        <v>456</v>
      </c>
      <c r="U286" s="45" t="str">
        <f t="shared" si="48"/>
        <v>4014</v>
      </c>
      <c r="V286" s="2" t="s">
        <v>1627</v>
      </c>
      <c r="W286" s="45" t="str">
        <f t="shared" si="49"/>
        <v>6105</v>
      </c>
    </row>
    <row r="287" spans="1:23" x14ac:dyDescent="0.3">
      <c r="A287" t="s">
        <v>1626</v>
      </c>
      <c r="B287" s="45" t="str">
        <f t="shared" si="40"/>
        <v>Iola</v>
      </c>
      <c r="C287" t="s">
        <v>72</v>
      </c>
      <c r="D287" t="s">
        <v>1625</v>
      </c>
      <c r="E287" s="45" t="str">
        <f t="shared" si="41"/>
        <v>Deckard</v>
      </c>
      <c r="F287" s="45" t="str">
        <f t="shared" si="42"/>
        <v>Iola E Deckard</v>
      </c>
      <c r="G287" t="s">
        <v>241</v>
      </c>
      <c r="H287" t="str">
        <f t="shared" si="43"/>
        <v>Female</v>
      </c>
      <c r="I287" t="s">
        <v>1624</v>
      </c>
      <c r="J287" t="s">
        <v>1623</v>
      </c>
      <c r="K287" t="s">
        <v>58</v>
      </c>
      <c r="L287">
        <v>91302</v>
      </c>
      <c r="O287" t="s">
        <v>1622</v>
      </c>
      <c r="P287" s="45" t="str">
        <f t="shared" si="44"/>
        <v>gmail</v>
      </c>
      <c r="Q287" t="s">
        <v>1621</v>
      </c>
      <c r="R287" s="45" t="str">
        <f t="shared" si="45"/>
        <v>818|224|9755</v>
      </c>
      <c r="S287" s="45" t="str">
        <f t="shared" si="46"/>
        <v>818</v>
      </c>
      <c r="T287" s="45" t="str">
        <f t="shared" si="47"/>
        <v>224</v>
      </c>
      <c r="U287" s="45" t="str">
        <f t="shared" si="48"/>
        <v>9755</v>
      </c>
      <c r="V287" s="2" t="s">
        <v>1620</v>
      </c>
      <c r="W287" s="45" t="str">
        <f t="shared" si="49"/>
        <v>1907</v>
      </c>
    </row>
    <row r="288" spans="1:23" x14ac:dyDescent="0.3">
      <c r="A288" t="s">
        <v>1619</v>
      </c>
      <c r="B288" s="45" t="str">
        <f t="shared" si="40"/>
        <v>Charlene</v>
      </c>
      <c r="C288" t="s">
        <v>56</v>
      </c>
      <c r="D288" t="s">
        <v>1618</v>
      </c>
      <c r="E288" s="45" t="str">
        <f t="shared" si="41"/>
        <v>Berlanga</v>
      </c>
      <c r="F288" s="45" t="str">
        <f t="shared" si="42"/>
        <v>Charlene J Berlanga</v>
      </c>
      <c r="G288" t="s">
        <v>241</v>
      </c>
      <c r="H288" t="str">
        <f t="shared" si="43"/>
        <v>Female</v>
      </c>
      <c r="I288" t="s">
        <v>1617</v>
      </c>
      <c r="J288" t="s">
        <v>1616</v>
      </c>
      <c r="K288" t="s">
        <v>95</v>
      </c>
      <c r="L288">
        <v>21911</v>
      </c>
      <c r="O288" t="s">
        <v>1615</v>
      </c>
      <c r="P288" s="45" t="str">
        <f t="shared" si="44"/>
        <v>aol</v>
      </c>
      <c r="Q288" t="s">
        <v>1614</v>
      </c>
      <c r="R288" s="45" t="str">
        <f t="shared" si="45"/>
        <v>410|658|2837</v>
      </c>
      <c r="S288" s="45" t="str">
        <f t="shared" si="46"/>
        <v>410</v>
      </c>
      <c r="T288" s="45" t="str">
        <f t="shared" si="47"/>
        <v>658</v>
      </c>
      <c r="U288" s="45" t="str">
        <f t="shared" si="48"/>
        <v>2837</v>
      </c>
      <c r="V288" s="2" t="s">
        <v>1613</v>
      </c>
      <c r="W288" s="45" t="str">
        <f t="shared" si="49"/>
        <v>2892</v>
      </c>
    </row>
    <row r="289" spans="1:23" x14ac:dyDescent="0.3">
      <c r="A289" t="s">
        <v>1612</v>
      </c>
      <c r="B289" s="45" t="str">
        <f t="shared" si="40"/>
        <v>Maxine</v>
      </c>
      <c r="C289" t="s">
        <v>56</v>
      </c>
      <c r="D289" t="s">
        <v>642</v>
      </c>
      <c r="E289" s="45" t="str">
        <f t="shared" si="41"/>
        <v>Thomas</v>
      </c>
      <c r="F289" s="45" t="str">
        <f t="shared" si="42"/>
        <v>Maxine J Thomas</v>
      </c>
      <c r="G289" t="s">
        <v>241</v>
      </c>
      <c r="H289" t="str">
        <f t="shared" si="43"/>
        <v>Female</v>
      </c>
      <c r="I289" t="s">
        <v>1611</v>
      </c>
      <c r="J289" t="s">
        <v>672</v>
      </c>
      <c r="K289" t="s">
        <v>58</v>
      </c>
      <c r="L289">
        <v>95134</v>
      </c>
      <c r="O289" t="s">
        <v>1610</v>
      </c>
      <c r="P289" s="45" t="str">
        <f t="shared" si="44"/>
        <v>gmail</v>
      </c>
      <c r="Q289" t="s">
        <v>1609</v>
      </c>
      <c r="R289" s="45" t="str">
        <f t="shared" si="45"/>
        <v>925|498|1439</v>
      </c>
      <c r="S289" s="45" t="str">
        <f t="shared" si="46"/>
        <v>925</v>
      </c>
      <c r="T289" s="45" t="str">
        <f t="shared" si="47"/>
        <v>498</v>
      </c>
      <c r="U289" s="45" t="str">
        <f t="shared" si="48"/>
        <v>1439</v>
      </c>
      <c r="V289" s="2" t="s">
        <v>1608</v>
      </c>
      <c r="W289" s="45" t="str">
        <f t="shared" si="49"/>
        <v>984</v>
      </c>
    </row>
    <row r="290" spans="1:23" x14ac:dyDescent="0.3">
      <c r="A290" t="s">
        <v>1374</v>
      </c>
      <c r="B290" s="45" t="str">
        <f t="shared" si="40"/>
        <v>Jennifer</v>
      </c>
      <c r="C290" t="s">
        <v>91</v>
      </c>
      <c r="D290" t="s">
        <v>1607</v>
      </c>
      <c r="E290" s="45" t="str">
        <f t="shared" si="41"/>
        <v>Collier</v>
      </c>
      <c r="F290" s="45" t="str">
        <f t="shared" si="42"/>
        <v>Jennifer L Collier</v>
      </c>
      <c r="G290" t="s">
        <v>241</v>
      </c>
      <c r="H290" t="str">
        <f t="shared" si="43"/>
        <v>Female</v>
      </c>
      <c r="I290" t="s">
        <v>1606</v>
      </c>
      <c r="J290" t="s">
        <v>1605</v>
      </c>
      <c r="K290" t="s">
        <v>96</v>
      </c>
      <c r="L290">
        <v>80501</v>
      </c>
      <c r="O290" t="s">
        <v>1604</v>
      </c>
      <c r="P290" s="45" t="str">
        <f t="shared" si="44"/>
        <v>gmail</v>
      </c>
      <c r="Q290" t="s">
        <v>1603</v>
      </c>
      <c r="R290" s="45" t="str">
        <f t="shared" si="45"/>
        <v>303|485|3220</v>
      </c>
      <c r="S290" s="45" t="str">
        <f t="shared" si="46"/>
        <v>303</v>
      </c>
      <c r="T290" s="45" t="str">
        <f t="shared" si="47"/>
        <v>485</v>
      </c>
      <c r="U290" s="45" t="str">
        <f t="shared" si="48"/>
        <v>3220</v>
      </c>
      <c r="V290" s="2" t="s">
        <v>1602</v>
      </c>
      <c r="W290" s="45" t="str">
        <f t="shared" si="49"/>
        <v>1561</v>
      </c>
    </row>
    <row r="291" spans="1:23" x14ac:dyDescent="0.3">
      <c r="A291" t="s">
        <v>1601</v>
      </c>
      <c r="B291" s="45" t="str">
        <f t="shared" si="40"/>
        <v>Harold</v>
      </c>
      <c r="C291" t="s">
        <v>62</v>
      </c>
      <c r="D291" t="s">
        <v>1600</v>
      </c>
      <c r="E291" s="45" t="str">
        <f t="shared" si="41"/>
        <v>Shiflett</v>
      </c>
      <c r="F291" s="45" t="str">
        <f t="shared" si="42"/>
        <v>Harold D Shiflett</v>
      </c>
      <c r="G291" t="s">
        <v>264</v>
      </c>
      <c r="H291" t="str">
        <f t="shared" si="43"/>
        <v>Male</v>
      </c>
      <c r="I291" t="s">
        <v>1599</v>
      </c>
      <c r="J291" t="s">
        <v>953</v>
      </c>
      <c r="K291" t="s">
        <v>58</v>
      </c>
      <c r="L291">
        <v>58147</v>
      </c>
      <c r="O291" t="s">
        <v>1598</v>
      </c>
      <c r="P291" s="45" t="str">
        <f t="shared" si="44"/>
        <v>aol</v>
      </c>
      <c r="Q291" t="s">
        <v>1597</v>
      </c>
      <c r="R291" s="45" t="str">
        <f t="shared" si="45"/>
        <v>916|915|4042</v>
      </c>
      <c r="S291" s="45" t="str">
        <f t="shared" si="46"/>
        <v>916</v>
      </c>
      <c r="T291" s="45" t="str">
        <f t="shared" si="47"/>
        <v>915</v>
      </c>
      <c r="U291" s="45" t="str">
        <f t="shared" si="48"/>
        <v>4042</v>
      </c>
      <c r="V291" s="2" t="s">
        <v>1596</v>
      </c>
      <c r="W291" s="45" t="str">
        <f t="shared" si="49"/>
        <v>4862</v>
      </c>
    </row>
    <row r="292" spans="1:23" x14ac:dyDescent="0.3">
      <c r="A292" t="s">
        <v>1595</v>
      </c>
      <c r="B292" s="45" t="str">
        <f t="shared" si="40"/>
        <v>Melissa</v>
      </c>
      <c r="C292" t="s">
        <v>807</v>
      </c>
      <c r="D292" t="s">
        <v>1594</v>
      </c>
      <c r="E292" s="45" t="str">
        <f t="shared" si="41"/>
        <v>Santibanez</v>
      </c>
      <c r="F292" s="45" t="str">
        <f t="shared" si="42"/>
        <v>Melissa N Santibanez</v>
      </c>
      <c r="G292" t="s">
        <v>241</v>
      </c>
      <c r="H292" t="str">
        <f t="shared" si="43"/>
        <v>Female</v>
      </c>
      <c r="I292" t="s">
        <v>1593</v>
      </c>
      <c r="J292" t="s">
        <v>1592</v>
      </c>
      <c r="K292" t="s">
        <v>58</v>
      </c>
      <c r="L292">
        <v>94545</v>
      </c>
      <c r="O292" t="s">
        <v>1591</v>
      </c>
      <c r="P292" s="45" t="str">
        <f t="shared" si="44"/>
        <v>hotmail</v>
      </c>
      <c r="Q292" t="s">
        <v>1590</v>
      </c>
      <c r="R292" s="45" t="str">
        <f t="shared" si="45"/>
        <v>510|293|5989</v>
      </c>
      <c r="S292" s="45" t="str">
        <f t="shared" si="46"/>
        <v>510</v>
      </c>
      <c r="T292" s="45" t="str">
        <f t="shared" si="47"/>
        <v>293</v>
      </c>
      <c r="U292" s="45" t="str">
        <f t="shared" si="48"/>
        <v>5989</v>
      </c>
      <c r="V292" s="2" t="s">
        <v>1589</v>
      </c>
      <c r="W292" s="45" t="str">
        <f t="shared" si="49"/>
        <v>588</v>
      </c>
    </row>
    <row r="293" spans="1:23" x14ac:dyDescent="0.3">
      <c r="A293" t="s">
        <v>1588</v>
      </c>
      <c r="B293" s="45" t="str">
        <f t="shared" si="40"/>
        <v>Salvador</v>
      </c>
      <c r="C293" t="s">
        <v>72</v>
      </c>
      <c r="D293" t="s">
        <v>1587</v>
      </c>
      <c r="E293" s="45" t="str">
        <f t="shared" si="41"/>
        <v>Jacquez</v>
      </c>
      <c r="F293" s="45" t="str">
        <f t="shared" si="42"/>
        <v>Salvador E Jacquez</v>
      </c>
      <c r="G293" t="s">
        <v>264</v>
      </c>
      <c r="H293" t="str">
        <f t="shared" si="43"/>
        <v>Male</v>
      </c>
      <c r="I293" t="s">
        <v>1586</v>
      </c>
      <c r="J293" t="s">
        <v>1585</v>
      </c>
      <c r="K293" t="s">
        <v>57</v>
      </c>
      <c r="L293">
        <v>62939</v>
      </c>
      <c r="O293" t="s">
        <v>1584</v>
      </c>
      <c r="P293" s="45" t="str">
        <f t="shared" si="44"/>
        <v>hotmail</v>
      </c>
      <c r="Q293" t="s">
        <v>1583</v>
      </c>
      <c r="R293" s="45" t="str">
        <f t="shared" si="45"/>
        <v>618|995|1946</v>
      </c>
      <c r="S293" s="45" t="str">
        <f t="shared" si="46"/>
        <v>618</v>
      </c>
      <c r="T293" s="45" t="str">
        <f t="shared" si="47"/>
        <v>995</v>
      </c>
      <c r="U293" s="45" t="str">
        <f t="shared" si="48"/>
        <v>1946</v>
      </c>
      <c r="V293" s="2" t="s">
        <v>1582</v>
      </c>
      <c r="W293" s="45" t="str">
        <f t="shared" si="49"/>
        <v>288</v>
      </c>
    </row>
    <row r="294" spans="1:23" x14ac:dyDescent="0.3">
      <c r="A294" t="s">
        <v>1581</v>
      </c>
      <c r="B294" s="45" t="str">
        <f t="shared" si="40"/>
        <v>Carol</v>
      </c>
      <c r="C294" t="s">
        <v>75</v>
      </c>
      <c r="D294" t="s">
        <v>1580</v>
      </c>
      <c r="E294" s="45" t="str">
        <f t="shared" si="41"/>
        <v>Konopka</v>
      </c>
      <c r="F294" s="45" t="str">
        <f t="shared" si="42"/>
        <v>Carol B Konopka</v>
      </c>
      <c r="G294" t="s">
        <v>241</v>
      </c>
      <c r="H294" t="str">
        <f t="shared" si="43"/>
        <v>Female</v>
      </c>
      <c r="I294" t="s">
        <v>1579</v>
      </c>
      <c r="J294" t="s">
        <v>1578</v>
      </c>
      <c r="K294" t="s">
        <v>94</v>
      </c>
      <c r="L294">
        <v>85040</v>
      </c>
      <c r="O294" t="s">
        <v>1577</v>
      </c>
      <c r="P294" s="45" t="str">
        <f t="shared" si="44"/>
        <v>aol</v>
      </c>
      <c r="Q294" t="s">
        <v>1576</v>
      </c>
      <c r="R294" s="45" t="str">
        <f t="shared" si="45"/>
        <v>602|658|8508</v>
      </c>
      <c r="S294" s="45" t="str">
        <f t="shared" si="46"/>
        <v>602</v>
      </c>
      <c r="T294" s="45" t="str">
        <f t="shared" si="47"/>
        <v>658</v>
      </c>
      <c r="U294" s="45" t="str">
        <f t="shared" si="48"/>
        <v>8508</v>
      </c>
      <c r="V294" s="2" t="s">
        <v>1575</v>
      </c>
      <c r="W294" s="45" t="str">
        <f t="shared" si="49"/>
        <v>3293</v>
      </c>
    </row>
    <row r="295" spans="1:23" x14ac:dyDescent="0.3">
      <c r="A295" t="s">
        <v>1574</v>
      </c>
      <c r="B295" s="45" t="str">
        <f t="shared" si="40"/>
        <v>Juliet</v>
      </c>
      <c r="C295" t="s">
        <v>62</v>
      </c>
      <c r="D295" t="s">
        <v>1573</v>
      </c>
      <c r="E295" s="45" t="str">
        <f t="shared" si="41"/>
        <v>Savoie</v>
      </c>
      <c r="F295" s="45" t="str">
        <f t="shared" si="42"/>
        <v>Juliet D Savoie</v>
      </c>
      <c r="G295" t="s">
        <v>241</v>
      </c>
      <c r="H295" t="str">
        <f t="shared" si="43"/>
        <v>Female</v>
      </c>
      <c r="I295" t="s">
        <v>1572</v>
      </c>
      <c r="J295" t="s">
        <v>1571</v>
      </c>
      <c r="K295" t="s">
        <v>66</v>
      </c>
      <c r="L295">
        <v>75075</v>
      </c>
      <c r="O295" t="s">
        <v>1570</v>
      </c>
      <c r="P295" s="45" t="str">
        <f t="shared" si="44"/>
        <v>gmail</v>
      </c>
      <c r="Q295" t="s">
        <v>1569</v>
      </c>
      <c r="R295" s="45" t="str">
        <f t="shared" si="45"/>
        <v>214|758|3149</v>
      </c>
      <c r="S295" s="45" t="str">
        <f t="shared" si="46"/>
        <v>214</v>
      </c>
      <c r="T295" s="45" t="str">
        <f t="shared" si="47"/>
        <v>758</v>
      </c>
      <c r="U295" s="45" t="str">
        <f t="shared" si="48"/>
        <v>3149</v>
      </c>
      <c r="V295" s="2" t="s">
        <v>1568</v>
      </c>
      <c r="W295" s="45" t="str">
        <f t="shared" si="49"/>
        <v>016</v>
      </c>
    </row>
    <row r="296" spans="1:23" x14ac:dyDescent="0.3">
      <c r="A296" t="s">
        <v>1567</v>
      </c>
      <c r="B296" s="45" t="str">
        <f t="shared" si="40"/>
        <v>Kendra</v>
      </c>
      <c r="C296" t="s">
        <v>62</v>
      </c>
      <c r="D296" t="s">
        <v>1566</v>
      </c>
      <c r="E296" s="45" t="str">
        <f t="shared" si="41"/>
        <v>Huff</v>
      </c>
      <c r="F296" s="45" t="str">
        <f t="shared" si="42"/>
        <v>Kendra D Huff</v>
      </c>
      <c r="G296" t="s">
        <v>241</v>
      </c>
      <c r="H296" t="str">
        <f t="shared" si="43"/>
        <v>Female</v>
      </c>
      <c r="I296" t="s">
        <v>1565</v>
      </c>
      <c r="J296" t="s">
        <v>1490</v>
      </c>
      <c r="K296" t="s">
        <v>74</v>
      </c>
      <c r="L296">
        <v>48219</v>
      </c>
      <c r="O296" t="s">
        <v>1564</v>
      </c>
      <c r="P296" s="45" t="str">
        <f t="shared" si="44"/>
        <v>aol</v>
      </c>
      <c r="Q296" t="s">
        <v>1563</v>
      </c>
      <c r="R296" s="45" t="str">
        <f t="shared" si="45"/>
        <v>313|244|2334</v>
      </c>
      <c r="S296" s="45" t="str">
        <f t="shared" si="46"/>
        <v>313</v>
      </c>
      <c r="T296" s="45" t="str">
        <f t="shared" si="47"/>
        <v>244</v>
      </c>
      <c r="U296" s="45" t="str">
        <f t="shared" si="48"/>
        <v>2334</v>
      </c>
      <c r="V296" s="2" t="s">
        <v>1562</v>
      </c>
      <c r="W296" s="45" t="str">
        <f t="shared" si="49"/>
        <v>292</v>
      </c>
    </row>
    <row r="297" spans="1:23" x14ac:dyDescent="0.3">
      <c r="A297" t="s">
        <v>1561</v>
      </c>
      <c r="B297" s="45" t="str">
        <f t="shared" si="40"/>
        <v>Betty</v>
      </c>
      <c r="C297" t="s">
        <v>60</v>
      </c>
      <c r="D297" t="s">
        <v>1560</v>
      </c>
      <c r="E297" s="45" t="str">
        <f t="shared" si="41"/>
        <v>Morgan</v>
      </c>
      <c r="F297" s="45" t="str">
        <f t="shared" si="42"/>
        <v>Betty M Morgan</v>
      </c>
      <c r="G297" t="s">
        <v>241</v>
      </c>
      <c r="H297" t="str">
        <f t="shared" si="43"/>
        <v>Female</v>
      </c>
      <c r="I297" t="s">
        <v>1559</v>
      </c>
      <c r="J297" t="s">
        <v>1558</v>
      </c>
      <c r="K297" t="s">
        <v>58</v>
      </c>
      <c r="L297">
        <v>90660</v>
      </c>
      <c r="O297" t="s">
        <v>1557</v>
      </c>
      <c r="P297" s="45" t="str">
        <f t="shared" si="44"/>
        <v>hotmail</v>
      </c>
      <c r="Q297" t="s">
        <v>1556</v>
      </c>
      <c r="R297" s="45" t="str">
        <f t="shared" si="45"/>
        <v>562|801|5030</v>
      </c>
      <c r="S297" s="45" t="str">
        <f t="shared" si="46"/>
        <v>562</v>
      </c>
      <c r="T297" s="45" t="str">
        <f t="shared" si="47"/>
        <v>801</v>
      </c>
      <c r="U297" s="45" t="str">
        <f t="shared" si="48"/>
        <v>5030</v>
      </c>
      <c r="V297" s="2" t="s">
        <v>1555</v>
      </c>
      <c r="W297" s="45" t="str">
        <f t="shared" si="49"/>
        <v>3068</v>
      </c>
    </row>
    <row r="298" spans="1:23" x14ac:dyDescent="0.3">
      <c r="A298" t="s">
        <v>693</v>
      </c>
      <c r="B298" s="45" t="str">
        <f t="shared" si="40"/>
        <v>Diane</v>
      </c>
      <c r="C298" t="s">
        <v>69</v>
      </c>
      <c r="D298" t="s">
        <v>699</v>
      </c>
      <c r="E298" s="45" t="str">
        <f t="shared" si="41"/>
        <v>Carter</v>
      </c>
      <c r="F298" s="45" t="str">
        <f t="shared" si="42"/>
        <v>Diane H Carter</v>
      </c>
      <c r="G298" t="s">
        <v>241</v>
      </c>
      <c r="H298" t="str">
        <f t="shared" si="43"/>
        <v>Female</v>
      </c>
      <c r="I298" t="s">
        <v>1554</v>
      </c>
      <c r="J298" t="s">
        <v>1553</v>
      </c>
      <c r="K298" t="s">
        <v>103</v>
      </c>
      <c r="L298">
        <v>40244</v>
      </c>
      <c r="O298" t="s">
        <v>1552</v>
      </c>
      <c r="P298" s="45" t="str">
        <f t="shared" si="44"/>
        <v>gmail</v>
      </c>
      <c r="Q298" t="s">
        <v>1551</v>
      </c>
      <c r="R298" s="45" t="str">
        <f t="shared" si="45"/>
        <v>502|482|5966</v>
      </c>
      <c r="S298" s="45" t="str">
        <f t="shared" si="46"/>
        <v>502</v>
      </c>
      <c r="T298" s="45" t="str">
        <f t="shared" si="47"/>
        <v>482</v>
      </c>
      <c r="U298" s="45" t="str">
        <f t="shared" si="48"/>
        <v>5966</v>
      </c>
      <c r="V298" s="2" t="s">
        <v>1550</v>
      </c>
      <c r="W298" s="45" t="str">
        <f t="shared" si="49"/>
        <v>5660</v>
      </c>
    </row>
    <row r="299" spans="1:23" x14ac:dyDescent="0.3">
      <c r="A299" t="s">
        <v>1549</v>
      </c>
      <c r="B299" s="45" t="str">
        <f t="shared" si="40"/>
        <v>Johnie</v>
      </c>
      <c r="C299" t="s">
        <v>361</v>
      </c>
      <c r="D299" t="s">
        <v>294</v>
      </c>
      <c r="E299" s="45" t="str">
        <f t="shared" si="41"/>
        <v>Hall</v>
      </c>
      <c r="F299" s="45" t="str">
        <f t="shared" si="42"/>
        <v>Johnie T Hall</v>
      </c>
      <c r="G299" t="s">
        <v>241</v>
      </c>
      <c r="H299" t="str">
        <f t="shared" si="43"/>
        <v>Female</v>
      </c>
      <c r="I299" t="s">
        <v>1548</v>
      </c>
      <c r="J299" t="s">
        <v>1547</v>
      </c>
      <c r="K299" t="s">
        <v>73</v>
      </c>
      <c r="L299">
        <v>53202</v>
      </c>
      <c r="O299" t="s">
        <v>1546</v>
      </c>
      <c r="P299" s="45" t="str">
        <f t="shared" si="44"/>
        <v>hotmail</v>
      </c>
      <c r="Q299" t="s">
        <v>1545</v>
      </c>
      <c r="R299" s="45" t="str">
        <f t="shared" si="45"/>
        <v>262|298|6085</v>
      </c>
      <c r="S299" s="45" t="str">
        <f t="shared" si="46"/>
        <v>262</v>
      </c>
      <c r="T299" s="45" t="str">
        <f t="shared" si="47"/>
        <v>298</v>
      </c>
      <c r="U299" s="45" t="str">
        <f t="shared" si="48"/>
        <v>6085</v>
      </c>
      <c r="V299" s="2" t="s">
        <v>1544</v>
      </c>
      <c r="W299" s="45" t="str">
        <f t="shared" si="49"/>
        <v>8078</v>
      </c>
    </row>
    <row r="300" spans="1:23" x14ac:dyDescent="0.3">
      <c r="A300" t="s">
        <v>1543</v>
      </c>
      <c r="B300" s="45" t="str">
        <f t="shared" si="40"/>
        <v>Mildred</v>
      </c>
      <c r="C300" t="s">
        <v>56</v>
      </c>
      <c r="D300" t="s">
        <v>1542</v>
      </c>
      <c r="E300" s="45" t="str">
        <f t="shared" si="41"/>
        <v>Stainbrook</v>
      </c>
      <c r="F300" s="45" t="str">
        <f t="shared" si="42"/>
        <v>Mildred J Stainbrook</v>
      </c>
      <c r="G300" t="s">
        <v>241</v>
      </c>
      <c r="H300" t="str">
        <f t="shared" si="43"/>
        <v>Female</v>
      </c>
      <c r="I300" t="s">
        <v>1541</v>
      </c>
      <c r="J300" t="s">
        <v>1540</v>
      </c>
      <c r="K300" t="s">
        <v>85</v>
      </c>
      <c r="L300">
        <v>27407</v>
      </c>
      <c r="O300" t="s">
        <v>1539</v>
      </c>
      <c r="P300" s="45" t="str">
        <f t="shared" si="44"/>
        <v>hotmail</v>
      </c>
      <c r="Q300" t="s">
        <v>1538</v>
      </c>
      <c r="R300" s="45" t="str">
        <f t="shared" si="45"/>
        <v>336|458|1243</v>
      </c>
      <c r="S300" s="45" t="str">
        <f t="shared" si="46"/>
        <v>336</v>
      </c>
      <c r="T300" s="45" t="str">
        <f t="shared" si="47"/>
        <v>458</v>
      </c>
      <c r="U300" s="45" t="str">
        <f t="shared" si="48"/>
        <v>1243</v>
      </c>
      <c r="V300" s="2" t="s">
        <v>1537</v>
      </c>
      <c r="W300" s="45" t="str">
        <f t="shared" si="49"/>
        <v>057</v>
      </c>
    </row>
    <row r="301" spans="1:23" x14ac:dyDescent="0.3">
      <c r="A301" t="s">
        <v>417</v>
      </c>
      <c r="B301" s="45" t="str">
        <f t="shared" si="40"/>
        <v>Ronald</v>
      </c>
      <c r="C301" t="s">
        <v>65</v>
      </c>
      <c r="D301" t="s">
        <v>1536</v>
      </c>
      <c r="E301" s="45" t="str">
        <f t="shared" si="41"/>
        <v>Rosenblum</v>
      </c>
      <c r="F301" s="45" t="str">
        <f t="shared" si="42"/>
        <v>Ronald K Rosenblum</v>
      </c>
      <c r="G301" t="s">
        <v>264</v>
      </c>
      <c r="H301" t="str">
        <f t="shared" si="43"/>
        <v>Male</v>
      </c>
      <c r="I301" t="s">
        <v>1535</v>
      </c>
      <c r="J301" t="s">
        <v>1534</v>
      </c>
      <c r="K301" t="s">
        <v>59</v>
      </c>
      <c r="L301">
        <v>7608</v>
      </c>
      <c r="O301" t="s">
        <v>1533</v>
      </c>
      <c r="P301" s="45" t="str">
        <f t="shared" si="44"/>
        <v>aol</v>
      </c>
      <c r="Q301" t="s">
        <v>1532</v>
      </c>
      <c r="R301" s="45" t="str">
        <f t="shared" si="45"/>
        <v>862|223|2412</v>
      </c>
      <c r="S301" s="45" t="str">
        <f t="shared" si="46"/>
        <v>862</v>
      </c>
      <c r="T301" s="45" t="str">
        <f t="shared" si="47"/>
        <v>223</v>
      </c>
      <c r="U301" s="45" t="str">
        <f t="shared" si="48"/>
        <v>2412</v>
      </c>
      <c r="V301" s="2" t="s">
        <v>1531</v>
      </c>
      <c r="W301" s="45" t="str">
        <f t="shared" si="49"/>
        <v>259</v>
      </c>
    </row>
    <row r="302" spans="1:23" x14ac:dyDescent="0.3">
      <c r="A302" t="s">
        <v>1530</v>
      </c>
      <c r="B302" s="45" t="str">
        <f t="shared" si="40"/>
        <v>Monica</v>
      </c>
      <c r="C302" t="s">
        <v>62</v>
      </c>
      <c r="D302" t="s">
        <v>1529</v>
      </c>
      <c r="E302" s="45" t="str">
        <f t="shared" si="41"/>
        <v>Faulkner</v>
      </c>
      <c r="F302" s="45" t="str">
        <f t="shared" si="42"/>
        <v>Monica D Faulkner</v>
      </c>
      <c r="G302" t="s">
        <v>241</v>
      </c>
      <c r="H302" t="str">
        <f t="shared" si="43"/>
        <v>Female</v>
      </c>
      <c r="I302" t="s">
        <v>1528</v>
      </c>
      <c r="J302" t="s">
        <v>1527</v>
      </c>
      <c r="K302" t="s">
        <v>95</v>
      </c>
      <c r="L302">
        <v>20191</v>
      </c>
      <c r="O302" t="s">
        <v>1526</v>
      </c>
      <c r="P302" s="45" t="str">
        <f t="shared" si="44"/>
        <v>aol</v>
      </c>
      <c r="Q302" t="s">
        <v>1525</v>
      </c>
      <c r="R302" s="45" t="str">
        <f t="shared" si="45"/>
        <v>240|358|7903</v>
      </c>
      <c r="S302" s="45" t="str">
        <f t="shared" si="46"/>
        <v>240</v>
      </c>
      <c r="T302" s="45" t="str">
        <f t="shared" si="47"/>
        <v>358</v>
      </c>
      <c r="U302" s="45" t="str">
        <f t="shared" si="48"/>
        <v>7903</v>
      </c>
      <c r="V302" s="2" t="s">
        <v>1524</v>
      </c>
      <c r="W302" s="45" t="str">
        <f t="shared" si="49"/>
        <v>318</v>
      </c>
    </row>
    <row r="303" spans="1:23" x14ac:dyDescent="0.3">
      <c r="A303" t="s">
        <v>1523</v>
      </c>
      <c r="B303" s="45" t="str">
        <f t="shared" si="40"/>
        <v>Clayton</v>
      </c>
      <c r="C303" t="s">
        <v>361</v>
      </c>
      <c r="D303" t="s">
        <v>1522</v>
      </c>
      <c r="E303" s="45" t="str">
        <f t="shared" si="41"/>
        <v>Olivo</v>
      </c>
      <c r="F303" s="45" t="str">
        <f t="shared" si="42"/>
        <v>Clayton T Olivo</v>
      </c>
      <c r="G303" t="s">
        <v>264</v>
      </c>
      <c r="H303" t="str">
        <f t="shared" si="43"/>
        <v>Male</v>
      </c>
      <c r="I303" t="s">
        <v>1521</v>
      </c>
      <c r="J303" t="s">
        <v>1514</v>
      </c>
      <c r="K303" t="s">
        <v>100</v>
      </c>
      <c r="L303">
        <v>38930</v>
      </c>
      <c r="O303" t="s">
        <v>1520</v>
      </c>
      <c r="P303" s="45" t="str">
        <f t="shared" si="44"/>
        <v>aol</v>
      </c>
      <c r="Q303" t="s">
        <v>1519</v>
      </c>
      <c r="R303" s="45" t="str">
        <f t="shared" si="45"/>
        <v>662|654|6800</v>
      </c>
      <c r="S303" s="45" t="str">
        <f t="shared" si="46"/>
        <v>662</v>
      </c>
      <c r="T303" s="45" t="str">
        <f t="shared" si="47"/>
        <v>654</v>
      </c>
      <c r="U303" s="45" t="str">
        <f t="shared" si="48"/>
        <v>6800</v>
      </c>
      <c r="V303" s="2" t="s">
        <v>1518</v>
      </c>
      <c r="W303" s="45" t="str">
        <f t="shared" si="49"/>
        <v>485</v>
      </c>
    </row>
    <row r="304" spans="1:23" x14ac:dyDescent="0.3">
      <c r="A304" t="s">
        <v>1517</v>
      </c>
      <c r="B304" s="45" t="str">
        <f t="shared" si="40"/>
        <v>Matthew</v>
      </c>
      <c r="C304" t="s">
        <v>75</v>
      </c>
      <c r="D304" t="s">
        <v>1516</v>
      </c>
      <c r="E304" s="45" t="str">
        <f t="shared" si="41"/>
        <v>Olivera</v>
      </c>
      <c r="F304" s="45" t="str">
        <f t="shared" si="42"/>
        <v>Matthew B Olivera</v>
      </c>
      <c r="G304" t="s">
        <v>264</v>
      </c>
      <c r="H304" t="str">
        <f t="shared" si="43"/>
        <v>Male</v>
      </c>
      <c r="I304" t="s">
        <v>1515</v>
      </c>
      <c r="J304" t="s">
        <v>1514</v>
      </c>
      <c r="K304" t="s">
        <v>100</v>
      </c>
      <c r="L304">
        <v>38930</v>
      </c>
      <c r="O304" t="s">
        <v>1513</v>
      </c>
      <c r="P304" s="45" t="str">
        <f t="shared" si="44"/>
        <v>aol</v>
      </c>
      <c r="Q304" t="s">
        <v>1512</v>
      </c>
      <c r="R304" s="45" t="str">
        <f t="shared" si="45"/>
        <v>662|364|1041</v>
      </c>
      <c r="S304" s="45" t="str">
        <f t="shared" si="46"/>
        <v>662</v>
      </c>
      <c r="T304" s="45" t="str">
        <f t="shared" si="47"/>
        <v>364</v>
      </c>
      <c r="U304" s="45" t="str">
        <f t="shared" si="48"/>
        <v>1041</v>
      </c>
      <c r="V304" s="2" t="s">
        <v>1511</v>
      </c>
      <c r="W304" s="45" t="str">
        <f t="shared" si="49"/>
        <v>4493</v>
      </c>
    </row>
    <row r="305" spans="1:23" x14ac:dyDescent="0.3">
      <c r="A305" t="s">
        <v>570</v>
      </c>
      <c r="B305" s="45" t="str">
        <f t="shared" si="40"/>
        <v>Juan</v>
      </c>
      <c r="C305" t="s">
        <v>60</v>
      </c>
      <c r="D305" t="s">
        <v>1510</v>
      </c>
      <c r="E305" s="45" t="str">
        <f t="shared" si="41"/>
        <v>Parisi</v>
      </c>
      <c r="F305" s="45" t="str">
        <f t="shared" si="42"/>
        <v>Juan M Parisi</v>
      </c>
      <c r="G305" t="s">
        <v>264</v>
      </c>
      <c r="H305" t="str">
        <f t="shared" si="43"/>
        <v>Male</v>
      </c>
      <c r="I305" t="s">
        <v>1509</v>
      </c>
      <c r="J305" t="s">
        <v>1508</v>
      </c>
      <c r="K305" t="s">
        <v>58</v>
      </c>
      <c r="L305">
        <v>95688</v>
      </c>
      <c r="O305" t="s">
        <v>1507</v>
      </c>
      <c r="P305" s="45" t="str">
        <f t="shared" si="44"/>
        <v>hotmail</v>
      </c>
      <c r="Q305" t="s">
        <v>1506</v>
      </c>
      <c r="R305" s="45" t="str">
        <f t="shared" si="45"/>
        <v>707|451|5021</v>
      </c>
      <c r="S305" s="45" t="str">
        <f t="shared" si="46"/>
        <v>707</v>
      </c>
      <c r="T305" s="45" t="str">
        <f t="shared" si="47"/>
        <v>451</v>
      </c>
      <c r="U305" s="45" t="str">
        <f t="shared" si="48"/>
        <v>5021</v>
      </c>
      <c r="V305" s="2" t="s">
        <v>551</v>
      </c>
      <c r="W305" s="45" t="str">
        <f t="shared" si="49"/>
        <v>4081</v>
      </c>
    </row>
    <row r="306" spans="1:23" x14ac:dyDescent="0.3">
      <c r="A306" t="s">
        <v>1505</v>
      </c>
      <c r="B306" s="45" t="str">
        <f t="shared" si="40"/>
        <v>Cecilia</v>
      </c>
      <c r="C306" t="s">
        <v>60</v>
      </c>
      <c r="D306" t="s">
        <v>1504</v>
      </c>
      <c r="E306" s="45" t="str">
        <f t="shared" si="41"/>
        <v>Watts</v>
      </c>
      <c r="F306" s="45" t="str">
        <f t="shared" si="42"/>
        <v>Cecilia M Watts</v>
      </c>
      <c r="G306" t="s">
        <v>241</v>
      </c>
      <c r="H306" t="str">
        <f t="shared" si="43"/>
        <v>Female</v>
      </c>
      <c r="I306" t="s">
        <v>1503</v>
      </c>
      <c r="J306" t="s">
        <v>1502</v>
      </c>
      <c r="K306" t="s">
        <v>110</v>
      </c>
      <c r="L306">
        <v>67460</v>
      </c>
      <c r="O306" t="s">
        <v>1501</v>
      </c>
      <c r="P306" s="45" t="str">
        <f t="shared" si="44"/>
        <v>hotmail</v>
      </c>
      <c r="Q306" t="s">
        <v>1500</v>
      </c>
      <c r="R306" s="45" t="str">
        <f t="shared" si="45"/>
        <v>620|242|3192</v>
      </c>
      <c r="S306" s="45" t="str">
        <f t="shared" si="46"/>
        <v>620</v>
      </c>
      <c r="T306" s="45" t="str">
        <f t="shared" si="47"/>
        <v>242</v>
      </c>
      <c r="U306" s="45" t="str">
        <f t="shared" si="48"/>
        <v>3192</v>
      </c>
      <c r="V306" s="2" t="s">
        <v>1499</v>
      </c>
      <c r="W306" s="45" t="str">
        <f t="shared" si="49"/>
        <v>120</v>
      </c>
    </row>
    <row r="307" spans="1:23" x14ac:dyDescent="0.3">
      <c r="A307" t="s">
        <v>1498</v>
      </c>
      <c r="B307" s="45" t="str">
        <f t="shared" si="40"/>
        <v>Dennis</v>
      </c>
      <c r="C307" t="s">
        <v>60</v>
      </c>
      <c r="D307" t="s">
        <v>1497</v>
      </c>
      <c r="E307" s="45" t="str">
        <f t="shared" si="41"/>
        <v>Wright</v>
      </c>
      <c r="F307" s="45" t="str">
        <f t="shared" si="42"/>
        <v>Dennis M Wright</v>
      </c>
      <c r="G307" t="s">
        <v>264</v>
      </c>
      <c r="H307" t="str">
        <f t="shared" si="43"/>
        <v>Male</v>
      </c>
      <c r="I307" t="s">
        <v>1496</v>
      </c>
      <c r="J307" t="s">
        <v>51</v>
      </c>
      <c r="K307" t="s">
        <v>117</v>
      </c>
      <c r="L307">
        <v>20200</v>
      </c>
      <c r="O307" t="s">
        <v>1495</v>
      </c>
      <c r="P307" s="45" t="str">
        <f t="shared" si="44"/>
        <v>aol</v>
      </c>
      <c r="Q307" t="s">
        <v>1494</v>
      </c>
      <c r="R307" s="45" t="str">
        <f t="shared" si="45"/>
        <v>202|812|2226</v>
      </c>
      <c r="S307" s="45" t="str">
        <f t="shared" si="46"/>
        <v>202</v>
      </c>
      <c r="T307" s="45" t="str">
        <f t="shared" si="47"/>
        <v>812</v>
      </c>
      <c r="U307" s="45" t="str">
        <f t="shared" si="48"/>
        <v>2226</v>
      </c>
      <c r="V307" s="2" t="s">
        <v>1493</v>
      </c>
      <c r="W307" s="45" t="str">
        <f t="shared" si="49"/>
        <v>457</v>
      </c>
    </row>
    <row r="308" spans="1:23" x14ac:dyDescent="0.3">
      <c r="A308" t="s">
        <v>1492</v>
      </c>
      <c r="B308" s="45" t="str">
        <f t="shared" si="40"/>
        <v>Monte</v>
      </c>
      <c r="C308" t="s">
        <v>266</v>
      </c>
      <c r="D308" t="s">
        <v>1043</v>
      </c>
      <c r="E308" s="45" t="str">
        <f t="shared" si="41"/>
        <v>Smith</v>
      </c>
      <c r="F308" s="45" t="str">
        <f t="shared" si="42"/>
        <v>Monte S Smith</v>
      </c>
      <c r="G308" t="s">
        <v>264</v>
      </c>
      <c r="H308" t="str">
        <f t="shared" si="43"/>
        <v>Male</v>
      </c>
      <c r="I308" t="s">
        <v>1491</v>
      </c>
      <c r="J308" t="s">
        <v>1490</v>
      </c>
      <c r="K308" t="s">
        <v>74</v>
      </c>
      <c r="L308">
        <v>48219</v>
      </c>
      <c r="O308" t="s">
        <v>1489</v>
      </c>
      <c r="P308" s="45" t="str">
        <f t="shared" si="44"/>
        <v>gmail</v>
      </c>
      <c r="Q308" t="s">
        <v>1488</v>
      </c>
      <c r="R308" s="45" t="str">
        <f t="shared" si="45"/>
        <v>586|912|1768</v>
      </c>
      <c r="S308" s="45" t="str">
        <f t="shared" si="46"/>
        <v>586</v>
      </c>
      <c r="T308" s="45" t="str">
        <f t="shared" si="47"/>
        <v>912</v>
      </c>
      <c r="U308" s="45" t="str">
        <f t="shared" si="48"/>
        <v>1768</v>
      </c>
      <c r="V308" s="2" t="s">
        <v>1487</v>
      </c>
      <c r="W308" s="45" t="str">
        <f t="shared" si="49"/>
        <v>1706</v>
      </c>
    </row>
    <row r="309" spans="1:23" x14ac:dyDescent="0.3">
      <c r="A309" t="s">
        <v>1486</v>
      </c>
      <c r="B309" s="45" t="str">
        <f t="shared" si="40"/>
        <v>Gloria</v>
      </c>
      <c r="C309" t="s">
        <v>56</v>
      </c>
      <c r="D309" t="s">
        <v>1485</v>
      </c>
      <c r="E309" s="45" t="str">
        <f t="shared" si="41"/>
        <v>Hurst</v>
      </c>
      <c r="F309" s="45" t="str">
        <f t="shared" si="42"/>
        <v>Gloria J Hurst</v>
      </c>
      <c r="G309" t="s">
        <v>241</v>
      </c>
      <c r="H309" t="str">
        <f t="shared" si="43"/>
        <v>Female</v>
      </c>
      <c r="I309" t="s">
        <v>1484</v>
      </c>
      <c r="J309" t="s">
        <v>1483</v>
      </c>
      <c r="K309" t="s">
        <v>79</v>
      </c>
      <c r="L309">
        <v>32801</v>
      </c>
      <c r="O309" t="s">
        <v>1482</v>
      </c>
      <c r="P309" s="45" t="str">
        <f t="shared" si="44"/>
        <v>hotmail</v>
      </c>
      <c r="Q309" t="s">
        <v>1481</v>
      </c>
      <c r="R309" s="45" t="str">
        <f t="shared" si="45"/>
        <v>321|204|3633</v>
      </c>
      <c r="S309" s="45" t="str">
        <f t="shared" si="46"/>
        <v>321</v>
      </c>
      <c r="T309" s="45" t="str">
        <f t="shared" si="47"/>
        <v>204</v>
      </c>
      <c r="U309" s="45" t="str">
        <f t="shared" si="48"/>
        <v>3633</v>
      </c>
      <c r="V309" s="2" t="s">
        <v>1480</v>
      </c>
      <c r="W309" s="45" t="str">
        <f t="shared" si="49"/>
        <v>3049</v>
      </c>
    </row>
    <row r="310" spans="1:23" x14ac:dyDescent="0.3">
      <c r="A310" t="s">
        <v>1479</v>
      </c>
      <c r="B310" s="45" t="str">
        <f t="shared" si="40"/>
        <v>Joan</v>
      </c>
      <c r="C310" t="s">
        <v>361</v>
      </c>
      <c r="D310" t="s">
        <v>368</v>
      </c>
      <c r="E310" s="45" t="str">
        <f t="shared" si="41"/>
        <v>Williams</v>
      </c>
      <c r="F310" s="45" t="str">
        <f t="shared" si="42"/>
        <v>Joan T Williams</v>
      </c>
      <c r="G310" t="s">
        <v>241</v>
      </c>
      <c r="H310" t="str">
        <f t="shared" si="43"/>
        <v>Female</v>
      </c>
      <c r="I310" t="s">
        <v>1478</v>
      </c>
      <c r="J310" t="s">
        <v>509</v>
      </c>
      <c r="K310" t="s">
        <v>66</v>
      </c>
      <c r="L310">
        <v>77092</v>
      </c>
      <c r="O310" t="s">
        <v>1477</v>
      </c>
      <c r="P310" s="45" t="str">
        <f t="shared" si="44"/>
        <v>hotmail</v>
      </c>
      <c r="Q310" t="s">
        <v>1476</v>
      </c>
      <c r="R310" s="45" t="str">
        <f t="shared" si="45"/>
        <v>936|629|0267</v>
      </c>
      <c r="S310" s="45" t="str">
        <f t="shared" si="46"/>
        <v>936</v>
      </c>
      <c r="T310" s="45" t="str">
        <f t="shared" si="47"/>
        <v>629</v>
      </c>
      <c r="U310" s="45" t="str">
        <f t="shared" si="48"/>
        <v>0267</v>
      </c>
      <c r="V310" s="2" t="s">
        <v>1475</v>
      </c>
      <c r="W310" s="45" t="str">
        <f t="shared" si="49"/>
        <v>8374</v>
      </c>
    </row>
    <row r="311" spans="1:23" x14ac:dyDescent="0.3">
      <c r="A311" t="s">
        <v>1474</v>
      </c>
      <c r="B311" s="45" t="str">
        <f t="shared" si="40"/>
        <v>Alton</v>
      </c>
      <c r="C311" t="s">
        <v>56</v>
      </c>
      <c r="D311" t="s">
        <v>515</v>
      </c>
      <c r="E311" s="45" t="str">
        <f t="shared" si="41"/>
        <v>Harris</v>
      </c>
      <c r="F311" s="45" t="str">
        <f t="shared" si="42"/>
        <v>Alton J Harris</v>
      </c>
      <c r="G311" t="s">
        <v>264</v>
      </c>
      <c r="H311" t="str">
        <f t="shared" si="43"/>
        <v>Male</v>
      </c>
      <c r="I311" t="s">
        <v>1473</v>
      </c>
      <c r="J311" t="s">
        <v>509</v>
      </c>
      <c r="K311" t="s">
        <v>66</v>
      </c>
      <c r="L311">
        <v>77062</v>
      </c>
      <c r="O311" t="s">
        <v>1472</v>
      </c>
      <c r="P311" s="45" t="str">
        <f t="shared" si="44"/>
        <v>aol</v>
      </c>
      <c r="Q311" t="s">
        <v>1471</v>
      </c>
      <c r="R311" s="45" t="str">
        <f t="shared" si="45"/>
        <v>281|792|2244</v>
      </c>
      <c r="S311" s="45" t="str">
        <f t="shared" si="46"/>
        <v>281</v>
      </c>
      <c r="T311" s="45" t="str">
        <f t="shared" si="47"/>
        <v>792</v>
      </c>
      <c r="U311" s="45" t="str">
        <f t="shared" si="48"/>
        <v>2244</v>
      </c>
      <c r="V311" s="2" t="s">
        <v>1470</v>
      </c>
      <c r="W311" s="45" t="str">
        <f t="shared" si="49"/>
        <v>381</v>
      </c>
    </row>
    <row r="312" spans="1:23" x14ac:dyDescent="0.3">
      <c r="A312" t="s">
        <v>1469</v>
      </c>
      <c r="B312" s="45" t="str">
        <f t="shared" si="40"/>
        <v>Hazel</v>
      </c>
      <c r="C312" t="s">
        <v>56</v>
      </c>
      <c r="D312" t="s">
        <v>1468</v>
      </c>
      <c r="E312" s="45" t="str">
        <f t="shared" si="41"/>
        <v>Gleason</v>
      </c>
      <c r="F312" s="45" t="str">
        <f t="shared" si="42"/>
        <v>Hazel J Gleason</v>
      </c>
      <c r="G312" t="s">
        <v>241</v>
      </c>
      <c r="H312" t="str">
        <f t="shared" si="43"/>
        <v>Female</v>
      </c>
      <c r="I312" t="s">
        <v>1467</v>
      </c>
      <c r="J312" t="s">
        <v>1466</v>
      </c>
      <c r="K312" t="s">
        <v>94</v>
      </c>
      <c r="L312">
        <v>85282</v>
      </c>
      <c r="O312" t="s">
        <v>1465</v>
      </c>
      <c r="P312" s="45" t="str">
        <f t="shared" si="44"/>
        <v>gmail</v>
      </c>
      <c r="Q312" t="s">
        <v>1464</v>
      </c>
      <c r="R312" s="45" t="str">
        <f t="shared" si="45"/>
        <v>928|550|9235</v>
      </c>
      <c r="S312" s="45" t="str">
        <f t="shared" si="46"/>
        <v>928</v>
      </c>
      <c r="T312" s="45" t="str">
        <f t="shared" si="47"/>
        <v>550</v>
      </c>
      <c r="U312" s="45" t="str">
        <f t="shared" si="48"/>
        <v>9235</v>
      </c>
      <c r="V312" s="2" t="s">
        <v>1463</v>
      </c>
      <c r="W312" s="45" t="str">
        <f t="shared" si="49"/>
        <v>2976</v>
      </c>
    </row>
    <row r="313" spans="1:23" x14ac:dyDescent="0.3">
      <c r="A313" t="s">
        <v>442</v>
      </c>
      <c r="B313" s="45" t="str">
        <f t="shared" si="40"/>
        <v>Christopher</v>
      </c>
      <c r="C313" t="s">
        <v>243</v>
      </c>
      <c r="D313" t="s">
        <v>1462</v>
      </c>
      <c r="E313" s="45" t="str">
        <f t="shared" si="41"/>
        <v>Thames</v>
      </c>
      <c r="F313" s="45" t="str">
        <f t="shared" si="42"/>
        <v>Christopher R Thames</v>
      </c>
      <c r="G313" t="s">
        <v>264</v>
      </c>
      <c r="H313" t="str">
        <f t="shared" si="43"/>
        <v>Male</v>
      </c>
      <c r="I313" t="s">
        <v>1461</v>
      </c>
      <c r="J313" t="s">
        <v>36</v>
      </c>
      <c r="K313" t="s">
        <v>68</v>
      </c>
      <c r="L313">
        <v>10007</v>
      </c>
      <c r="O313" t="s">
        <v>1460</v>
      </c>
      <c r="P313" s="45" t="str">
        <f t="shared" si="44"/>
        <v>hotmail</v>
      </c>
      <c r="Q313" t="s">
        <v>1459</v>
      </c>
      <c r="R313" s="45" t="str">
        <f t="shared" si="45"/>
        <v>212|646|6179</v>
      </c>
      <c r="S313" s="45" t="str">
        <f t="shared" si="46"/>
        <v>212</v>
      </c>
      <c r="T313" s="45" t="str">
        <f t="shared" si="47"/>
        <v>646</v>
      </c>
      <c r="U313" s="45" t="str">
        <f t="shared" si="48"/>
        <v>6179</v>
      </c>
      <c r="V313" s="2" t="s">
        <v>1458</v>
      </c>
      <c r="W313" s="45" t="str">
        <f t="shared" si="49"/>
        <v>393</v>
      </c>
    </row>
    <row r="314" spans="1:23" x14ac:dyDescent="0.3">
      <c r="A314" t="s">
        <v>404</v>
      </c>
      <c r="B314" s="45" t="str">
        <f t="shared" si="40"/>
        <v>Carl</v>
      </c>
      <c r="C314" t="s">
        <v>77</v>
      </c>
      <c r="D314" t="s">
        <v>1297</v>
      </c>
      <c r="E314" s="45" t="str">
        <f t="shared" si="41"/>
        <v>Green</v>
      </c>
      <c r="F314" s="45" t="str">
        <f t="shared" si="42"/>
        <v>Carl C Green</v>
      </c>
      <c r="G314" t="s">
        <v>264</v>
      </c>
      <c r="H314" t="str">
        <f t="shared" si="43"/>
        <v>Male</v>
      </c>
      <c r="I314" t="s">
        <v>1457</v>
      </c>
      <c r="J314" t="s">
        <v>1456</v>
      </c>
      <c r="K314" t="s">
        <v>68</v>
      </c>
      <c r="L314">
        <v>10301</v>
      </c>
      <c r="O314" t="s">
        <v>1455</v>
      </c>
      <c r="P314" s="45" t="str">
        <f t="shared" si="44"/>
        <v>gmail</v>
      </c>
      <c r="Q314" t="s">
        <v>1454</v>
      </c>
      <c r="R314" s="45" t="str">
        <f t="shared" si="45"/>
        <v>718|556|0176</v>
      </c>
      <c r="S314" s="45" t="str">
        <f t="shared" si="46"/>
        <v>718</v>
      </c>
      <c r="T314" s="45" t="str">
        <f t="shared" si="47"/>
        <v>556</v>
      </c>
      <c r="U314" s="45" t="str">
        <f t="shared" si="48"/>
        <v>0176</v>
      </c>
      <c r="V314" s="2" t="s">
        <v>1453</v>
      </c>
      <c r="W314" s="45" t="str">
        <f t="shared" si="49"/>
        <v>694</v>
      </c>
    </row>
    <row r="315" spans="1:23" x14ac:dyDescent="0.3">
      <c r="A315" t="s">
        <v>1452</v>
      </c>
      <c r="B315" s="45" t="str">
        <f t="shared" si="40"/>
        <v>Hans</v>
      </c>
      <c r="C315" t="s">
        <v>56</v>
      </c>
      <c r="D315" t="s">
        <v>1451</v>
      </c>
      <c r="E315" s="45" t="str">
        <f t="shared" si="41"/>
        <v>Mcdaniel</v>
      </c>
      <c r="F315" s="45" t="str">
        <f t="shared" si="42"/>
        <v>Hans J Mcdaniel</v>
      </c>
      <c r="G315" t="s">
        <v>264</v>
      </c>
      <c r="H315" t="str">
        <f t="shared" si="43"/>
        <v>Male</v>
      </c>
      <c r="I315" t="s">
        <v>1450</v>
      </c>
      <c r="J315" t="s">
        <v>1449</v>
      </c>
      <c r="K315" t="s">
        <v>84</v>
      </c>
      <c r="L315">
        <v>30339</v>
      </c>
      <c r="O315" t="s">
        <v>1448</v>
      </c>
      <c r="P315" s="45" t="str">
        <f t="shared" si="44"/>
        <v>aol</v>
      </c>
      <c r="Q315" t="s">
        <v>1447</v>
      </c>
      <c r="R315" s="45" t="str">
        <f t="shared" si="45"/>
        <v>770|681|2104</v>
      </c>
      <c r="S315" s="45" t="str">
        <f t="shared" si="46"/>
        <v>770</v>
      </c>
      <c r="T315" s="45" t="str">
        <f t="shared" si="47"/>
        <v>681</v>
      </c>
      <c r="U315" s="45" t="str">
        <f t="shared" si="48"/>
        <v>2104</v>
      </c>
      <c r="V315" s="2" t="s">
        <v>1446</v>
      </c>
      <c r="W315" s="45" t="str">
        <f t="shared" si="49"/>
        <v>9896</v>
      </c>
    </row>
    <row r="316" spans="1:23" x14ac:dyDescent="0.3">
      <c r="A316" t="s">
        <v>1445</v>
      </c>
      <c r="B316" s="45" t="str">
        <f t="shared" si="40"/>
        <v>Ira</v>
      </c>
      <c r="C316" t="s">
        <v>266</v>
      </c>
      <c r="D316" t="s">
        <v>1444</v>
      </c>
      <c r="E316" s="45" t="str">
        <f t="shared" si="41"/>
        <v>Kocher</v>
      </c>
      <c r="F316" s="45" t="str">
        <f t="shared" si="42"/>
        <v>Ira S Kocher</v>
      </c>
      <c r="G316" t="s">
        <v>264</v>
      </c>
      <c r="H316" t="str">
        <f t="shared" si="43"/>
        <v>Male</v>
      </c>
      <c r="I316" t="s">
        <v>1443</v>
      </c>
      <c r="J316" t="s">
        <v>1442</v>
      </c>
      <c r="K316" t="s">
        <v>61</v>
      </c>
      <c r="L316">
        <v>23324</v>
      </c>
      <c r="O316" t="s">
        <v>1441</v>
      </c>
      <c r="P316" s="45" t="str">
        <f t="shared" si="44"/>
        <v>gmail</v>
      </c>
      <c r="Q316" t="s">
        <v>1440</v>
      </c>
      <c r="R316" s="45" t="str">
        <f t="shared" si="45"/>
        <v>757|645|6505</v>
      </c>
      <c r="S316" s="45" t="str">
        <f t="shared" si="46"/>
        <v>757</v>
      </c>
      <c r="T316" s="45" t="str">
        <f t="shared" si="47"/>
        <v>645</v>
      </c>
      <c r="U316" s="45" t="str">
        <f t="shared" si="48"/>
        <v>6505</v>
      </c>
      <c r="V316" s="2" t="s">
        <v>1439</v>
      </c>
      <c r="W316" s="45" t="str">
        <f t="shared" si="49"/>
        <v>457</v>
      </c>
    </row>
    <row r="317" spans="1:23" x14ac:dyDescent="0.3">
      <c r="A317" t="s">
        <v>1438</v>
      </c>
      <c r="B317" s="45" t="str">
        <f t="shared" si="40"/>
        <v>Cory</v>
      </c>
      <c r="C317" t="s">
        <v>65</v>
      </c>
      <c r="D317" t="s">
        <v>1437</v>
      </c>
      <c r="E317" s="45" t="str">
        <f t="shared" si="41"/>
        <v>Jackson</v>
      </c>
      <c r="F317" s="45" t="str">
        <f t="shared" si="42"/>
        <v>Cory K Jackson</v>
      </c>
      <c r="G317" t="s">
        <v>264</v>
      </c>
      <c r="H317" t="str">
        <f t="shared" si="43"/>
        <v>Male</v>
      </c>
      <c r="I317" t="s">
        <v>1436</v>
      </c>
      <c r="J317" t="s">
        <v>1435</v>
      </c>
      <c r="K317" t="s">
        <v>79</v>
      </c>
      <c r="L317">
        <v>32796</v>
      </c>
      <c r="O317" t="s">
        <v>1434</v>
      </c>
      <c r="P317" s="45" t="str">
        <f t="shared" si="44"/>
        <v>aol</v>
      </c>
      <c r="Q317" t="s">
        <v>1433</v>
      </c>
      <c r="R317" s="45" t="str">
        <f t="shared" si="45"/>
        <v>321|268|3967</v>
      </c>
      <c r="S317" s="45" t="str">
        <f t="shared" si="46"/>
        <v>321</v>
      </c>
      <c r="T317" s="45" t="str">
        <f t="shared" si="47"/>
        <v>268</v>
      </c>
      <c r="U317" s="45" t="str">
        <f t="shared" si="48"/>
        <v>3967</v>
      </c>
      <c r="V317" s="2" t="s">
        <v>1432</v>
      </c>
      <c r="W317" s="45" t="str">
        <f t="shared" si="49"/>
        <v>5103</v>
      </c>
    </row>
    <row r="318" spans="1:23" x14ac:dyDescent="0.3">
      <c r="A318" t="s">
        <v>1431</v>
      </c>
      <c r="B318" s="45" t="str">
        <f t="shared" si="40"/>
        <v>Cedric</v>
      </c>
      <c r="C318" t="s">
        <v>72</v>
      </c>
      <c r="D318" t="s">
        <v>1430</v>
      </c>
      <c r="E318" s="45" t="str">
        <f t="shared" si="41"/>
        <v>Barnes</v>
      </c>
      <c r="F318" s="45" t="str">
        <f t="shared" si="42"/>
        <v>Cedric E Barnes</v>
      </c>
      <c r="G318" t="s">
        <v>264</v>
      </c>
      <c r="H318" t="str">
        <f t="shared" si="43"/>
        <v>Male</v>
      </c>
      <c r="I318" t="s">
        <v>1429</v>
      </c>
      <c r="J318" t="s">
        <v>1428</v>
      </c>
      <c r="K318" t="s">
        <v>94</v>
      </c>
      <c r="L318">
        <v>86045</v>
      </c>
      <c r="O318" t="s">
        <v>1427</v>
      </c>
      <c r="P318" s="45" t="str">
        <f t="shared" si="44"/>
        <v>hotmail</v>
      </c>
      <c r="Q318" t="s">
        <v>1426</v>
      </c>
      <c r="R318" s="45" t="str">
        <f t="shared" si="45"/>
        <v>928|283|4581</v>
      </c>
      <c r="S318" s="45" t="str">
        <f t="shared" si="46"/>
        <v>928</v>
      </c>
      <c r="T318" s="45" t="str">
        <f t="shared" si="47"/>
        <v>283</v>
      </c>
      <c r="U318" s="45" t="str">
        <f t="shared" si="48"/>
        <v>4581</v>
      </c>
      <c r="V318" s="2" t="s">
        <v>1425</v>
      </c>
      <c r="W318" s="45" t="str">
        <f t="shared" si="49"/>
        <v>3867</v>
      </c>
    </row>
    <row r="319" spans="1:23" x14ac:dyDescent="0.3">
      <c r="A319" t="s">
        <v>1424</v>
      </c>
      <c r="B319" s="45" t="str">
        <f t="shared" si="40"/>
        <v>George</v>
      </c>
      <c r="C319" t="s">
        <v>60</v>
      </c>
      <c r="D319" t="s">
        <v>1423</v>
      </c>
      <c r="E319" s="45" t="str">
        <f t="shared" si="41"/>
        <v>Evans</v>
      </c>
      <c r="F319" s="45" t="str">
        <f t="shared" si="42"/>
        <v>George M Evans</v>
      </c>
      <c r="G319" t="s">
        <v>264</v>
      </c>
      <c r="H319" t="str">
        <f t="shared" si="43"/>
        <v>Male</v>
      </c>
      <c r="I319" t="s">
        <v>1422</v>
      </c>
      <c r="J319" t="s">
        <v>1421</v>
      </c>
      <c r="K319" t="s">
        <v>99</v>
      </c>
      <c r="L319">
        <v>47708</v>
      </c>
      <c r="O319" t="s">
        <v>1420</v>
      </c>
      <c r="P319" s="45" t="str">
        <f t="shared" si="44"/>
        <v>gmail</v>
      </c>
      <c r="Q319" t="s">
        <v>1419</v>
      </c>
      <c r="R319" s="45" t="str">
        <f t="shared" si="45"/>
        <v>812|464|4262</v>
      </c>
      <c r="S319" s="45" t="str">
        <f t="shared" si="46"/>
        <v>812</v>
      </c>
      <c r="T319" s="45" t="str">
        <f t="shared" si="47"/>
        <v>464</v>
      </c>
      <c r="U319" s="45" t="str">
        <f t="shared" si="48"/>
        <v>4262</v>
      </c>
      <c r="V319" s="2" t="s">
        <v>1418</v>
      </c>
      <c r="W319" s="45" t="str">
        <f t="shared" si="49"/>
        <v>190</v>
      </c>
    </row>
    <row r="320" spans="1:23" x14ac:dyDescent="0.3">
      <c r="A320" t="s">
        <v>341</v>
      </c>
      <c r="B320" s="45" t="str">
        <f t="shared" si="40"/>
        <v>Lee</v>
      </c>
      <c r="C320" t="s">
        <v>77</v>
      </c>
      <c r="D320" t="s">
        <v>1417</v>
      </c>
      <c r="E320" s="45" t="str">
        <f t="shared" si="41"/>
        <v>Mcmeans</v>
      </c>
      <c r="F320" s="45" t="str">
        <f t="shared" si="42"/>
        <v>Lee C Mcmeans</v>
      </c>
      <c r="G320" t="s">
        <v>264</v>
      </c>
      <c r="H320" t="str">
        <f t="shared" si="43"/>
        <v>Male</v>
      </c>
      <c r="I320" t="s">
        <v>1416</v>
      </c>
      <c r="J320" t="s">
        <v>1415</v>
      </c>
      <c r="K320" t="s">
        <v>66</v>
      </c>
      <c r="L320">
        <v>78550</v>
      </c>
      <c r="O320" t="s">
        <v>1414</v>
      </c>
      <c r="P320" s="45" t="str">
        <f t="shared" si="44"/>
        <v>gmail</v>
      </c>
      <c r="Q320" t="s">
        <v>1413</v>
      </c>
      <c r="R320" s="45" t="str">
        <f t="shared" si="45"/>
        <v>956|223|1990</v>
      </c>
      <c r="S320" s="45" t="str">
        <f t="shared" si="46"/>
        <v>956</v>
      </c>
      <c r="T320" s="45" t="str">
        <f t="shared" si="47"/>
        <v>223</v>
      </c>
      <c r="U320" s="45" t="str">
        <f t="shared" si="48"/>
        <v>1990</v>
      </c>
      <c r="V320" s="2" t="s">
        <v>1412</v>
      </c>
      <c r="W320" s="45" t="str">
        <f t="shared" si="49"/>
        <v>2259</v>
      </c>
    </row>
    <row r="321" spans="1:23" x14ac:dyDescent="0.3">
      <c r="A321" t="s">
        <v>302</v>
      </c>
      <c r="B321" s="45" t="str">
        <f t="shared" si="40"/>
        <v>Amy</v>
      </c>
      <c r="C321" t="s">
        <v>266</v>
      </c>
      <c r="D321" t="s">
        <v>1411</v>
      </c>
      <c r="E321" s="45" t="str">
        <f t="shared" si="41"/>
        <v>Rangel</v>
      </c>
      <c r="F321" s="45" t="str">
        <f t="shared" si="42"/>
        <v>Amy S Rangel</v>
      </c>
      <c r="G321" t="s">
        <v>241</v>
      </c>
      <c r="H321" t="str">
        <f t="shared" si="43"/>
        <v>Female</v>
      </c>
      <c r="I321" t="s">
        <v>1410</v>
      </c>
      <c r="J321" t="s">
        <v>36</v>
      </c>
      <c r="K321" t="s">
        <v>68</v>
      </c>
      <c r="L321">
        <v>10007</v>
      </c>
      <c r="O321" t="s">
        <v>1409</v>
      </c>
      <c r="P321" s="45" t="str">
        <f t="shared" si="44"/>
        <v>aol</v>
      </c>
      <c r="Q321" t="s">
        <v>1408</v>
      </c>
      <c r="R321" s="45" t="str">
        <f t="shared" si="45"/>
        <v>914|325|9356</v>
      </c>
      <c r="S321" s="45" t="str">
        <f t="shared" si="46"/>
        <v>914</v>
      </c>
      <c r="T321" s="45" t="str">
        <f t="shared" si="47"/>
        <v>325</v>
      </c>
      <c r="U321" s="45" t="str">
        <f t="shared" si="48"/>
        <v>9356</v>
      </c>
      <c r="V321" s="2" t="s">
        <v>1407</v>
      </c>
      <c r="W321" s="45" t="str">
        <f t="shared" si="49"/>
        <v>3249</v>
      </c>
    </row>
    <row r="322" spans="1:23" x14ac:dyDescent="0.3">
      <c r="A322" t="s">
        <v>1406</v>
      </c>
      <c r="B322" s="45" t="str">
        <f t="shared" si="40"/>
        <v>Naomi</v>
      </c>
      <c r="C322" t="s">
        <v>243</v>
      </c>
      <c r="D322" t="s">
        <v>555</v>
      </c>
      <c r="E322" s="45" t="str">
        <f t="shared" si="41"/>
        <v>Marshall</v>
      </c>
      <c r="F322" s="45" t="str">
        <f t="shared" si="42"/>
        <v>Naomi R Marshall</v>
      </c>
      <c r="G322" t="s">
        <v>241</v>
      </c>
      <c r="H322" t="str">
        <f t="shared" si="43"/>
        <v>Female</v>
      </c>
      <c r="I322" t="s">
        <v>1405</v>
      </c>
      <c r="J322" t="s">
        <v>703</v>
      </c>
      <c r="K322" t="s">
        <v>66</v>
      </c>
      <c r="L322">
        <v>75234</v>
      </c>
      <c r="O322" t="s">
        <v>1404</v>
      </c>
      <c r="P322" s="45" t="str">
        <f t="shared" si="44"/>
        <v>hotmail</v>
      </c>
      <c r="Q322" t="s">
        <v>1403</v>
      </c>
      <c r="R322" s="45" t="str">
        <f t="shared" si="45"/>
        <v>682|558|0129</v>
      </c>
      <c r="S322" s="45" t="str">
        <f t="shared" si="46"/>
        <v>682</v>
      </c>
      <c r="T322" s="45" t="str">
        <f t="shared" si="47"/>
        <v>558</v>
      </c>
      <c r="U322" s="45" t="str">
        <f t="shared" si="48"/>
        <v>0129</v>
      </c>
      <c r="V322" s="2" t="s">
        <v>1402</v>
      </c>
      <c r="W322" s="45" t="str">
        <f t="shared" si="49"/>
        <v>4460</v>
      </c>
    </row>
    <row r="323" spans="1:23" x14ac:dyDescent="0.3">
      <c r="A323" t="s">
        <v>1401</v>
      </c>
      <c r="B323" s="45" t="str">
        <f t="shared" ref="B323:B386" si="50">PROPER(A323)</f>
        <v>Nancy</v>
      </c>
      <c r="C323" t="s">
        <v>65</v>
      </c>
      <c r="D323" t="s">
        <v>1400</v>
      </c>
      <c r="E323" s="45" t="str">
        <f t="shared" ref="E323:E386" si="51">PROPER(D323)</f>
        <v>Morris</v>
      </c>
      <c r="F323" s="45" t="str">
        <f t="shared" ref="F323:F386" si="52">_xlfn.CONCAT(B323," ",C323," ",E323)</f>
        <v>Nancy K Morris</v>
      </c>
      <c r="G323" t="s">
        <v>241</v>
      </c>
      <c r="H323" t="str">
        <f t="shared" ref="H323:H386" si="53">PROPER(G323)</f>
        <v>Female</v>
      </c>
      <c r="I323" t="s">
        <v>1399</v>
      </c>
      <c r="J323" t="s">
        <v>1398</v>
      </c>
      <c r="K323" t="s">
        <v>57</v>
      </c>
      <c r="L323">
        <v>61109</v>
      </c>
      <c r="O323" t="s">
        <v>1397</v>
      </c>
      <c r="P323" s="45" t="str">
        <f t="shared" ref="P323:P386" si="54">_xlfn.TEXTBEFORE(_xlfn.TEXTAFTER(O323,"@"),".")</f>
        <v>aol</v>
      </c>
      <c r="Q323" t="s">
        <v>1396</v>
      </c>
      <c r="R323" s="45" t="str">
        <f t="shared" ref="R323:R386" si="55">SUBSTITUTE(Q323,"-","|")</f>
        <v>815|242|9508</v>
      </c>
      <c r="S323" s="45" t="str">
        <f t="shared" ref="S323:S386" si="56">LEFT(R323,3)</f>
        <v>815</v>
      </c>
      <c r="T323" s="45" t="str">
        <f t="shared" ref="T323:T386" si="57">MID(R323,5,3)</f>
        <v>242</v>
      </c>
      <c r="U323" s="45" t="str">
        <f t="shared" ref="U323:U386" si="58">RIGHT(R323,4)</f>
        <v>9508</v>
      </c>
      <c r="V323" s="2" t="s">
        <v>1395</v>
      </c>
      <c r="W323" s="45" t="str">
        <f t="shared" ref="W323:W386" si="59">RIGHT(V323,LEN(V323)-FIND("-",V323))</f>
        <v>619</v>
      </c>
    </row>
    <row r="324" spans="1:23" x14ac:dyDescent="0.3">
      <c r="A324" t="s">
        <v>1394</v>
      </c>
      <c r="B324" s="45" t="str">
        <f t="shared" si="50"/>
        <v>Randy</v>
      </c>
      <c r="C324" t="s">
        <v>70</v>
      </c>
      <c r="D324" t="s">
        <v>1393</v>
      </c>
      <c r="E324" s="45" t="str">
        <f t="shared" si="51"/>
        <v>Kuhlman</v>
      </c>
      <c r="F324" s="45" t="str">
        <f t="shared" si="52"/>
        <v>Randy F Kuhlman</v>
      </c>
      <c r="G324" t="s">
        <v>264</v>
      </c>
      <c r="H324" t="str">
        <f t="shared" si="53"/>
        <v>Male</v>
      </c>
      <c r="I324" t="s">
        <v>1392</v>
      </c>
      <c r="J324" t="s">
        <v>1391</v>
      </c>
      <c r="K324" t="s">
        <v>58</v>
      </c>
      <c r="L324">
        <v>91744</v>
      </c>
      <c r="O324" t="s">
        <v>1390</v>
      </c>
      <c r="P324" s="45" t="str">
        <f t="shared" si="54"/>
        <v>hotmail</v>
      </c>
      <c r="Q324" t="s">
        <v>1389</v>
      </c>
      <c r="R324" s="45" t="str">
        <f t="shared" si="55"/>
        <v>626|369|7009</v>
      </c>
      <c r="S324" s="45" t="str">
        <f t="shared" si="56"/>
        <v>626</v>
      </c>
      <c r="T324" s="45" t="str">
        <f t="shared" si="57"/>
        <v>369</v>
      </c>
      <c r="U324" s="45" t="str">
        <f t="shared" si="58"/>
        <v>7009</v>
      </c>
      <c r="V324" s="2" t="s">
        <v>1388</v>
      </c>
      <c r="W324" s="45" t="str">
        <f t="shared" si="59"/>
        <v>080</v>
      </c>
    </row>
    <row r="325" spans="1:23" x14ac:dyDescent="0.3">
      <c r="A325" t="s">
        <v>1387</v>
      </c>
      <c r="B325" s="45" t="str">
        <f t="shared" si="50"/>
        <v>Helen</v>
      </c>
      <c r="C325" t="s">
        <v>62</v>
      </c>
      <c r="D325" t="s">
        <v>1386</v>
      </c>
      <c r="E325" s="45" t="str">
        <f t="shared" si="51"/>
        <v>Roush</v>
      </c>
      <c r="F325" s="45" t="str">
        <f t="shared" si="52"/>
        <v>Helen D Roush</v>
      </c>
      <c r="G325" t="s">
        <v>241</v>
      </c>
      <c r="H325" t="str">
        <f t="shared" si="53"/>
        <v>Female</v>
      </c>
      <c r="I325" t="s">
        <v>1385</v>
      </c>
      <c r="J325" t="s">
        <v>1384</v>
      </c>
      <c r="K325" t="s">
        <v>97</v>
      </c>
      <c r="L325">
        <v>73501</v>
      </c>
      <c r="O325" t="s">
        <v>1383</v>
      </c>
      <c r="P325" s="45" t="str">
        <f t="shared" si="54"/>
        <v>aol</v>
      </c>
      <c r="Q325" t="s">
        <v>1382</v>
      </c>
      <c r="R325" s="45" t="str">
        <f t="shared" si="55"/>
        <v>580|917|4142</v>
      </c>
      <c r="S325" s="45" t="str">
        <f t="shared" si="56"/>
        <v>580</v>
      </c>
      <c r="T325" s="45" t="str">
        <f t="shared" si="57"/>
        <v>917</v>
      </c>
      <c r="U325" s="45" t="str">
        <f t="shared" si="58"/>
        <v>4142</v>
      </c>
      <c r="V325" s="2" t="s">
        <v>1381</v>
      </c>
      <c r="W325" s="45" t="str">
        <f t="shared" si="59"/>
        <v>0806</v>
      </c>
    </row>
    <row r="326" spans="1:23" x14ac:dyDescent="0.3">
      <c r="A326" t="s">
        <v>808</v>
      </c>
      <c r="B326" s="45" t="str">
        <f t="shared" si="50"/>
        <v>Michael</v>
      </c>
      <c r="C326" t="s">
        <v>56</v>
      </c>
      <c r="D326" t="s">
        <v>1380</v>
      </c>
      <c r="E326" s="45" t="str">
        <f t="shared" si="51"/>
        <v>Wood</v>
      </c>
      <c r="F326" s="45" t="str">
        <f t="shared" si="52"/>
        <v>Michael J Wood</v>
      </c>
      <c r="G326" t="s">
        <v>264</v>
      </c>
      <c r="H326" t="str">
        <f t="shared" si="53"/>
        <v>Male</v>
      </c>
      <c r="I326" t="s">
        <v>1379</v>
      </c>
      <c r="J326" t="s">
        <v>1378</v>
      </c>
      <c r="K326" t="s">
        <v>57</v>
      </c>
      <c r="L326">
        <v>60126</v>
      </c>
      <c r="O326" t="s">
        <v>1377</v>
      </c>
      <c r="P326" s="45" t="str">
        <f t="shared" si="54"/>
        <v>gmail</v>
      </c>
      <c r="Q326" t="s">
        <v>1376</v>
      </c>
      <c r="R326" s="45" t="str">
        <f t="shared" si="55"/>
        <v>312|656|9476</v>
      </c>
      <c r="S326" s="45" t="str">
        <f t="shared" si="56"/>
        <v>312</v>
      </c>
      <c r="T326" s="45" t="str">
        <f t="shared" si="57"/>
        <v>656</v>
      </c>
      <c r="U326" s="45" t="str">
        <f t="shared" si="58"/>
        <v>9476</v>
      </c>
      <c r="V326" s="2" t="s">
        <v>1375</v>
      </c>
      <c r="W326" s="45" t="str">
        <f t="shared" si="59"/>
        <v>299</v>
      </c>
    </row>
    <row r="327" spans="1:23" x14ac:dyDescent="0.3">
      <c r="A327" t="s">
        <v>1374</v>
      </c>
      <c r="B327" s="45" t="str">
        <f t="shared" si="50"/>
        <v>Jennifer</v>
      </c>
      <c r="C327" t="s">
        <v>60</v>
      </c>
      <c r="D327" t="s">
        <v>1373</v>
      </c>
      <c r="E327" s="45" t="str">
        <f t="shared" si="51"/>
        <v>Jahnke</v>
      </c>
      <c r="F327" s="45" t="str">
        <f t="shared" si="52"/>
        <v>Jennifer M Jahnke</v>
      </c>
      <c r="G327" t="s">
        <v>241</v>
      </c>
      <c r="H327" t="str">
        <f t="shared" si="53"/>
        <v>Female</v>
      </c>
      <c r="I327" t="s">
        <v>1372</v>
      </c>
      <c r="J327" t="s">
        <v>1371</v>
      </c>
      <c r="K327" t="s">
        <v>96</v>
      </c>
      <c r="L327">
        <v>80111</v>
      </c>
      <c r="O327" t="s">
        <v>1370</v>
      </c>
      <c r="P327" s="45" t="str">
        <f t="shared" si="54"/>
        <v>gmail</v>
      </c>
      <c r="Q327" t="s">
        <v>1369</v>
      </c>
      <c r="R327" s="45" t="str">
        <f t="shared" si="55"/>
        <v>720|330|2061</v>
      </c>
      <c r="S327" s="45" t="str">
        <f t="shared" si="56"/>
        <v>720</v>
      </c>
      <c r="T327" s="45" t="str">
        <f t="shared" si="57"/>
        <v>330</v>
      </c>
      <c r="U327" s="45" t="str">
        <f t="shared" si="58"/>
        <v>2061</v>
      </c>
      <c r="V327" s="2" t="s">
        <v>1368</v>
      </c>
      <c r="W327" s="45" t="str">
        <f t="shared" si="59"/>
        <v>7080</v>
      </c>
    </row>
    <row r="328" spans="1:23" x14ac:dyDescent="0.3">
      <c r="A328" t="s">
        <v>1367</v>
      </c>
      <c r="B328" s="45" t="str">
        <f t="shared" si="50"/>
        <v>Terri</v>
      </c>
      <c r="C328" t="s">
        <v>91</v>
      </c>
      <c r="D328" t="s">
        <v>1366</v>
      </c>
      <c r="E328" s="45" t="str">
        <f t="shared" si="51"/>
        <v>Ogrady</v>
      </c>
      <c r="F328" s="45" t="str">
        <f t="shared" si="52"/>
        <v>Terri L Ogrady</v>
      </c>
      <c r="G328" t="s">
        <v>241</v>
      </c>
      <c r="H328" t="str">
        <f t="shared" si="53"/>
        <v>Female</v>
      </c>
      <c r="I328" t="s">
        <v>1365</v>
      </c>
      <c r="J328" t="s">
        <v>1364</v>
      </c>
      <c r="K328" t="s">
        <v>119</v>
      </c>
      <c r="L328">
        <v>6103</v>
      </c>
      <c r="O328" t="s">
        <v>1363</v>
      </c>
      <c r="P328" s="45" t="str">
        <f t="shared" si="54"/>
        <v>hotmail</v>
      </c>
      <c r="Q328" t="s">
        <v>1362</v>
      </c>
      <c r="R328" s="45" t="str">
        <f t="shared" si="55"/>
        <v>860|473|6593</v>
      </c>
      <c r="S328" s="45" t="str">
        <f t="shared" si="56"/>
        <v>860</v>
      </c>
      <c r="T328" s="45" t="str">
        <f t="shared" si="57"/>
        <v>473</v>
      </c>
      <c r="U328" s="45" t="str">
        <f t="shared" si="58"/>
        <v>6593</v>
      </c>
      <c r="V328" s="2" t="s">
        <v>1361</v>
      </c>
      <c r="W328" s="45" t="str">
        <f t="shared" si="59"/>
        <v>8630</v>
      </c>
    </row>
    <row r="329" spans="1:23" x14ac:dyDescent="0.3">
      <c r="A329" t="s">
        <v>556</v>
      </c>
      <c r="B329" s="45" t="str">
        <f t="shared" si="50"/>
        <v>Charles</v>
      </c>
      <c r="C329" t="s">
        <v>91</v>
      </c>
      <c r="D329" t="s">
        <v>1360</v>
      </c>
      <c r="E329" s="45" t="str">
        <f t="shared" si="51"/>
        <v>Talbot</v>
      </c>
      <c r="F329" s="45" t="str">
        <f t="shared" si="52"/>
        <v>Charles L Talbot</v>
      </c>
      <c r="G329" t="s">
        <v>264</v>
      </c>
      <c r="H329" t="str">
        <f t="shared" si="53"/>
        <v>Male</v>
      </c>
      <c r="I329" t="s">
        <v>1359</v>
      </c>
      <c r="J329" t="s">
        <v>1358</v>
      </c>
      <c r="K329" t="s">
        <v>99</v>
      </c>
      <c r="L329">
        <v>46204</v>
      </c>
      <c r="O329" t="s">
        <v>1357</v>
      </c>
      <c r="P329" s="45" t="str">
        <f t="shared" si="54"/>
        <v>aol</v>
      </c>
      <c r="Q329" t="s">
        <v>1356</v>
      </c>
      <c r="R329" s="45" t="str">
        <f t="shared" si="55"/>
        <v>317|239|9935</v>
      </c>
      <c r="S329" s="45" t="str">
        <f t="shared" si="56"/>
        <v>317</v>
      </c>
      <c r="T329" s="45" t="str">
        <f t="shared" si="57"/>
        <v>239</v>
      </c>
      <c r="U329" s="45" t="str">
        <f t="shared" si="58"/>
        <v>9935</v>
      </c>
      <c r="V329" s="2" t="s">
        <v>1355</v>
      </c>
      <c r="W329" s="45" t="str">
        <f t="shared" si="59"/>
        <v>508</v>
      </c>
    </row>
    <row r="330" spans="1:23" x14ac:dyDescent="0.3">
      <c r="A330" t="s">
        <v>1354</v>
      </c>
      <c r="B330" s="45" t="str">
        <f t="shared" si="50"/>
        <v>Christine</v>
      </c>
      <c r="C330" t="s">
        <v>463</v>
      </c>
      <c r="D330" t="s">
        <v>1353</v>
      </c>
      <c r="E330" s="45" t="str">
        <f t="shared" si="51"/>
        <v>Kelliher</v>
      </c>
      <c r="F330" s="45" t="str">
        <f t="shared" si="52"/>
        <v>Christine W Kelliher</v>
      </c>
      <c r="G330" t="s">
        <v>241</v>
      </c>
      <c r="H330" t="str">
        <f t="shared" si="53"/>
        <v>Female</v>
      </c>
      <c r="I330" t="s">
        <v>1352</v>
      </c>
      <c r="J330" t="s">
        <v>1351</v>
      </c>
      <c r="K330" t="s">
        <v>59</v>
      </c>
      <c r="L330">
        <v>7662</v>
      </c>
      <c r="O330" t="s">
        <v>1350</v>
      </c>
      <c r="P330" s="45" t="str">
        <f t="shared" si="54"/>
        <v>aol</v>
      </c>
      <c r="Q330" t="s">
        <v>1349</v>
      </c>
      <c r="R330" s="45" t="str">
        <f t="shared" si="55"/>
        <v>973|727|8214</v>
      </c>
      <c r="S330" s="45" t="str">
        <f t="shared" si="56"/>
        <v>973</v>
      </c>
      <c r="T330" s="45" t="str">
        <f t="shared" si="57"/>
        <v>727</v>
      </c>
      <c r="U330" s="45" t="str">
        <f t="shared" si="58"/>
        <v>8214</v>
      </c>
      <c r="V330" s="2" t="s">
        <v>1348</v>
      </c>
      <c r="W330" s="45" t="str">
        <f t="shared" si="59"/>
        <v>7729</v>
      </c>
    </row>
    <row r="331" spans="1:23" x14ac:dyDescent="0.3">
      <c r="A331" t="s">
        <v>1347</v>
      </c>
      <c r="B331" s="45" t="str">
        <f t="shared" si="50"/>
        <v>Sebastian</v>
      </c>
      <c r="C331" t="s">
        <v>72</v>
      </c>
      <c r="D331" t="s">
        <v>335</v>
      </c>
      <c r="E331" s="45" t="str">
        <f t="shared" si="51"/>
        <v>Taylor</v>
      </c>
      <c r="F331" s="45" t="str">
        <f t="shared" si="52"/>
        <v>Sebastian E Taylor</v>
      </c>
      <c r="G331" t="s">
        <v>264</v>
      </c>
      <c r="H331" t="str">
        <f t="shared" si="53"/>
        <v>Male</v>
      </c>
      <c r="I331" t="s">
        <v>1346</v>
      </c>
      <c r="J331" t="s">
        <v>78</v>
      </c>
      <c r="K331" t="s">
        <v>57</v>
      </c>
      <c r="L331">
        <v>60623</v>
      </c>
      <c r="O331" t="s">
        <v>1345</v>
      </c>
      <c r="P331" s="45" t="str">
        <f t="shared" si="54"/>
        <v>hotmail</v>
      </c>
      <c r="Q331" t="s">
        <v>1344</v>
      </c>
      <c r="R331" s="45" t="str">
        <f t="shared" si="55"/>
        <v>773|521|9276</v>
      </c>
      <c r="S331" s="45" t="str">
        <f t="shared" si="56"/>
        <v>773</v>
      </c>
      <c r="T331" s="45" t="str">
        <f t="shared" si="57"/>
        <v>521</v>
      </c>
      <c r="U331" s="45" t="str">
        <f t="shared" si="58"/>
        <v>9276</v>
      </c>
      <c r="V331" s="2" t="s">
        <v>1343</v>
      </c>
      <c r="W331" s="45" t="str">
        <f t="shared" si="59"/>
        <v>5708</v>
      </c>
    </row>
    <row r="332" spans="1:23" x14ac:dyDescent="0.3">
      <c r="A332" t="s">
        <v>1342</v>
      </c>
      <c r="B332" s="45" t="str">
        <f t="shared" si="50"/>
        <v>Susie</v>
      </c>
      <c r="C332" t="s">
        <v>62</v>
      </c>
      <c r="D332" t="s">
        <v>1341</v>
      </c>
      <c r="E332" s="45" t="str">
        <f t="shared" si="51"/>
        <v>Robbins</v>
      </c>
      <c r="F332" s="45" t="str">
        <f t="shared" si="52"/>
        <v>Susie D Robbins</v>
      </c>
      <c r="G332" t="s">
        <v>241</v>
      </c>
      <c r="H332" t="str">
        <f t="shared" si="53"/>
        <v>Female</v>
      </c>
      <c r="I332" t="s">
        <v>1340</v>
      </c>
      <c r="J332" t="s">
        <v>1339</v>
      </c>
      <c r="K332" t="s">
        <v>64</v>
      </c>
      <c r="L332">
        <v>97401</v>
      </c>
      <c r="O332" t="s">
        <v>1338</v>
      </c>
      <c r="P332" s="45" t="str">
        <f t="shared" si="54"/>
        <v>hotmail</v>
      </c>
      <c r="Q332" t="s">
        <v>1337</v>
      </c>
      <c r="R332" s="45" t="str">
        <f t="shared" si="55"/>
        <v>541|236|2926</v>
      </c>
      <c r="S332" s="45" t="str">
        <f t="shared" si="56"/>
        <v>541</v>
      </c>
      <c r="T332" s="45" t="str">
        <f t="shared" si="57"/>
        <v>236</v>
      </c>
      <c r="U332" s="45" t="str">
        <f t="shared" si="58"/>
        <v>2926</v>
      </c>
      <c r="V332" s="2" t="s">
        <v>1336</v>
      </c>
      <c r="W332" s="45" t="str">
        <f t="shared" si="59"/>
        <v>9371</v>
      </c>
    </row>
    <row r="333" spans="1:23" x14ac:dyDescent="0.3">
      <c r="A333" t="s">
        <v>498</v>
      </c>
      <c r="B333" s="45" t="str">
        <f t="shared" si="50"/>
        <v>Mary</v>
      </c>
      <c r="C333" t="s">
        <v>69</v>
      </c>
      <c r="D333" t="s">
        <v>1335</v>
      </c>
      <c r="E333" s="45" t="str">
        <f t="shared" si="51"/>
        <v>Champagne</v>
      </c>
      <c r="F333" s="45" t="str">
        <f t="shared" si="52"/>
        <v>Mary H Champagne</v>
      </c>
      <c r="G333" t="s">
        <v>241</v>
      </c>
      <c r="H333" t="str">
        <f t="shared" si="53"/>
        <v>Female</v>
      </c>
      <c r="I333" t="s">
        <v>1334</v>
      </c>
      <c r="J333" t="s">
        <v>1333</v>
      </c>
      <c r="K333" t="s">
        <v>101</v>
      </c>
      <c r="L333">
        <v>19403</v>
      </c>
      <c r="O333" t="s">
        <v>1332</v>
      </c>
      <c r="P333" s="45" t="str">
        <f t="shared" si="54"/>
        <v>gmail</v>
      </c>
      <c r="Q333" t="s">
        <v>1331</v>
      </c>
      <c r="R333" s="45" t="str">
        <f t="shared" si="55"/>
        <v>484|253|4348</v>
      </c>
      <c r="S333" s="45" t="str">
        <f t="shared" si="56"/>
        <v>484</v>
      </c>
      <c r="T333" s="45" t="str">
        <f t="shared" si="57"/>
        <v>253</v>
      </c>
      <c r="U333" s="45" t="str">
        <f t="shared" si="58"/>
        <v>4348</v>
      </c>
      <c r="V333" s="2" t="s">
        <v>1330</v>
      </c>
      <c r="W333" s="45" t="str">
        <f t="shared" si="59"/>
        <v>0069</v>
      </c>
    </row>
    <row r="334" spans="1:23" x14ac:dyDescent="0.3">
      <c r="A334" t="s">
        <v>1329</v>
      </c>
      <c r="B334" s="45" t="str">
        <f t="shared" si="50"/>
        <v>Katrina</v>
      </c>
      <c r="C334" t="s">
        <v>77</v>
      </c>
      <c r="D334" t="s">
        <v>1170</v>
      </c>
      <c r="E334" s="45" t="str">
        <f t="shared" si="51"/>
        <v>Ramirez</v>
      </c>
      <c r="F334" s="45" t="str">
        <f t="shared" si="52"/>
        <v>Katrina C Ramirez</v>
      </c>
      <c r="G334" t="s">
        <v>241</v>
      </c>
      <c r="H334" t="str">
        <f t="shared" si="53"/>
        <v>Female</v>
      </c>
      <c r="I334" t="s">
        <v>1328</v>
      </c>
      <c r="J334" t="s">
        <v>1327</v>
      </c>
      <c r="K334" t="s">
        <v>79</v>
      </c>
      <c r="L334">
        <v>33176</v>
      </c>
      <c r="O334" t="s">
        <v>1326</v>
      </c>
      <c r="P334" s="45" t="str">
        <f t="shared" si="54"/>
        <v>aol</v>
      </c>
      <c r="Q334" t="s">
        <v>1325</v>
      </c>
      <c r="R334" s="45" t="str">
        <f t="shared" si="55"/>
        <v>305|275|4698</v>
      </c>
      <c r="S334" s="45" t="str">
        <f t="shared" si="56"/>
        <v>305</v>
      </c>
      <c r="T334" s="45" t="str">
        <f t="shared" si="57"/>
        <v>275</v>
      </c>
      <c r="U334" s="45" t="str">
        <f t="shared" si="58"/>
        <v>4698</v>
      </c>
      <c r="V334" s="2" t="s">
        <v>1324</v>
      </c>
      <c r="W334" s="45" t="str">
        <f t="shared" si="59"/>
        <v>492</v>
      </c>
    </row>
    <row r="335" spans="1:23" x14ac:dyDescent="0.3">
      <c r="A335" t="s">
        <v>1323</v>
      </c>
      <c r="B335" s="45" t="str">
        <f t="shared" si="50"/>
        <v>Rebecca</v>
      </c>
      <c r="C335" t="s">
        <v>60</v>
      </c>
      <c r="D335" t="s">
        <v>1322</v>
      </c>
      <c r="E335" s="45" t="str">
        <f t="shared" si="51"/>
        <v>Lamoreaux</v>
      </c>
      <c r="F335" s="45" t="str">
        <f t="shared" si="52"/>
        <v>Rebecca M Lamoreaux</v>
      </c>
      <c r="G335" t="s">
        <v>241</v>
      </c>
      <c r="H335" t="str">
        <f t="shared" si="53"/>
        <v>Female</v>
      </c>
      <c r="I335" t="s">
        <v>1321</v>
      </c>
      <c r="J335" t="s">
        <v>1320</v>
      </c>
      <c r="K335" t="s">
        <v>92</v>
      </c>
      <c r="L335">
        <v>63141</v>
      </c>
      <c r="O335" t="s">
        <v>1319</v>
      </c>
      <c r="P335" s="45" t="str">
        <f t="shared" si="54"/>
        <v>gmail</v>
      </c>
      <c r="Q335" t="s">
        <v>1318</v>
      </c>
      <c r="R335" s="45" t="str">
        <f t="shared" si="55"/>
        <v>636|794|2632</v>
      </c>
      <c r="S335" s="45" t="str">
        <f t="shared" si="56"/>
        <v>636</v>
      </c>
      <c r="T335" s="45" t="str">
        <f t="shared" si="57"/>
        <v>794</v>
      </c>
      <c r="U335" s="45" t="str">
        <f t="shared" si="58"/>
        <v>2632</v>
      </c>
      <c r="V335" s="2" t="s">
        <v>1317</v>
      </c>
      <c r="W335" s="45" t="str">
        <f t="shared" si="59"/>
        <v>0156</v>
      </c>
    </row>
    <row r="336" spans="1:23" x14ac:dyDescent="0.3">
      <c r="A336" t="s">
        <v>847</v>
      </c>
      <c r="B336" s="45" t="str">
        <f t="shared" si="50"/>
        <v>Glenn</v>
      </c>
      <c r="C336" t="s">
        <v>91</v>
      </c>
      <c r="D336" t="s">
        <v>1316</v>
      </c>
      <c r="E336" s="45" t="str">
        <f t="shared" si="51"/>
        <v>Sharp</v>
      </c>
      <c r="F336" s="45" t="str">
        <f t="shared" si="52"/>
        <v>Glenn L Sharp</v>
      </c>
      <c r="G336" t="s">
        <v>264</v>
      </c>
      <c r="H336" t="str">
        <f t="shared" si="53"/>
        <v>Male</v>
      </c>
      <c r="I336" t="s">
        <v>1315</v>
      </c>
      <c r="J336" t="s">
        <v>1314</v>
      </c>
      <c r="K336" t="s">
        <v>80</v>
      </c>
      <c r="L336">
        <v>68801</v>
      </c>
      <c r="O336" t="s">
        <v>1313</v>
      </c>
      <c r="P336" s="45" t="str">
        <f t="shared" si="54"/>
        <v>hotmail</v>
      </c>
      <c r="Q336" t="s">
        <v>1312</v>
      </c>
      <c r="R336" s="45" t="str">
        <f t="shared" si="55"/>
        <v>402|851|3045</v>
      </c>
      <c r="S336" s="45" t="str">
        <f t="shared" si="56"/>
        <v>402</v>
      </c>
      <c r="T336" s="45" t="str">
        <f t="shared" si="57"/>
        <v>851</v>
      </c>
      <c r="U336" s="45" t="str">
        <f t="shared" si="58"/>
        <v>3045</v>
      </c>
      <c r="V336" s="2" t="s">
        <v>1311</v>
      </c>
      <c r="W336" s="45" t="str">
        <f t="shared" si="59"/>
        <v>054</v>
      </c>
    </row>
    <row r="337" spans="1:23" x14ac:dyDescent="0.3">
      <c r="A337" t="s">
        <v>1310</v>
      </c>
      <c r="B337" s="45" t="str">
        <f t="shared" si="50"/>
        <v>Daren</v>
      </c>
      <c r="C337" t="s">
        <v>91</v>
      </c>
      <c r="D337" t="s">
        <v>522</v>
      </c>
      <c r="E337" s="45" t="str">
        <f t="shared" si="51"/>
        <v>Jacobs</v>
      </c>
      <c r="F337" s="45" t="str">
        <f t="shared" si="52"/>
        <v>Daren L Jacobs</v>
      </c>
      <c r="G337" t="s">
        <v>264</v>
      </c>
      <c r="H337" t="str">
        <f t="shared" si="53"/>
        <v>Male</v>
      </c>
      <c r="I337" t="s">
        <v>1309</v>
      </c>
      <c r="J337" t="s">
        <v>859</v>
      </c>
      <c r="K337" t="s">
        <v>119</v>
      </c>
      <c r="L337">
        <v>10573</v>
      </c>
      <c r="O337" t="s">
        <v>1308</v>
      </c>
      <c r="P337" s="45" t="str">
        <f t="shared" si="54"/>
        <v>aol</v>
      </c>
      <c r="Q337" t="s">
        <v>1307</v>
      </c>
      <c r="R337" s="45" t="str">
        <f t="shared" si="55"/>
        <v>203|531|9965</v>
      </c>
      <c r="S337" s="45" t="str">
        <f t="shared" si="56"/>
        <v>203</v>
      </c>
      <c r="T337" s="45" t="str">
        <f t="shared" si="57"/>
        <v>531</v>
      </c>
      <c r="U337" s="45" t="str">
        <f t="shared" si="58"/>
        <v>9965</v>
      </c>
      <c r="V337" s="2" t="s">
        <v>1306</v>
      </c>
      <c r="W337" s="45" t="str">
        <f t="shared" si="59"/>
        <v>399</v>
      </c>
    </row>
    <row r="338" spans="1:23" x14ac:dyDescent="0.3">
      <c r="A338" t="s">
        <v>1305</v>
      </c>
      <c r="B338" s="45" t="str">
        <f t="shared" si="50"/>
        <v>Rebekah</v>
      </c>
      <c r="C338" t="s">
        <v>243</v>
      </c>
      <c r="D338" t="s">
        <v>1304</v>
      </c>
      <c r="E338" s="45" t="str">
        <f t="shared" si="51"/>
        <v>Sparling</v>
      </c>
      <c r="F338" s="45" t="str">
        <f t="shared" si="52"/>
        <v>Rebekah R Sparling</v>
      </c>
      <c r="G338" t="s">
        <v>241</v>
      </c>
      <c r="H338" t="str">
        <f t="shared" si="53"/>
        <v>Female</v>
      </c>
      <c r="I338" t="s">
        <v>1303</v>
      </c>
      <c r="J338" t="s">
        <v>1302</v>
      </c>
      <c r="K338" t="s">
        <v>59</v>
      </c>
      <c r="L338">
        <v>8102</v>
      </c>
      <c r="O338" t="s">
        <v>1301</v>
      </c>
      <c r="P338" s="45" t="str">
        <f t="shared" si="54"/>
        <v>aol</v>
      </c>
      <c r="Q338" t="s">
        <v>1300</v>
      </c>
      <c r="R338" s="45" t="str">
        <f t="shared" si="55"/>
        <v>609|235|2740</v>
      </c>
      <c r="S338" s="45" t="str">
        <f t="shared" si="56"/>
        <v>609</v>
      </c>
      <c r="T338" s="45" t="str">
        <f t="shared" si="57"/>
        <v>235</v>
      </c>
      <c r="U338" s="45" t="str">
        <f t="shared" si="58"/>
        <v>2740</v>
      </c>
      <c r="V338" s="2" t="s">
        <v>1299</v>
      </c>
      <c r="W338" s="45" t="str">
        <f t="shared" si="59"/>
        <v>291</v>
      </c>
    </row>
    <row r="339" spans="1:23" x14ac:dyDescent="0.3">
      <c r="A339" t="s">
        <v>1298</v>
      </c>
      <c r="B339" s="45" t="str">
        <f t="shared" si="50"/>
        <v>Irene</v>
      </c>
      <c r="C339" t="s">
        <v>93</v>
      </c>
      <c r="D339" t="s">
        <v>1297</v>
      </c>
      <c r="E339" s="45" t="str">
        <f t="shared" si="51"/>
        <v>Green</v>
      </c>
      <c r="F339" s="45" t="str">
        <f t="shared" si="52"/>
        <v>Irene G Green</v>
      </c>
      <c r="G339" t="s">
        <v>241</v>
      </c>
      <c r="H339" t="str">
        <f t="shared" si="53"/>
        <v>Female</v>
      </c>
      <c r="I339" t="s">
        <v>1296</v>
      </c>
      <c r="J339" t="s">
        <v>1295</v>
      </c>
      <c r="K339" t="s">
        <v>66</v>
      </c>
      <c r="L339">
        <v>74135</v>
      </c>
      <c r="O339" t="s">
        <v>1294</v>
      </c>
      <c r="P339" s="45" t="str">
        <f t="shared" si="54"/>
        <v>gmail</v>
      </c>
      <c r="Q339" t="s">
        <v>1293</v>
      </c>
      <c r="R339" s="45" t="str">
        <f t="shared" si="55"/>
        <v>830|275|3683</v>
      </c>
      <c r="S339" s="45" t="str">
        <f t="shared" si="56"/>
        <v>830</v>
      </c>
      <c r="T339" s="45" t="str">
        <f t="shared" si="57"/>
        <v>275</v>
      </c>
      <c r="U339" s="45" t="str">
        <f t="shared" si="58"/>
        <v>3683</v>
      </c>
      <c r="V339" s="2" t="s">
        <v>1292</v>
      </c>
      <c r="W339" s="45" t="str">
        <f t="shared" si="59"/>
        <v>8920</v>
      </c>
    </row>
    <row r="340" spans="1:23" x14ac:dyDescent="0.3">
      <c r="A340" t="s">
        <v>1291</v>
      </c>
      <c r="B340" s="45" t="str">
        <f t="shared" si="50"/>
        <v>Lynn</v>
      </c>
      <c r="C340" t="s">
        <v>1290</v>
      </c>
      <c r="D340" t="s">
        <v>1289</v>
      </c>
      <c r="E340" s="45" t="str">
        <f t="shared" si="51"/>
        <v>Cass</v>
      </c>
      <c r="F340" s="45" t="str">
        <f t="shared" si="52"/>
        <v>Lynn Y Cass</v>
      </c>
      <c r="G340" t="s">
        <v>264</v>
      </c>
      <c r="H340" t="str">
        <f t="shared" si="53"/>
        <v>Male</v>
      </c>
      <c r="I340" t="s">
        <v>1288</v>
      </c>
      <c r="J340" t="s">
        <v>1287</v>
      </c>
      <c r="K340" t="s">
        <v>74</v>
      </c>
      <c r="L340">
        <v>48420</v>
      </c>
      <c r="O340" t="s">
        <v>1286</v>
      </c>
      <c r="P340" s="45" t="str">
        <f t="shared" si="54"/>
        <v>gmail</v>
      </c>
      <c r="Q340" t="s">
        <v>1285</v>
      </c>
      <c r="R340" s="45" t="str">
        <f t="shared" si="55"/>
        <v>810|687|4690</v>
      </c>
      <c r="S340" s="45" t="str">
        <f t="shared" si="56"/>
        <v>810</v>
      </c>
      <c r="T340" s="45" t="str">
        <f t="shared" si="57"/>
        <v>687</v>
      </c>
      <c r="U340" s="45" t="str">
        <f t="shared" si="58"/>
        <v>4690</v>
      </c>
      <c r="V340" s="2" t="s">
        <v>1284</v>
      </c>
      <c r="W340" s="45" t="str">
        <f t="shared" si="59"/>
        <v>5025</v>
      </c>
    </row>
    <row r="341" spans="1:23" x14ac:dyDescent="0.3">
      <c r="A341" t="s">
        <v>1283</v>
      </c>
      <c r="B341" s="45" t="str">
        <f t="shared" si="50"/>
        <v>Sue</v>
      </c>
      <c r="C341" t="s">
        <v>56</v>
      </c>
      <c r="D341" t="s">
        <v>1282</v>
      </c>
      <c r="E341" s="45" t="str">
        <f t="shared" si="51"/>
        <v>Rojas</v>
      </c>
      <c r="F341" s="45" t="str">
        <f t="shared" si="52"/>
        <v>Sue J Rojas</v>
      </c>
      <c r="G341" t="s">
        <v>241</v>
      </c>
      <c r="H341" t="str">
        <f t="shared" si="53"/>
        <v>Female</v>
      </c>
      <c r="I341" t="s">
        <v>1281</v>
      </c>
      <c r="J341" t="s">
        <v>1124</v>
      </c>
      <c r="K341" t="s">
        <v>68</v>
      </c>
      <c r="L341">
        <v>13202</v>
      </c>
      <c r="O341" t="s">
        <v>1280</v>
      </c>
      <c r="P341" s="45" t="str">
        <f t="shared" si="54"/>
        <v>hotmail</v>
      </c>
      <c r="Q341" t="s">
        <v>1279</v>
      </c>
      <c r="R341" s="45" t="str">
        <f t="shared" si="55"/>
        <v>315|703|0136</v>
      </c>
      <c r="S341" s="45" t="str">
        <f t="shared" si="56"/>
        <v>315</v>
      </c>
      <c r="T341" s="45" t="str">
        <f t="shared" si="57"/>
        <v>703</v>
      </c>
      <c r="U341" s="45" t="str">
        <f t="shared" si="58"/>
        <v>0136</v>
      </c>
      <c r="V341" s="2" t="s">
        <v>1278</v>
      </c>
      <c r="W341" s="45" t="str">
        <f t="shared" si="59"/>
        <v>872</v>
      </c>
    </row>
    <row r="342" spans="1:23" x14ac:dyDescent="0.3">
      <c r="A342" t="s">
        <v>1277</v>
      </c>
      <c r="B342" s="45" t="str">
        <f t="shared" si="50"/>
        <v>Eulalia</v>
      </c>
      <c r="C342" t="s">
        <v>243</v>
      </c>
      <c r="D342" t="s">
        <v>1276</v>
      </c>
      <c r="E342" s="45" t="str">
        <f t="shared" si="51"/>
        <v>Miller</v>
      </c>
      <c r="F342" s="45" t="str">
        <f t="shared" si="52"/>
        <v>Eulalia R Miller</v>
      </c>
      <c r="G342" t="s">
        <v>241</v>
      </c>
      <c r="H342" t="str">
        <f t="shared" si="53"/>
        <v>Female</v>
      </c>
      <c r="I342" t="s">
        <v>1275</v>
      </c>
      <c r="J342" t="s">
        <v>51</v>
      </c>
      <c r="K342" t="s">
        <v>61</v>
      </c>
      <c r="L342">
        <v>20005</v>
      </c>
      <c r="O342" t="s">
        <v>1274</v>
      </c>
      <c r="P342" s="45" t="str">
        <f t="shared" si="54"/>
        <v>aol</v>
      </c>
      <c r="Q342" t="s">
        <v>1273</v>
      </c>
      <c r="R342" s="45" t="str">
        <f t="shared" si="55"/>
        <v>703|579|7053</v>
      </c>
      <c r="S342" s="45" t="str">
        <f t="shared" si="56"/>
        <v>703</v>
      </c>
      <c r="T342" s="45" t="str">
        <f t="shared" si="57"/>
        <v>579</v>
      </c>
      <c r="U342" s="45" t="str">
        <f t="shared" si="58"/>
        <v>7053</v>
      </c>
      <c r="V342" s="2" t="s">
        <v>1272</v>
      </c>
      <c r="W342" s="45" t="str">
        <f t="shared" si="59"/>
        <v>9778</v>
      </c>
    </row>
    <row r="343" spans="1:23" x14ac:dyDescent="0.3">
      <c r="A343" t="s">
        <v>1271</v>
      </c>
      <c r="B343" s="45" t="str">
        <f t="shared" si="50"/>
        <v>Sandra</v>
      </c>
      <c r="C343" t="s">
        <v>81</v>
      </c>
      <c r="D343" t="s">
        <v>1270</v>
      </c>
      <c r="E343" s="45" t="str">
        <f t="shared" si="51"/>
        <v>Spinks</v>
      </c>
      <c r="F343" s="45" t="str">
        <f t="shared" si="52"/>
        <v>Sandra A Spinks</v>
      </c>
      <c r="G343" t="s">
        <v>241</v>
      </c>
      <c r="H343" t="str">
        <f t="shared" si="53"/>
        <v>Female</v>
      </c>
      <c r="I343" t="s">
        <v>1269</v>
      </c>
      <c r="J343" t="s">
        <v>1268</v>
      </c>
      <c r="K343" t="s">
        <v>68</v>
      </c>
      <c r="L343">
        <v>14036</v>
      </c>
      <c r="O343" t="s">
        <v>1267</v>
      </c>
      <c r="P343" s="45" t="str">
        <f t="shared" si="54"/>
        <v>hotmail</v>
      </c>
      <c r="Q343" t="s">
        <v>1266</v>
      </c>
      <c r="R343" s="45" t="str">
        <f t="shared" si="55"/>
        <v>585|599|9996</v>
      </c>
      <c r="S343" s="45" t="str">
        <f t="shared" si="56"/>
        <v>585</v>
      </c>
      <c r="T343" s="45" t="str">
        <f t="shared" si="57"/>
        <v>599</v>
      </c>
      <c r="U343" s="45" t="str">
        <f t="shared" si="58"/>
        <v>9996</v>
      </c>
      <c r="V343" s="2" t="s">
        <v>1265</v>
      </c>
      <c r="W343" s="45" t="str">
        <f t="shared" si="59"/>
        <v>4585</v>
      </c>
    </row>
    <row r="344" spans="1:23" x14ac:dyDescent="0.3">
      <c r="A344" t="s">
        <v>1264</v>
      </c>
      <c r="B344" s="45" t="str">
        <f t="shared" si="50"/>
        <v>Miranda</v>
      </c>
      <c r="C344" t="s">
        <v>1011</v>
      </c>
      <c r="D344" t="s">
        <v>455</v>
      </c>
      <c r="E344" s="45" t="str">
        <f t="shared" si="51"/>
        <v>Johnson</v>
      </c>
      <c r="F344" s="45" t="str">
        <f t="shared" si="52"/>
        <v>Miranda V Johnson</v>
      </c>
      <c r="G344" t="s">
        <v>241</v>
      </c>
      <c r="H344" t="str">
        <f t="shared" si="53"/>
        <v>Female</v>
      </c>
      <c r="I344" t="s">
        <v>1263</v>
      </c>
      <c r="J344" t="s">
        <v>1262</v>
      </c>
      <c r="K344" t="s">
        <v>85</v>
      </c>
      <c r="L344">
        <v>27925</v>
      </c>
      <c r="O344" t="s">
        <v>1261</v>
      </c>
      <c r="P344" s="45" t="str">
        <f t="shared" si="54"/>
        <v>hotmail</v>
      </c>
      <c r="Q344" t="s">
        <v>1260</v>
      </c>
      <c r="R344" s="45" t="str">
        <f t="shared" si="55"/>
        <v>252|796|7464</v>
      </c>
      <c r="S344" s="45" t="str">
        <f t="shared" si="56"/>
        <v>252</v>
      </c>
      <c r="T344" s="45" t="str">
        <f t="shared" si="57"/>
        <v>796</v>
      </c>
      <c r="U344" s="45" t="str">
        <f t="shared" si="58"/>
        <v>7464</v>
      </c>
      <c r="V344" s="2" t="s">
        <v>1259</v>
      </c>
      <c r="W344" s="45" t="str">
        <f t="shared" si="59"/>
        <v>5813</v>
      </c>
    </row>
    <row r="345" spans="1:23" x14ac:dyDescent="0.3">
      <c r="A345" t="s">
        <v>756</v>
      </c>
      <c r="B345" s="45" t="str">
        <f t="shared" si="50"/>
        <v>Robert</v>
      </c>
      <c r="C345" t="s">
        <v>65</v>
      </c>
      <c r="D345" t="s">
        <v>1258</v>
      </c>
      <c r="E345" s="45" t="str">
        <f t="shared" si="51"/>
        <v>Eiland</v>
      </c>
      <c r="F345" s="45" t="str">
        <f t="shared" si="52"/>
        <v>Robert K Eiland</v>
      </c>
      <c r="G345" t="s">
        <v>264</v>
      </c>
      <c r="H345" t="str">
        <f t="shared" si="53"/>
        <v>Male</v>
      </c>
      <c r="I345" t="s">
        <v>1257</v>
      </c>
      <c r="J345" t="s">
        <v>1256</v>
      </c>
      <c r="K345" t="s">
        <v>115</v>
      </c>
      <c r="L345">
        <v>72205</v>
      </c>
      <c r="O345" t="s">
        <v>1255</v>
      </c>
      <c r="P345" s="45" t="str">
        <f t="shared" si="54"/>
        <v>gmail</v>
      </c>
      <c r="Q345" t="s">
        <v>1254</v>
      </c>
      <c r="R345" s="45" t="str">
        <f t="shared" si="55"/>
        <v>501|615|9324</v>
      </c>
      <c r="S345" s="45" t="str">
        <f t="shared" si="56"/>
        <v>501</v>
      </c>
      <c r="T345" s="45" t="str">
        <f t="shared" si="57"/>
        <v>615</v>
      </c>
      <c r="U345" s="45" t="str">
        <f t="shared" si="58"/>
        <v>9324</v>
      </c>
      <c r="V345" s="2" t="s">
        <v>1253</v>
      </c>
      <c r="W345" s="45" t="str">
        <f t="shared" si="59"/>
        <v>746</v>
      </c>
    </row>
    <row r="346" spans="1:23" x14ac:dyDescent="0.3">
      <c r="A346" t="s">
        <v>1252</v>
      </c>
      <c r="B346" s="45" t="str">
        <f t="shared" si="50"/>
        <v>Catherine</v>
      </c>
      <c r="C346" t="s">
        <v>56</v>
      </c>
      <c r="D346" t="s">
        <v>1251</v>
      </c>
      <c r="E346" s="45" t="str">
        <f t="shared" si="51"/>
        <v>Sappington</v>
      </c>
      <c r="F346" s="45" t="str">
        <f t="shared" si="52"/>
        <v>Catherine J Sappington</v>
      </c>
      <c r="G346" t="s">
        <v>241</v>
      </c>
      <c r="H346" t="str">
        <f t="shared" si="53"/>
        <v>Female</v>
      </c>
      <c r="I346" t="s">
        <v>1250</v>
      </c>
      <c r="J346" t="s">
        <v>1249</v>
      </c>
      <c r="K346" t="s">
        <v>74</v>
      </c>
      <c r="L346">
        <v>48708</v>
      </c>
      <c r="O346" t="s">
        <v>1248</v>
      </c>
      <c r="P346" s="45" t="str">
        <f t="shared" si="54"/>
        <v>hotmail</v>
      </c>
      <c r="Q346" t="s">
        <v>1247</v>
      </c>
      <c r="R346" s="45" t="str">
        <f t="shared" si="55"/>
        <v>989|894|4769</v>
      </c>
      <c r="S346" s="45" t="str">
        <f t="shared" si="56"/>
        <v>989</v>
      </c>
      <c r="T346" s="45" t="str">
        <f t="shared" si="57"/>
        <v>894</v>
      </c>
      <c r="U346" s="45" t="str">
        <f t="shared" si="58"/>
        <v>4769</v>
      </c>
      <c r="V346" s="2" t="s">
        <v>1246</v>
      </c>
      <c r="W346" s="45" t="str">
        <f t="shared" si="59"/>
        <v>191</v>
      </c>
    </row>
    <row r="347" spans="1:23" x14ac:dyDescent="0.3">
      <c r="A347" t="s">
        <v>1245</v>
      </c>
      <c r="B347" s="45" t="str">
        <f t="shared" si="50"/>
        <v>Brianna</v>
      </c>
      <c r="C347" t="s">
        <v>62</v>
      </c>
      <c r="D347" t="s">
        <v>1244</v>
      </c>
      <c r="E347" s="45" t="str">
        <f t="shared" si="51"/>
        <v>Higgins</v>
      </c>
      <c r="F347" s="45" t="str">
        <f t="shared" si="52"/>
        <v>Brianna D Higgins</v>
      </c>
      <c r="G347" t="s">
        <v>241</v>
      </c>
      <c r="H347" t="str">
        <f t="shared" si="53"/>
        <v>Female</v>
      </c>
      <c r="I347" t="s">
        <v>1243</v>
      </c>
      <c r="J347" t="s">
        <v>78</v>
      </c>
      <c r="K347" t="s">
        <v>99</v>
      </c>
      <c r="L347">
        <v>60631</v>
      </c>
      <c r="O347" t="s">
        <v>1242</v>
      </c>
      <c r="P347" s="45" t="str">
        <f t="shared" si="54"/>
        <v>hotmail</v>
      </c>
      <c r="Q347" t="s">
        <v>1241</v>
      </c>
      <c r="R347" s="45" t="str">
        <f t="shared" si="55"/>
        <v>219|308|7382</v>
      </c>
      <c r="S347" s="45" t="str">
        <f t="shared" si="56"/>
        <v>219</v>
      </c>
      <c r="T347" s="45" t="str">
        <f t="shared" si="57"/>
        <v>308</v>
      </c>
      <c r="U347" s="45" t="str">
        <f t="shared" si="58"/>
        <v>7382</v>
      </c>
      <c r="V347" s="2" t="s">
        <v>1240</v>
      </c>
      <c r="W347" s="45" t="str">
        <f t="shared" si="59"/>
        <v>418</v>
      </c>
    </row>
    <row r="348" spans="1:23" x14ac:dyDescent="0.3">
      <c r="A348" t="s">
        <v>1239</v>
      </c>
      <c r="B348" s="45" t="str">
        <f t="shared" si="50"/>
        <v>Luis</v>
      </c>
      <c r="C348" t="s">
        <v>65</v>
      </c>
      <c r="D348" t="s">
        <v>1238</v>
      </c>
      <c r="E348" s="45" t="str">
        <f t="shared" si="51"/>
        <v>Stokes</v>
      </c>
      <c r="F348" s="45" t="str">
        <f t="shared" si="52"/>
        <v>Luis K Stokes</v>
      </c>
      <c r="G348" t="s">
        <v>264</v>
      </c>
      <c r="H348" t="str">
        <f t="shared" si="53"/>
        <v>Male</v>
      </c>
      <c r="I348" t="s">
        <v>1237</v>
      </c>
      <c r="J348" t="s">
        <v>78</v>
      </c>
      <c r="K348" t="s">
        <v>57</v>
      </c>
      <c r="L348">
        <v>60607</v>
      </c>
      <c r="O348" t="s">
        <v>1236</v>
      </c>
      <c r="P348" s="45" t="str">
        <f t="shared" si="54"/>
        <v>aol</v>
      </c>
      <c r="Q348" t="s">
        <v>1235</v>
      </c>
      <c r="R348" s="45" t="str">
        <f t="shared" si="55"/>
        <v>312|432|5580</v>
      </c>
      <c r="S348" s="45" t="str">
        <f t="shared" si="56"/>
        <v>312</v>
      </c>
      <c r="T348" s="45" t="str">
        <f t="shared" si="57"/>
        <v>432</v>
      </c>
      <c r="U348" s="45" t="str">
        <f t="shared" si="58"/>
        <v>5580</v>
      </c>
      <c r="V348" s="2" t="s">
        <v>1234</v>
      </c>
      <c r="W348" s="45" t="str">
        <f t="shared" si="59"/>
        <v>6259</v>
      </c>
    </row>
    <row r="349" spans="1:23" x14ac:dyDescent="0.3">
      <c r="A349" t="s">
        <v>1233</v>
      </c>
      <c r="B349" s="45" t="str">
        <f t="shared" si="50"/>
        <v>Russ</v>
      </c>
      <c r="C349" t="s">
        <v>93</v>
      </c>
      <c r="D349" t="s">
        <v>1232</v>
      </c>
      <c r="E349" s="45" t="str">
        <f t="shared" si="51"/>
        <v>Morrison</v>
      </c>
      <c r="F349" s="45" t="str">
        <f t="shared" si="52"/>
        <v>Russ G Morrison</v>
      </c>
      <c r="G349" t="s">
        <v>264</v>
      </c>
      <c r="H349" t="str">
        <f t="shared" si="53"/>
        <v>Male</v>
      </c>
      <c r="I349" t="s">
        <v>1231</v>
      </c>
      <c r="J349" t="s">
        <v>36</v>
      </c>
      <c r="K349" t="s">
        <v>68</v>
      </c>
      <c r="L349">
        <v>10007</v>
      </c>
      <c r="O349" t="s">
        <v>1230</v>
      </c>
      <c r="P349" s="45" t="str">
        <f t="shared" si="54"/>
        <v>aol</v>
      </c>
      <c r="Q349" t="s">
        <v>1229</v>
      </c>
      <c r="R349" s="45" t="str">
        <f t="shared" si="55"/>
        <v>917|678|5295</v>
      </c>
      <c r="S349" s="45" t="str">
        <f t="shared" si="56"/>
        <v>917</v>
      </c>
      <c r="T349" s="45" t="str">
        <f t="shared" si="57"/>
        <v>678</v>
      </c>
      <c r="U349" s="45" t="str">
        <f t="shared" si="58"/>
        <v>5295</v>
      </c>
      <c r="V349" s="2" t="s">
        <v>1228</v>
      </c>
      <c r="W349" s="45" t="str">
        <f t="shared" si="59"/>
        <v>3879</v>
      </c>
    </row>
    <row r="350" spans="1:23" x14ac:dyDescent="0.3">
      <c r="A350" t="s">
        <v>1227</v>
      </c>
      <c r="B350" s="45" t="str">
        <f t="shared" si="50"/>
        <v>Carlotta</v>
      </c>
      <c r="C350" t="s">
        <v>77</v>
      </c>
      <c r="D350" t="s">
        <v>1226</v>
      </c>
      <c r="E350" s="45" t="str">
        <f t="shared" si="51"/>
        <v>Chamberlain</v>
      </c>
      <c r="F350" s="45" t="str">
        <f t="shared" si="52"/>
        <v>Carlotta C Chamberlain</v>
      </c>
      <c r="G350" t="s">
        <v>241</v>
      </c>
      <c r="H350" t="str">
        <f t="shared" si="53"/>
        <v>Female</v>
      </c>
      <c r="I350" t="s">
        <v>1225</v>
      </c>
      <c r="J350" t="s">
        <v>1224</v>
      </c>
      <c r="K350" t="s">
        <v>101</v>
      </c>
      <c r="L350">
        <v>15222</v>
      </c>
      <c r="O350" t="s">
        <v>1223</v>
      </c>
      <c r="P350" s="45" t="str">
        <f t="shared" si="54"/>
        <v>hotmail</v>
      </c>
      <c r="Q350" t="s">
        <v>1222</v>
      </c>
      <c r="R350" s="45" t="str">
        <f t="shared" si="55"/>
        <v>412|216|9115</v>
      </c>
      <c r="S350" s="45" t="str">
        <f t="shared" si="56"/>
        <v>412</v>
      </c>
      <c r="T350" s="45" t="str">
        <f t="shared" si="57"/>
        <v>216</v>
      </c>
      <c r="U350" s="45" t="str">
        <f t="shared" si="58"/>
        <v>9115</v>
      </c>
      <c r="V350" s="2" t="s">
        <v>1221</v>
      </c>
      <c r="W350" s="45" t="str">
        <f t="shared" si="59"/>
        <v>9804</v>
      </c>
    </row>
    <row r="351" spans="1:23" x14ac:dyDescent="0.3">
      <c r="A351" t="s">
        <v>1220</v>
      </c>
      <c r="B351" s="45" t="str">
        <f t="shared" si="50"/>
        <v>Stanley</v>
      </c>
      <c r="C351" t="s">
        <v>81</v>
      </c>
      <c r="D351" t="s">
        <v>1219</v>
      </c>
      <c r="E351" s="45" t="str">
        <f t="shared" si="51"/>
        <v>Vinson</v>
      </c>
      <c r="F351" s="45" t="str">
        <f t="shared" si="52"/>
        <v>Stanley A Vinson</v>
      </c>
      <c r="G351" t="s">
        <v>264</v>
      </c>
      <c r="H351" t="str">
        <f t="shared" si="53"/>
        <v>Male</v>
      </c>
      <c r="I351" t="s">
        <v>1218</v>
      </c>
      <c r="J351" t="s">
        <v>262</v>
      </c>
      <c r="K351" t="s">
        <v>63</v>
      </c>
      <c r="L351">
        <v>70601</v>
      </c>
      <c r="O351" t="s">
        <v>1217</v>
      </c>
      <c r="P351" s="45" t="str">
        <f t="shared" si="54"/>
        <v>aol</v>
      </c>
      <c r="Q351" t="s">
        <v>1216</v>
      </c>
      <c r="R351" s="45" t="str">
        <f t="shared" si="55"/>
        <v>337|505|6275</v>
      </c>
      <c r="S351" s="45" t="str">
        <f t="shared" si="56"/>
        <v>337</v>
      </c>
      <c r="T351" s="45" t="str">
        <f t="shared" si="57"/>
        <v>505</v>
      </c>
      <c r="U351" s="45" t="str">
        <f t="shared" si="58"/>
        <v>6275</v>
      </c>
      <c r="V351" s="2" t="s">
        <v>1215</v>
      </c>
      <c r="W351" s="45" t="str">
        <f t="shared" si="59"/>
        <v>379</v>
      </c>
    </row>
    <row r="352" spans="1:23" x14ac:dyDescent="0.3">
      <c r="A352" t="s">
        <v>1214</v>
      </c>
      <c r="B352" s="45" t="str">
        <f t="shared" si="50"/>
        <v>Vern</v>
      </c>
      <c r="C352" t="s">
        <v>93</v>
      </c>
      <c r="D352" t="s">
        <v>1213</v>
      </c>
      <c r="E352" s="45" t="str">
        <f t="shared" si="51"/>
        <v>Ripple</v>
      </c>
      <c r="F352" s="45" t="str">
        <f t="shared" si="52"/>
        <v>Vern G Ripple</v>
      </c>
      <c r="G352" t="s">
        <v>264</v>
      </c>
      <c r="H352" t="str">
        <f t="shared" si="53"/>
        <v>Male</v>
      </c>
      <c r="I352" t="s">
        <v>1212</v>
      </c>
      <c r="J352" t="s">
        <v>942</v>
      </c>
      <c r="K352" t="s">
        <v>118</v>
      </c>
      <c r="L352">
        <v>89109</v>
      </c>
      <c r="O352" t="s">
        <v>1211</v>
      </c>
      <c r="P352" s="45" t="str">
        <f t="shared" si="54"/>
        <v>gmail</v>
      </c>
      <c r="Q352" t="s">
        <v>1210</v>
      </c>
      <c r="R352" s="45" t="str">
        <f t="shared" si="55"/>
        <v>702|681|1168</v>
      </c>
      <c r="S352" s="45" t="str">
        <f t="shared" si="56"/>
        <v>702</v>
      </c>
      <c r="T352" s="45" t="str">
        <f t="shared" si="57"/>
        <v>681</v>
      </c>
      <c r="U352" s="45" t="str">
        <f t="shared" si="58"/>
        <v>1168</v>
      </c>
      <c r="V352" s="2" t="s">
        <v>1209</v>
      </c>
      <c r="W352" s="45" t="str">
        <f t="shared" si="59"/>
        <v>384</v>
      </c>
    </row>
    <row r="353" spans="1:23" x14ac:dyDescent="0.3">
      <c r="A353" t="s">
        <v>1208</v>
      </c>
      <c r="B353" s="45" t="str">
        <f t="shared" si="50"/>
        <v>Kathleen</v>
      </c>
      <c r="C353" t="s">
        <v>69</v>
      </c>
      <c r="D353" t="s">
        <v>1207</v>
      </c>
      <c r="E353" s="45" t="str">
        <f t="shared" si="51"/>
        <v>Walters</v>
      </c>
      <c r="F353" s="45" t="str">
        <f t="shared" si="52"/>
        <v>Kathleen H Walters</v>
      </c>
      <c r="G353" t="s">
        <v>241</v>
      </c>
      <c r="H353" t="str">
        <f t="shared" si="53"/>
        <v>Female</v>
      </c>
      <c r="I353" t="s">
        <v>1206</v>
      </c>
      <c r="J353" t="s">
        <v>1073</v>
      </c>
      <c r="K353" t="s">
        <v>101</v>
      </c>
      <c r="L353">
        <v>19103</v>
      </c>
      <c r="O353" t="s">
        <v>1205</v>
      </c>
      <c r="P353" s="45" t="str">
        <f t="shared" si="54"/>
        <v>aol</v>
      </c>
      <c r="Q353" t="s">
        <v>1204</v>
      </c>
      <c r="R353" s="45" t="str">
        <f t="shared" si="55"/>
        <v>215|751|3031</v>
      </c>
      <c r="S353" s="45" t="str">
        <f t="shared" si="56"/>
        <v>215</v>
      </c>
      <c r="T353" s="45" t="str">
        <f t="shared" si="57"/>
        <v>751</v>
      </c>
      <c r="U353" s="45" t="str">
        <f t="shared" si="58"/>
        <v>3031</v>
      </c>
      <c r="V353" s="2" t="s">
        <v>1203</v>
      </c>
      <c r="W353" s="45" t="str">
        <f t="shared" si="59"/>
        <v>9840</v>
      </c>
    </row>
    <row r="354" spans="1:23" x14ac:dyDescent="0.3">
      <c r="A354" t="s">
        <v>756</v>
      </c>
      <c r="B354" s="45" t="str">
        <f t="shared" si="50"/>
        <v>Robert</v>
      </c>
      <c r="C354" t="s">
        <v>77</v>
      </c>
      <c r="D354" t="s">
        <v>1202</v>
      </c>
      <c r="E354" s="45" t="str">
        <f t="shared" si="51"/>
        <v>Bushman</v>
      </c>
      <c r="F354" s="45" t="str">
        <f t="shared" si="52"/>
        <v>Robert C Bushman</v>
      </c>
      <c r="G354" t="s">
        <v>264</v>
      </c>
      <c r="H354" t="str">
        <f t="shared" si="53"/>
        <v>Male</v>
      </c>
      <c r="I354" t="s">
        <v>1201</v>
      </c>
      <c r="J354" t="s">
        <v>1200</v>
      </c>
      <c r="K354" t="s">
        <v>101</v>
      </c>
      <c r="L354">
        <v>16644</v>
      </c>
      <c r="O354" t="s">
        <v>1199</v>
      </c>
      <c r="P354" s="45" t="str">
        <f t="shared" si="54"/>
        <v>gmail</v>
      </c>
      <c r="Q354" t="s">
        <v>1198</v>
      </c>
      <c r="R354" s="45" t="str">
        <f t="shared" si="55"/>
        <v>814|687|8961</v>
      </c>
      <c r="S354" s="45" t="str">
        <f t="shared" si="56"/>
        <v>814</v>
      </c>
      <c r="T354" s="45" t="str">
        <f t="shared" si="57"/>
        <v>687</v>
      </c>
      <c r="U354" s="45" t="str">
        <f t="shared" si="58"/>
        <v>8961</v>
      </c>
      <c r="V354" s="2" t="s">
        <v>1197</v>
      </c>
      <c r="W354" s="45" t="str">
        <f t="shared" si="59"/>
        <v>4703</v>
      </c>
    </row>
    <row r="355" spans="1:23" x14ac:dyDescent="0.3">
      <c r="A355" t="s">
        <v>750</v>
      </c>
      <c r="B355" s="45" t="str">
        <f t="shared" si="50"/>
        <v>Andrea</v>
      </c>
      <c r="C355" t="s">
        <v>65</v>
      </c>
      <c r="D355" t="s">
        <v>1196</v>
      </c>
      <c r="E355" s="45" t="str">
        <f t="shared" si="51"/>
        <v>Goode</v>
      </c>
      <c r="F355" s="45" t="str">
        <f t="shared" si="52"/>
        <v>Andrea K Goode</v>
      </c>
      <c r="G355" t="s">
        <v>241</v>
      </c>
      <c r="H355" t="str">
        <f t="shared" si="53"/>
        <v>Female</v>
      </c>
      <c r="I355" t="s">
        <v>1195</v>
      </c>
      <c r="J355" t="s">
        <v>1194</v>
      </c>
      <c r="K355" t="s">
        <v>61</v>
      </c>
      <c r="L355">
        <v>22401</v>
      </c>
      <c r="O355" t="s">
        <v>1193</v>
      </c>
      <c r="P355" s="45" t="str">
        <f t="shared" si="54"/>
        <v>aol</v>
      </c>
      <c r="Q355" t="s">
        <v>1192</v>
      </c>
      <c r="R355" s="45" t="str">
        <f t="shared" si="55"/>
        <v>540|368|4413</v>
      </c>
      <c r="S355" s="45" t="str">
        <f t="shared" si="56"/>
        <v>540</v>
      </c>
      <c r="T355" s="45" t="str">
        <f t="shared" si="57"/>
        <v>368</v>
      </c>
      <c r="U355" s="45" t="str">
        <f t="shared" si="58"/>
        <v>4413</v>
      </c>
      <c r="V355" s="2" t="s">
        <v>1191</v>
      </c>
      <c r="W355" s="45" t="str">
        <f t="shared" si="59"/>
        <v>270</v>
      </c>
    </row>
    <row r="356" spans="1:23" x14ac:dyDescent="0.3">
      <c r="A356" t="s">
        <v>1190</v>
      </c>
      <c r="B356" s="45" t="str">
        <f t="shared" si="50"/>
        <v>Jennie</v>
      </c>
      <c r="C356" t="s">
        <v>266</v>
      </c>
      <c r="D356" t="s">
        <v>1189</v>
      </c>
      <c r="E356" s="45" t="str">
        <f t="shared" si="51"/>
        <v>Tellez</v>
      </c>
      <c r="F356" s="45" t="str">
        <f t="shared" si="52"/>
        <v>Jennie S Tellez</v>
      </c>
      <c r="G356" t="s">
        <v>241</v>
      </c>
      <c r="H356" t="str">
        <f t="shared" si="53"/>
        <v>Female</v>
      </c>
      <c r="I356" t="s">
        <v>1188</v>
      </c>
      <c r="J356" t="s">
        <v>1187</v>
      </c>
      <c r="K356" t="s">
        <v>79</v>
      </c>
      <c r="L356">
        <v>32084</v>
      </c>
      <c r="O356" t="s">
        <v>1186</v>
      </c>
      <c r="P356" s="45" t="str">
        <f t="shared" si="54"/>
        <v>aol</v>
      </c>
      <c r="Q356" t="s">
        <v>1185</v>
      </c>
      <c r="R356" s="45" t="str">
        <f t="shared" si="55"/>
        <v>904|824|8057</v>
      </c>
      <c r="S356" s="45" t="str">
        <f t="shared" si="56"/>
        <v>904</v>
      </c>
      <c r="T356" s="45" t="str">
        <f t="shared" si="57"/>
        <v>824</v>
      </c>
      <c r="U356" s="45" t="str">
        <f t="shared" si="58"/>
        <v>8057</v>
      </c>
      <c r="V356" s="2" t="s">
        <v>1184</v>
      </c>
      <c r="W356" s="45" t="str">
        <f t="shared" si="59"/>
        <v>2143</v>
      </c>
    </row>
    <row r="357" spans="1:23" x14ac:dyDescent="0.3">
      <c r="A357" t="s">
        <v>563</v>
      </c>
      <c r="B357" s="45" t="str">
        <f t="shared" si="50"/>
        <v>James</v>
      </c>
      <c r="C357" t="s">
        <v>77</v>
      </c>
      <c r="D357" t="s">
        <v>1183</v>
      </c>
      <c r="E357" s="45" t="str">
        <f t="shared" si="51"/>
        <v>Ford</v>
      </c>
      <c r="F357" s="45" t="str">
        <f t="shared" si="52"/>
        <v>James C Ford</v>
      </c>
      <c r="G357" t="s">
        <v>264</v>
      </c>
      <c r="H357" t="str">
        <f t="shared" si="53"/>
        <v>Male</v>
      </c>
      <c r="I357" t="s">
        <v>1182</v>
      </c>
      <c r="J357" t="s">
        <v>1181</v>
      </c>
      <c r="K357" t="s">
        <v>86</v>
      </c>
      <c r="L357">
        <v>1581</v>
      </c>
      <c r="O357" t="s">
        <v>1180</v>
      </c>
      <c r="P357" s="45" t="str">
        <f t="shared" si="54"/>
        <v>gmail</v>
      </c>
      <c r="Q357" t="s">
        <v>1179</v>
      </c>
      <c r="R357" s="45" t="str">
        <f t="shared" si="55"/>
        <v>508|254|4835</v>
      </c>
      <c r="S357" s="45" t="str">
        <f t="shared" si="56"/>
        <v>508</v>
      </c>
      <c r="T357" s="45" t="str">
        <f t="shared" si="57"/>
        <v>254</v>
      </c>
      <c r="U357" s="45" t="str">
        <f t="shared" si="58"/>
        <v>4835</v>
      </c>
      <c r="V357" s="2" t="s">
        <v>1178</v>
      </c>
      <c r="W357" s="45" t="str">
        <f t="shared" si="59"/>
        <v>574</v>
      </c>
    </row>
    <row r="358" spans="1:23" x14ac:dyDescent="0.3">
      <c r="A358" t="s">
        <v>1177</v>
      </c>
      <c r="B358" s="45" t="str">
        <f t="shared" si="50"/>
        <v>Grace</v>
      </c>
      <c r="C358" t="s">
        <v>75</v>
      </c>
      <c r="D358" t="s">
        <v>1176</v>
      </c>
      <c r="E358" s="45" t="str">
        <f t="shared" si="51"/>
        <v>Garett</v>
      </c>
      <c r="F358" s="45" t="str">
        <f t="shared" si="52"/>
        <v>Grace B Garett</v>
      </c>
      <c r="G358" t="s">
        <v>241</v>
      </c>
      <c r="H358" t="str">
        <f t="shared" si="53"/>
        <v>Female</v>
      </c>
      <c r="I358" t="s">
        <v>1175</v>
      </c>
      <c r="J358" t="s">
        <v>1174</v>
      </c>
      <c r="K358" t="s">
        <v>83</v>
      </c>
      <c r="L358">
        <v>25844</v>
      </c>
      <c r="O358" t="s">
        <v>1173</v>
      </c>
      <c r="P358" s="45" t="str">
        <f t="shared" si="54"/>
        <v>gmail</v>
      </c>
      <c r="Q358" t="s">
        <v>1172</v>
      </c>
      <c r="R358" s="45" t="str">
        <f t="shared" si="55"/>
        <v>304|934|4291</v>
      </c>
      <c r="S358" s="45" t="str">
        <f t="shared" si="56"/>
        <v>304</v>
      </c>
      <c r="T358" s="45" t="str">
        <f t="shared" si="57"/>
        <v>934</v>
      </c>
      <c r="U358" s="45" t="str">
        <f t="shared" si="58"/>
        <v>4291</v>
      </c>
      <c r="V358" s="2" t="s">
        <v>1171</v>
      </c>
      <c r="W358" s="45" t="str">
        <f t="shared" si="59"/>
        <v>5879</v>
      </c>
    </row>
    <row r="359" spans="1:23" x14ac:dyDescent="0.3">
      <c r="A359" t="s">
        <v>769</v>
      </c>
      <c r="B359" s="45" t="str">
        <f t="shared" si="50"/>
        <v>Amelia</v>
      </c>
      <c r="C359" t="s">
        <v>62</v>
      </c>
      <c r="D359" t="s">
        <v>1170</v>
      </c>
      <c r="E359" s="45" t="str">
        <f t="shared" si="51"/>
        <v>Ramirez</v>
      </c>
      <c r="F359" s="45" t="str">
        <f t="shared" si="52"/>
        <v>Amelia D Ramirez</v>
      </c>
      <c r="G359" t="s">
        <v>241</v>
      </c>
      <c r="H359" t="str">
        <f t="shared" si="53"/>
        <v>Female</v>
      </c>
      <c r="I359" t="s">
        <v>1169</v>
      </c>
      <c r="J359" t="s">
        <v>1168</v>
      </c>
      <c r="K359" t="s">
        <v>58</v>
      </c>
      <c r="L359">
        <v>92311</v>
      </c>
      <c r="O359" t="s">
        <v>1167</v>
      </c>
      <c r="P359" s="45" t="str">
        <f t="shared" si="54"/>
        <v>gmail</v>
      </c>
      <c r="Q359" t="s">
        <v>1166</v>
      </c>
      <c r="R359" s="45" t="str">
        <f t="shared" si="55"/>
        <v>760|252|2755</v>
      </c>
      <c r="S359" s="45" t="str">
        <f t="shared" si="56"/>
        <v>760</v>
      </c>
      <c r="T359" s="45" t="str">
        <f t="shared" si="57"/>
        <v>252</v>
      </c>
      <c r="U359" s="45" t="str">
        <f t="shared" si="58"/>
        <v>2755</v>
      </c>
      <c r="V359" s="2" t="s">
        <v>1165</v>
      </c>
      <c r="W359" s="45" t="str">
        <f t="shared" si="59"/>
        <v>873</v>
      </c>
    </row>
    <row r="360" spans="1:23" x14ac:dyDescent="0.3">
      <c r="A360" t="s">
        <v>1164</v>
      </c>
      <c r="B360" s="45" t="str">
        <f t="shared" si="50"/>
        <v>Crystal</v>
      </c>
      <c r="C360" t="s">
        <v>463</v>
      </c>
      <c r="D360" t="s">
        <v>1163</v>
      </c>
      <c r="E360" s="45" t="str">
        <f t="shared" si="51"/>
        <v>Hansen</v>
      </c>
      <c r="F360" s="45" t="str">
        <f t="shared" si="52"/>
        <v>Crystal W Hansen</v>
      </c>
      <c r="G360" t="s">
        <v>241</v>
      </c>
      <c r="H360" t="str">
        <f t="shared" si="53"/>
        <v>Female</v>
      </c>
      <c r="I360" t="s">
        <v>1162</v>
      </c>
      <c r="J360" t="s">
        <v>1161</v>
      </c>
      <c r="K360" t="s">
        <v>89</v>
      </c>
      <c r="L360">
        <v>55102</v>
      </c>
      <c r="O360" t="s">
        <v>1160</v>
      </c>
      <c r="P360" s="45" t="str">
        <f t="shared" si="54"/>
        <v>aol</v>
      </c>
      <c r="Q360" t="s">
        <v>1159</v>
      </c>
      <c r="R360" s="45" t="str">
        <f t="shared" si="55"/>
        <v>651|310|5786</v>
      </c>
      <c r="S360" s="45" t="str">
        <f t="shared" si="56"/>
        <v>651</v>
      </c>
      <c r="T360" s="45" t="str">
        <f t="shared" si="57"/>
        <v>310</v>
      </c>
      <c r="U360" s="45" t="str">
        <f t="shared" si="58"/>
        <v>5786</v>
      </c>
      <c r="V360" s="2" t="s">
        <v>1158</v>
      </c>
      <c r="W360" s="45" t="str">
        <f t="shared" si="59"/>
        <v>1534</v>
      </c>
    </row>
    <row r="361" spans="1:23" x14ac:dyDescent="0.3">
      <c r="A361" t="s">
        <v>1157</v>
      </c>
      <c r="B361" s="45" t="str">
        <f t="shared" si="50"/>
        <v>Thelma</v>
      </c>
      <c r="C361" t="s">
        <v>75</v>
      </c>
      <c r="D361" t="s">
        <v>1156</v>
      </c>
      <c r="E361" s="45" t="str">
        <f t="shared" si="51"/>
        <v>Parr</v>
      </c>
      <c r="F361" s="45" t="str">
        <f t="shared" si="52"/>
        <v>Thelma B Parr</v>
      </c>
      <c r="G361" t="s">
        <v>241</v>
      </c>
      <c r="H361" t="str">
        <f t="shared" si="53"/>
        <v>Female</v>
      </c>
      <c r="I361" t="s">
        <v>1155</v>
      </c>
      <c r="J361" t="s">
        <v>306</v>
      </c>
      <c r="K361" t="s">
        <v>88</v>
      </c>
      <c r="L361">
        <v>43607</v>
      </c>
      <c r="O361" t="s">
        <v>1154</v>
      </c>
      <c r="P361" s="45" t="str">
        <f t="shared" si="54"/>
        <v>aol</v>
      </c>
      <c r="Q361" t="s">
        <v>1153</v>
      </c>
      <c r="R361" s="45" t="str">
        <f t="shared" si="55"/>
        <v>419|534|0285</v>
      </c>
      <c r="S361" s="45" t="str">
        <f t="shared" si="56"/>
        <v>419</v>
      </c>
      <c r="T361" s="45" t="str">
        <f t="shared" si="57"/>
        <v>534</v>
      </c>
      <c r="U361" s="45" t="str">
        <f t="shared" si="58"/>
        <v>0285</v>
      </c>
      <c r="V361" s="2" t="s">
        <v>1152</v>
      </c>
      <c r="W361" s="45" t="str">
        <f t="shared" si="59"/>
        <v>868</v>
      </c>
    </row>
    <row r="362" spans="1:23" x14ac:dyDescent="0.3">
      <c r="A362" t="s">
        <v>1151</v>
      </c>
      <c r="B362" s="45" t="str">
        <f t="shared" si="50"/>
        <v>Donny</v>
      </c>
      <c r="C362" t="s">
        <v>60</v>
      </c>
      <c r="D362" t="s">
        <v>1150</v>
      </c>
      <c r="E362" s="45" t="str">
        <f t="shared" si="51"/>
        <v>Clemens</v>
      </c>
      <c r="F362" s="45" t="str">
        <f t="shared" si="52"/>
        <v>Donny M Clemens</v>
      </c>
      <c r="G362" t="s">
        <v>264</v>
      </c>
      <c r="H362" t="str">
        <f t="shared" si="53"/>
        <v>Male</v>
      </c>
      <c r="I362" t="s">
        <v>1149</v>
      </c>
      <c r="J362" t="s">
        <v>1148</v>
      </c>
      <c r="K362" t="s">
        <v>89</v>
      </c>
      <c r="L362">
        <v>55925</v>
      </c>
      <c r="O362" t="s">
        <v>1147</v>
      </c>
      <c r="P362" s="45" t="str">
        <f t="shared" si="54"/>
        <v>aol</v>
      </c>
      <c r="Q362" t="s">
        <v>1146</v>
      </c>
      <c r="R362" s="45" t="str">
        <f t="shared" si="55"/>
        <v>507|643|6453</v>
      </c>
      <c r="S362" s="45" t="str">
        <f t="shared" si="56"/>
        <v>507</v>
      </c>
      <c r="T362" s="45" t="str">
        <f t="shared" si="57"/>
        <v>643</v>
      </c>
      <c r="U362" s="45" t="str">
        <f t="shared" si="58"/>
        <v>6453</v>
      </c>
      <c r="V362" s="2" t="s">
        <v>1145</v>
      </c>
      <c r="W362" s="45" t="str">
        <f t="shared" si="59"/>
        <v>8161</v>
      </c>
    </row>
    <row r="363" spans="1:23" x14ac:dyDescent="0.3">
      <c r="A363" t="s">
        <v>1144</v>
      </c>
      <c r="B363" s="45" t="str">
        <f t="shared" si="50"/>
        <v>Kimberly</v>
      </c>
      <c r="C363" t="s">
        <v>93</v>
      </c>
      <c r="D363" t="s">
        <v>1143</v>
      </c>
      <c r="E363" s="45" t="str">
        <f t="shared" si="51"/>
        <v>Warner</v>
      </c>
      <c r="F363" s="45" t="str">
        <f t="shared" si="52"/>
        <v>Kimberly G Warner</v>
      </c>
      <c r="G363" t="s">
        <v>241</v>
      </c>
      <c r="H363" t="str">
        <f t="shared" si="53"/>
        <v>Female</v>
      </c>
      <c r="I363" t="s">
        <v>1142</v>
      </c>
      <c r="J363" t="s">
        <v>1141</v>
      </c>
      <c r="K363" t="s">
        <v>99</v>
      </c>
      <c r="L363">
        <v>46511</v>
      </c>
      <c r="O363" t="s">
        <v>1140</v>
      </c>
      <c r="P363" s="45" t="str">
        <f t="shared" si="54"/>
        <v>gmail</v>
      </c>
      <c r="Q363" t="s">
        <v>1139</v>
      </c>
      <c r="R363" s="45" t="str">
        <f t="shared" si="55"/>
        <v>574|842|3766</v>
      </c>
      <c r="S363" s="45" t="str">
        <f t="shared" si="56"/>
        <v>574</v>
      </c>
      <c r="T363" s="45" t="str">
        <f t="shared" si="57"/>
        <v>842</v>
      </c>
      <c r="U363" s="45" t="str">
        <f t="shared" si="58"/>
        <v>3766</v>
      </c>
      <c r="V363" s="2" t="s">
        <v>1138</v>
      </c>
      <c r="W363" s="45" t="str">
        <f t="shared" si="59"/>
        <v>2516</v>
      </c>
    </row>
    <row r="364" spans="1:23" x14ac:dyDescent="0.3">
      <c r="A364" t="s">
        <v>369</v>
      </c>
      <c r="B364" s="45" t="str">
        <f t="shared" si="50"/>
        <v>David</v>
      </c>
      <c r="C364" t="s">
        <v>91</v>
      </c>
      <c r="D364" t="s">
        <v>1137</v>
      </c>
      <c r="E364" s="45" t="str">
        <f t="shared" si="51"/>
        <v>Middleton</v>
      </c>
      <c r="F364" s="45" t="str">
        <f t="shared" si="52"/>
        <v>David L Middleton</v>
      </c>
      <c r="G364" t="s">
        <v>264</v>
      </c>
      <c r="H364" t="str">
        <f t="shared" si="53"/>
        <v>Male</v>
      </c>
      <c r="I364" t="s">
        <v>1136</v>
      </c>
      <c r="J364" t="s">
        <v>1079</v>
      </c>
      <c r="K364" t="s">
        <v>57</v>
      </c>
      <c r="L364">
        <v>60527</v>
      </c>
      <c r="O364" t="s">
        <v>1135</v>
      </c>
      <c r="P364" s="45" t="str">
        <f t="shared" si="54"/>
        <v>gmail</v>
      </c>
      <c r="Q364" t="s">
        <v>1134</v>
      </c>
      <c r="R364" s="45" t="str">
        <f t="shared" si="55"/>
        <v>708|440|1717</v>
      </c>
      <c r="S364" s="45" t="str">
        <f t="shared" si="56"/>
        <v>708</v>
      </c>
      <c r="T364" s="45" t="str">
        <f t="shared" si="57"/>
        <v>440</v>
      </c>
      <c r="U364" s="45" t="str">
        <f t="shared" si="58"/>
        <v>1717</v>
      </c>
      <c r="V364" s="2" t="s">
        <v>1133</v>
      </c>
      <c r="W364" s="45" t="str">
        <f t="shared" si="59"/>
        <v>4032</v>
      </c>
    </row>
    <row r="365" spans="1:23" x14ac:dyDescent="0.3">
      <c r="A365" t="s">
        <v>756</v>
      </c>
      <c r="B365" s="45" t="str">
        <f t="shared" si="50"/>
        <v>Robert</v>
      </c>
      <c r="C365" t="s">
        <v>56</v>
      </c>
      <c r="D365" t="s">
        <v>1132</v>
      </c>
      <c r="E365" s="45" t="str">
        <f t="shared" si="51"/>
        <v>Martin</v>
      </c>
      <c r="F365" s="45" t="str">
        <f t="shared" si="52"/>
        <v>Robert J Martin</v>
      </c>
      <c r="G365" t="s">
        <v>264</v>
      </c>
      <c r="H365" t="str">
        <f t="shared" si="53"/>
        <v>Male</v>
      </c>
      <c r="I365" t="s">
        <v>1131</v>
      </c>
      <c r="J365" t="s">
        <v>394</v>
      </c>
      <c r="K365" t="s">
        <v>58</v>
      </c>
      <c r="L365">
        <v>91505</v>
      </c>
      <c r="O365" t="s">
        <v>1130</v>
      </c>
      <c r="P365" s="45" t="str">
        <f t="shared" si="54"/>
        <v>gmail</v>
      </c>
      <c r="Q365" t="s">
        <v>1129</v>
      </c>
      <c r="R365" s="45" t="str">
        <f t="shared" si="55"/>
        <v>714|932|0522</v>
      </c>
      <c r="S365" s="45" t="str">
        <f t="shared" si="56"/>
        <v>714</v>
      </c>
      <c r="T365" s="45" t="str">
        <f t="shared" si="57"/>
        <v>932</v>
      </c>
      <c r="U365" s="45" t="str">
        <f t="shared" si="58"/>
        <v>0522</v>
      </c>
      <c r="V365" s="2" t="s">
        <v>1128</v>
      </c>
      <c r="W365" s="45" t="str">
        <f t="shared" si="59"/>
        <v>6165</v>
      </c>
    </row>
    <row r="366" spans="1:23" x14ac:dyDescent="0.3">
      <c r="A366" t="s">
        <v>1127</v>
      </c>
      <c r="B366" s="45" t="str">
        <f t="shared" si="50"/>
        <v>Anita</v>
      </c>
      <c r="C366" t="s">
        <v>56</v>
      </c>
      <c r="D366" t="s">
        <v>1126</v>
      </c>
      <c r="E366" s="45" t="str">
        <f t="shared" si="51"/>
        <v>Gil</v>
      </c>
      <c r="F366" s="45" t="str">
        <f t="shared" si="52"/>
        <v>Anita J Gil</v>
      </c>
      <c r="G366" t="s">
        <v>241</v>
      </c>
      <c r="H366" t="str">
        <f t="shared" si="53"/>
        <v>Female</v>
      </c>
      <c r="I366" t="s">
        <v>1125</v>
      </c>
      <c r="J366" t="s">
        <v>1124</v>
      </c>
      <c r="K366" t="s">
        <v>68</v>
      </c>
      <c r="L366">
        <v>13202</v>
      </c>
      <c r="O366" t="s">
        <v>1123</v>
      </c>
      <c r="P366" s="45" t="str">
        <f t="shared" si="54"/>
        <v>aol</v>
      </c>
      <c r="Q366" t="s">
        <v>1122</v>
      </c>
      <c r="R366" s="45" t="str">
        <f t="shared" si="55"/>
        <v>315|856|9029</v>
      </c>
      <c r="S366" s="45" t="str">
        <f t="shared" si="56"/>
        <v>315</v>
      </c>
      <c r="T366" s="45" t="str">
        <f t="shared" si="57"/>
        <v>856</v>
      </c>
      <c r="U366" s="45" t="str">
        <f t="shared" si="58"/>
        <v>9029</v>
      </c>
      <c r="V366" s="2" t="s">
        <v>1121</v>
      </c>
      <c r="W366" s="45" t="str">
        <f t="shared" si="59"/>
        <v>6875</v>
      </c>
    </row>
    <row r="367" spans="1:23" x14ac:dyDescent="0.3">
      <c r="A367" t="s">
        <v>1120</v>
      </c>
      <c r="B367" s="45" t="str">
        <f t="shared" si="50"/>
        <v>Eduardo</v>
      </c>
      <c r="C367" t="s">
        <v>361</v>
      </c>
      <c r="D367" t="s">
        <v>1119</v>
      </c>
      <c r="E367" s="45" t="str">
        <f t="shared" si="51"/>
        <v>Kenney</v>
      </c>
      <c r="F367" s="45" t="str">
        <f t="shared" si="52"/>
        <v>Eduardo T Kenney</v>
      </c>
      <c r="G367" t="s">
        <v>264</v>
      </c>
      <c r="H367" t="str">
        <f t="shared" si="53"/>
        <v>Male</v>
      </c>
      <c r="I367" t="s">
        <v>1118</v>
      </c>
      <c r="J367" t="s">
        <v>1117</v>
      </c>
      <c r="K367" t="s">
        <v>86</v>
      </c>
      <c r="L367">
        <v>2146</v>
      </c>
      <c r="O367" t="s">
        <v>1116</v>
      </c>
      <c r="P367" s="45" t="str">
        <f t="shared" si="54"/>
        <v>gmail</v>
      </c>
      <c r="Q367" t="s">
        <v>1115</v>
      </c>
      <c r="R367" s="45" t="str">
        <f t="shared" si="55"/>
        <v>617|975|4477</v>
      </c>
      <c r="S367" s="45" t="str">
        <f t="shared" si="56"/>
        <v>617</v>
      </c>
      <c r="T367" s="45" t="str">
        <f t="shared" si="57"/>
        <v>975</v>
      </c>
      <c r="U367" s="45" t="str">
        <f t="shared" si="58"/>
        <v>4477</v>
      </c>
      <c r="V367" s="2" t="s">
        <v>1114</v>
      </c>
      <c r="W367" s="45" t="str">
        <f t="shared" si="59"/>
        <v>902</v>
      </c>
    </row>
    <row r="368" spans="1:23" x14ac:dyDescent="0.3">
      <c r="A368" t="s">
        <v>1113</v>
      </c>
      <c r="B368" s="45" t="str">
        <f t="shared" si="50"/>
        <v>Timothy</v>
      </c>
      <c r="C368" t="s">
        <v>361</v>
      </c>
      <c r="D368" t="s">
        <v>1112</v>
      </c>
      <c r="E368" s="45" t="str">
        <f t="shared" si="51"/>
        <v>Osorio</v>
      </c>
      <c r="F368" s="45" t="str">
        <f t="shared" si="52"/>
        <v>Timothy T Osorio</v>
      </c>
      <c r="G368" t="s">
        <v>264</v>
      </c>
      <c r="H368" t="str">
        <f t="shared" si="53"/>
        <v>Male</v>
      </c>
      <c r="I368" t="s">
        <v>1111</v>
      </c>
      <c r="J368" t="s">
        <v>1110</v>
      </c>
      <c r="K368" t="s">
        <v>61</v>
      </c>
      <c r="L368">
        <v>23607</v>
      </c>
      <c r="O368" t="s">
        <v>1109</v>
      </c>
      <c r="P368" s="45" t="str">
        <f t="shared" si="54"/>
        <v>gmail</v>
      </c>
      <c r="Q368" t="s">
        <v>1108</v>
      </c>
      <c r="R368" s="45" t="str">
        <f t="shared" si="55"/>
        <v>757|575|7593</v>
      </c>
      <c r="S368" s="45" t="str">
        <f t="shared" si="56"/>
        <v>757</v>
      </c>
      <c r="T368" s="45" t="str">
        <f t="shared" si="57"/>
        <v>575</v>
      </c>
      <c r="U368" s="45" t="str">
        <f t="shared" si="58"/>
        <v>7593</v>
      </c>
      <c r="V368" s="2" t="s">
        <v>1107</v>
      </c>
      <c r="W368" s="45" t="str">
        <f t="shared" si="59"/>
        <v>568</v>
      </c>
    </row>
    <row r="369" spans="1:23" x14ac:dyDescent="0.3">
      <c r="A369" t="s">
        <v>848</v>
      </c>
      <c r="B369" s="45" t="str">
        <f t="shared" si="50"/>
        <v>Rose</v>
      </c>
      <c r="C369" t="s">
        <v>62</v>
      </c>
      <c r="D369" t="s">
        <v>1106</v>
      </c>
      <c r="E369" s="45" t="str">
        <f t="shared" si="51"/>
        <v>Saenz</v>
      </c>
      <c r="F369" s="45" t="str">
        <f t="shared" si="52"/>
        <v>Rose D Saenz</v>
      </c>
      <c r="G369" t="s">
        <v>241</v>
      </c>
      <c r="H369" t="str">
        <f t="shared" si="53"/>
        <v>Female</v>
      </c>
      <c r="I369" t="s">
        <v>1105</v>
      </c>
      <c r="J369" t="s">
        <v>1104</v>
      </c>
      <c r="K369" t="s">
        <v>68</v>
      </c>
      <c r="L369">
        <v>12207</v>
      </c>
      <c r="O369" t="s">
        <v>1103</v>
      </c>
      <c r="P369" s="45" t="str">
        <f t="shared" si="54"/>
        <v>aol</v>
      </c>
      <c r="Q369" t="s">
        <v>1102</v>
      </c>
      <c r="R369" s="45" t="str">
        <f t="shared" si="55"/>
        <v>518|752|8401</v>
      </c>
      <c r="S369" s="45" t="str">
        <f t="shared" si="56"/>
        <v>518</v>
      </c>
      <c r="T369" s="45" t="str">
        <f t="shared" si="57"/>
        <v>752</v>
      </c>
      <c r="U369" s="45" t="str">
        <f t="shared" si="58"/>
        <v>8401</v>
      </c>
      <c r="V369" s="2" t="s">
        <v>1101</v>
      </c>
      <c r="W369" s="45" t="str">
        <f t="shared" si="59"/>
        <v>1221</v>
      </c>
    </row>
    <row r="370" spans="1:23" x14ac:dyDescent="0.3">
      <c r="A370" t="s">
        <v>442</v>
      </c>
      <c r="B370" s="45" t="str">
        <f t="shared" si="50"/>
        <v>Christopher</v>
      </c>
      <c r="C370" t="s">
        <v>75</v>
      </c>
      <c r="D370" t="s">
        <v>1100</v>
      </c>
      <c r="E370" s="45" t="str">
        <f t="shared" si="51"/>
        <v>Polk</v>
      </c>
      <c r="F370" s="45" t="str">
        <f t="shared" si="52"/>
        <v>Christopher B Polk</v>
      </c>
      <c r="G370" t="s">
        <v>264</v>
      </c>
      <c r="H370" t="str">
        <f t="shared" si="53"/>
        <v>Male</v>
      </c>
      <c r="I370" t="s">
        <v>1099</v>
      </c>
      <c r="J370" t="s">
        <v>1098</v>
      </c>
      <c r="K370" t="s">
        <v>112</v>
      </c>
      <c r="L370">
        <v>29720</v>
      </c>
      <c r="O370" t="s">
        <v>1097</v>
      </c>
      <c r="P370" s="45" t="str">
        <f t="shared" si="54"/>
        <v>gmail</v>
      </c>
      <c r="Q370" t="s">
        <v>1096</v>
      </c>
      <c r="R370" s="45" t="str">
        <f t="shared" si="55"/>
        <v>803|273|3808</v>
      </c>
      <c r="S370" s="45" t="str">
        <f t="shared" si="56"/>
        <v>803</v>
      </c>
      <c r="T370" s="45" t="str">
        <f t="shared" si="57"/>
        <v>273</v>
      </c>
      <c r="U370" s="45" t="str">
        <f t="shared" si="58"/>
        <v>3808</v>
      </c>
      <c r="V370" s="2" t="s">
        <v>1095</v>
      </c>
      <c r="W370" s="45" t="str">
        <f t="shared" si="59"/>
        <v>877</v>
      </c>
    </row>
    <row r="371" spans="1:23" x14ac:dyDescent="0.3">
      <c r="A371" t="s">
        <v>1094</v>
      </c>
      <c r="B371" s="45" t="str">
        <f t="shared" si="50"/>
        <v>Alvin</v>
      </c>
      <c r="C371" t="s">
        <v>266</v>
      </c>
      <c r="D371" t="s">
        <v>1093</v>
      </c>
      <c r="E371" s="45" t="str">
        <f t="shared" si="51"/>
        <v>Pruett</v>
      </c>
      <c r="F371" s="45" t="str">
        <f t="shared" si="52"/>
        <v>Alvin S Pruett</v>
      </c>
      <c r="G371" t="s">
        <v>264</v>
      </c>
      <c r="H371" t="str">
        <f t="shared" si="53"/>
        <v>Male</v>
      </c>
      <c r="I371" t="s">
        <v>1092</v>
      </c>
      <c r="J371" t="s">
        <v>1091</v>
      </c>
      <c r="K371" t="s">
        <v>114</v>
      </c>
      <c r="L371">
        <v>59644</v>
      </c>
      <c r="O371" t="s">
        <v>1090</v>
      </c>
      <c r="P371" s="45" t="str">
        <f t="shared" si="54"/>
        <v>hotmail</v>
      </c>
      <c r="Q371" t="s">
        <v>1089</v>
      </c>
      <c r="R371" s="45" t="str">
        <f t="shared" si="55"/>
        <v>406|266|4315</v>
      </c>
      <c r="S371" s="45" t="str">
        <f t="shared" si="56"/>
        <v>406</v>
      </c>
      <c r="T371" s="45" t="str">
        <f t="shared" si="57"/>
        <v>266</v>
      </c>
      <c r="U371" s="45" t="str">
        <f t="shared" si="58"/>
        <v>4315</v>
      </c>
      <c r="V371" s="2" t="s">
        <v>1088</v>
      </c>
      <c r="W371" s="45" t="str">
        <f t="shared" si="59"/>
        <v>492</v>
      </c>
    </row>
    <row r="372" spans="1:23" x14ac:dyDescent="0.3">
      <c r="A372" t="s">
        <v>808</v>
      </c>
      <c r="B372" s="45" t="str">
        <f t="shared" si="50"/>
        <v>Michael</v>
      </c>
      <c r="C372" t="s">
        <v>266</v>
      </c>
      <c r="D372" t="s">
        <v>1087</v>
      </c>
      <c r="E372" s="45" t="str">
        <f t="shared" si="51"/>
        <v>Hughes</v>
      </c>
      <c r="F372" s="45" t="str">
        <f t="shared" si="52"/>
        <v>Michael S Hughes</v>
      </c>
      <c r="G372" t="s">
        <v>264</v>
      </c>
      <c r="H372" t="str">
        <f t="shared" si="53"/>
        <v>Male</v>
      </c>
      <c r="I372" t="s">
        <v>1086</v>
      </c>
      <c r="J372" t="s">
        <v>1085</v>
      </c>
      <c r="K372" t="s">
        <v>79</v>
      </c>
      <c r="L372">
        <v>33178</v>
      </c>
      <c r="O372" t="s">
        <v>1084</v>
      </c>
      <c r="P372" s="45" t="str">
        <f t="shared" si="54"/>
        <v>gmail</v>
      </c>
      <c r="Q372" t="s">
        <v>1083</v>
      </c>
      <c r="R372" s="45" t="str">
        <f t="shared" si="55"/>
        <v>305|697|3467</v>
      </c>
      <c r="S372" s="45" t="str">
        <f t="shared" si="56"/>
        <v>305</v>
      </c>
      <c r="T372" s="45" t="str">
        <f t="shared" si="57"/>
        <v>697</v>
      </c>
      <c r="U372" s="45" t="str">
        <f t="shared" si="58"/>
        <v>3467</v>
      </c>
      <c r="V372" s="2" t="s">
        <v>1082</v>
      </c>
      <c r="W372" s="45" t="str">
        <f t="shared" si="59"/>
        <v>5346</v>
      </c>
    </row>
    <row r="373" spans="1:23" x14ac:dyDescent="0.3">
      <c r="A373" t="s">
        <v>1081</v>
      </c>
      <c r="B373" s="45" t="str">
        <f t="shared" si="50"/>
        <v>Darryl</v>
      </c>
      <c r="C373" t="s">
        <v>60</v>
      </c>
      <c r="D373" t="s">
        <v>962</v>
      </c>
      <c r="E373" s="45" t="str">
        <f t="shared" si="51"/>
        <v>Kim</v>
      </c>
      <c r="F373" s="45" t="str">
        <f t="shared" si="52"/>
        <v>Darryl M Kim</v>
      </c>
      <c r="G373" t="s">
        <v>264</v>
      </c>
      <c r="H373" t="str">
        <f t="shared" si="53"/>
        <v>Male</v>
      </c>
      <c r="I373" t="s">
        <v>1080</v>
      </c>
      <c r="J373" t="s">
        <v>1079</v>
      </c>
      <c r="K373" t="s">
        <v>57</v>
      </c>
      <c r="L373">
        <v>60527</v>
      </c>
      <c r="O373" t="s">
        <v>1078</v>
      </c>
      <c r="P373" s="45" t="str">
        <f t="shared" si="54"/>
        <v>hotmail</v>
      </c>
      <c r="Q373" t="s">
        <v>1077</v>
      </c>
      <c r="R373" s="45" t="str">
        <f t="shared" si="55"/>
        <v>847|225|1558</v>
      </c>
      <c r="S373" s="45" t="str">
        <f t="shared" si="56"/>
        <v>847</v>
      </c>
      <c r="T373" s="45" t="str">
        <f t="shared" si="57"/>
        <v>225</v>
      </c>
      <c r="U373" s="45" t="str">
        <f t="shared" si="58"/>
        <v>1558</v>
      </c>
      <c r="V373" s="2" t="s">
        <v>1076</v>
      </c>
      <c r="W373" s="45" t="str">
        <f t="shared" si="59"/>
        <v>5101</v>
      </c>
    </row>
    <row r="374" spans="1:23" x14ac:dyDescent="0.3">
      <c r="A374" t="s">
        <v>341</v>
      </c>
      <c r="B374" s="45" t="str">
        <f t="shared" si="50"/>
        <v>Lee</v>
      </c>
      <c r="C374" t="s">
        <v>56</v>
      </c>
      <c r="D374" t="s">
        <v>1075</v>
      </c>
      <c r="E374" s="45" t="str">
        <f t="shared" si="51"/>
        <v>Lefebre</v>
      </c>
      <c r="F374" s="45" t="str">
        <f t="shared" si="52"/>
        <v>Lee J Lefebre</v>
      </c>
      <c r="G374" t="s">
        <v>264</v>
      </c>
      <c r="H374" t="str">
        <f t="shared" si="53"/>
        <v>Male</v>
      </c>
      <c r="I374" t="s">
        <v>1074</v>
      </c>
      <c r="J374" t="s">
        <v>1073</v>
      </c>
      <c r="K374" t="s">
        <v>116</v>
      </c>
      <c r="L374">
        <v>19146</v>
      </c>
      <c r="O374" t="s">
        <v>1072</v>
      </c>
      <c r="P374" s="45" t="str">
        <f t="shared" si="54"/>
        <v>aol</v>
      </c>
      <c r="Q374" t="s">
        <v>1071</v>
      </c>
      <c r="R374" s="45" t="str">
        <f t="shared" si="55"/>
        <v>302|930|4106</v>
      </c>
      <c r="S374" s="45" t="str">
        <f t="shared" si="56"/>
        <v>302</v>
      </c>
      <c r="T374" s="45" t="str">
        <f t="shared" si="57"/>
        <v>930</v>
      </c>
      <c r="U374" s="45" t="str">
        <f t="shared" si="58"/>
        <v>4106</v>
      </c>
      <c r="V374" s="2" t="s">
        <v>1070</v>
      </c>
      <c r="W374" s="45" t="str">
        <f t="shared" si="59"/>
        <v>867</v>
      </c>
    </row>
    <row r="375" spans="1:23" x14ac:dyDescent="0.3">
      <c r="A375" t="s">
        <v>1069</v>
      </c>
      <c r="B375" s="45" t="str">
        <f t="shared" si="50"/>
        <v>Latricia</v>
      </c>
      <c r="C375" t="s">
        <v>62</v>
      </c>
      <c r="D375" t="s">
        <v>1068</v>
      </c>
      <c r="E375" s="45" t="str">
        <f t="shared" si="51"/>
        <v>Cox</v>
      </c>
      <c r="F375" s="45" t="str">
        <f t="shared" si="52"/>
        <v>Latricia D Cox</v>
      </c>
      <c r="G375" t="s">
        <v>241</v>
      </c>
      <c r="H375" t="str">
        <f t="shared" si="53"/>
        <v>Female</v>
      </c>
      <c r="I375" t="s">
        <v>1067</v>
      </c>
      <c r="J375" t="s">
        <v>36</v>
      </c>
      <c r="K375" t="s">
        <v>68</v>
      </c>
      <c r="L375">
        <v>10005</v>
      </c>
      <c r="O375" t="s">
        <v>1066</v>
      </c>
      <c r="P375" s="45" t="str">
        <f t="shared" si="54"/>
        <v>aol</v>
      </c>
      <c r="Q375" t="s">
        <v>1065</v>
      </c>
      <c r="R375" s="45" t="str">
        <f t="shared" si="55"/>
        <v>516|620|5799</v>
      </c>
      <c r="S375" s="45" t="str">
        <f t="shared" si="56"/>
        <v>516</v>
      </c>
      <c r="T375" s="45" t="str">
        <f t="shared" si="57"/>
        <v>620</v>
      </c>
      <c r="U375" s="45" t="str">
        <f t="shared" si="58"/>
        <v>5799</v>
      </c>
      <c r="V375" s="2" t="s">
        <v>1064</v>
      </c>
      <c r="W375" s="45" t="str">
        <f t="shared" si="59"/>
        <v>254</v>
      </c>
    </row>
    <row r="376" spans="1:23" x14ac:dyDescent="0.3">
      <c r="A376" t="s">
        <v>369</v>
      </c>
      <c r="B376" s="45" t="str">
        <f t="shared" si="50"/>
        <v>David</v>
      </c>
      <c r="C376" t="s">
        <v>60</v>
      </c>
      <c r="D376" t="s">
        <v>1063</v>
      </c>
      <c r="E376" s="45" t="str">
        <f t="shared" si="51"/>
        <v>Harding</v>
      </c>
      <c r="F376" s="45" t="str">
        <f t="shared" si="52"/>
        <v>David M Harding</v>
      </c>
      <c r="G376" t="s">
        <v>264</v>
      </c>
      <c r="H376" t="str">
        <f t="shared" si="53"/>
        <v>Male</v>
      </c>
      <c r="I376" t="s">
        <v>1062</v>
      </c>
      <c r="J376" t="s">
        <v>1061</v>
      </c>
      <c r="K376" t="s">
        <v>57</v>
      </c>
      <c r="L376">
        <v>60091</v>
      </c>
      <c r="O376" t="s">
        <v>1060</v>
      </c>
      <c r="P376" s="45" t="str">
        <f t="shared" si="54"/>
        <v>hotmail</v>
      </c>
      <c r="Q376" t="s">
        <v>1059</v>
      </c>
      <c r="R376" s="45" t="str">
        <f t="shared" si="55"/>
        <v>847|256|4606</v>
      </c>
      <c r="S376" s="45" t="str">
        <f t="shared" si="56"/>
        <v>847</v>
      </c>
      <c r="T376" s="45" t="str">
        <f t="shared" si="57"/>
        <v>256</v>
      </c>
      <c r="U376" s="45" t="str">
        <f t="shared" si="58"/>
        <v>4606</v>
      </c>
      <c r="V376" s="2" t="s">
        <v>1058</v>
      </c>
      <c r="W376" s="45" t="str">
        <f t="shared" si="59"/>
        <v>4218</v>
      </c>
    </row>
    <row r="377" spans="1:23" x14ac:dyDescent="0.3">
      <c r="A377" t="s">
        <v>430</v>
      </c>
      <c r="B377" s="45" t="str">
        <f t="shared" si="50"/>
        <v>Patrick</v>
      </c>
      <c r="C377" t="s">
        <v>56</v>
      </c>
      <c r="D377" t="s">
        <v>1057</v>
      </c>
      <c r="E377" s="45" t="str">
        <f t="shared" si="51"/>
        <v>Lovett</v>
      </c>
      <c r="F377" s="45" t="str">
        <f t="shared" si="52"/>
        <v>Patrick J Lovett</v>
      </c>
      <c r="G377" t="s">
        <v>264</v>
      </c>
      <c r="H377" t="str">
        <f t="shared" si="53"/>
        <v>Male</v>
      </c>
      <c r="I377" t="s">
        <v>1056</v>
      </c>
      <c r="J377" t="s">
        <v>1055</v>
      </c>
      <c r="K377" t="s">
        <v>66</v>
      </c>
      <c r="L377">
        <v>75088</v>
      </c>
      <c r="O377" t="s">
        <v>1054</v>
      </c>
      <c r="P377" s="45" t="str">
        <f t="shared" si="54"/>
        <v>gmail</v>
      </c>
      <c r="Q377" t="s">
        <v>1053</v>
      </c>
      <c r="R377" s="45" t="str">
        <f t="shared" si="55"/>
        <v>972|463|1136</v>
      </c>
      <c r="S377" s="45" t="str">
        <f t="shared" si="56"/>
        <v>972</v>
      </c>
      <c r="T377" s="45" t="str">
        <f t="shared" si="57"/>
        <v>463</v>
      </c>
      <c r="U377" s="45" t="str">
        <f t="shared" si="58"/>
        <v>1136</v>
      </c>
      <c r="V377" s="2" t="s">
        <v>1052</v>
      </c>
      <c r="W377" s="45" t="str">
        <f t="shared" si="59"/>
        <v>958</v>
      </c>
    </row>
    <row r="378" spans="1:23" x14ac:dyDescent="0.3">
      <c r="A378" t="s">
        <v>314</v>
      </c>
      <c r="B378" s="45" t="str">
        <f t="shared" si="50"/>
        <v>Frank</v>
      </c>
      <c r="C378" t="s">
        <v>1051</v>
      </c>
      <c r="D378" t="s">
        <v>1050</v>
      </c>
      <c r="E378" s="45" t="str">
        <f t="shared" si="51"/>
        <v>Clark</v>
      </c>
      <c r="F378" s="45" t="str">
        <f t="shared" si="52"/>
        <v>Frank P Clark</v>
      </c>
      <c r="G378" t="s">
        <v>264</v>
      </c>
      <c r="H378" t="str">
        <f t="shared" si="53"/>
        <v>Male</v>
      </c>
      <c r="I378" t="s">
        <v>1049</v>
      </c>
      <c r="J378" t="s">
        <v>1048</v>
      </c>
      <c r="K378" t="s">
        <v>95</v>
      </c>
      <c r="L378">
        <v>20014</v>
      </c>
      <c r="O378" t="s">
        <v>1047</v>
      </c>
      <c r="P378" s="45" t="str">
        <f t="shared" si="54"/>
        <v>aol</v>
      </c>
      <c r="Q378" t="s">
        <v>1046</v>
      </c>
      <c r="R378" s="45" t="str">
        <f t="shared" si="55"/>
        <v>301|564|7600</v>
      </c>
      <c r="S378" s="45" t="str">
        <f t="shared" si="56"/>
        <v>301</v>
      </c>
      <c r="T378" s="45" t="str">
        <f t="shared" si="57"/>
        <v>564</v>
      </c>
      <c r="U378" s="45" t="str">
        <f t="shared" si="58"/>
        <v>7600</v>
      </c>
      <c r="V378" s="2" t="s">
        <v>1045</v>
      </c>
      <c r="W378" s="45" t="str">
        <f t="shared" si="59"/>
        <v>5543</v>
      </c>
    </row>
    <row r="379" spans="1:23" x14ac:dyDescent="0.3">
      <c r="A379" t="s">
        <v>1044</v>
      </c>
      <c r="B379" s="45" t="str">
        <f t="shared" si="50"/>
        <v>Chester</v>
      </c>
      <c r="C379" t="s">
        <v>266</v>
      </c>
      <c r="D379" t="s">
        <v>1043</v>
      </c>
      <c r="E379" s="45" t="str">
        <f t="shared" si="51"/>
        <v>Smith</v>
      </c>
      <c r="F379" s="45" t="str">
        <f t="shared" si="52"/>
        <v>Chester S Smith</v>
      </c>
      <c r="G379" t="s">
        <v>264</v>
      </c>
      <c r="H379" t="str">
        <f t="shared" si="53"/>
        <v>Male</v>
      </c>
      <c r="I379" t="s">
        <v>1042</v>
      </c>
      <c r="J379" t="s">
        <v>1041</v>
      </c>
      <c r="K379" t="s">
        <v>57</v>
      </c>
      <c r="L379">
        <v>60191</v>
      </c>
      <c r="O379" t="s">
        <v>1040</v>
      </c>
      <c r="P379" s="45" t="str">
        <f t="shared" si="54"/>
        <v>aol</v>
      </c>
      <c r="Q379" t="s">
        <v>1039</v>
      </c>
      <c r="R379" s="45" t="str">
        <f t="shared" si="55"/>
        <v>847|481|7950</v>
      </c>
      <c r="S379" s="45" t="str">
        <f t="shared" si="56"/>
        <v>847</v>
      </c>
      <c r="T379" s="45" t="str">
        <f t="shared" si="57"/>
        <v>481</v>
      </c>
      <c r="U379" s="45" t="str">
        <f t="shared" si="58"/>
        <v>7950</v>
      </c>
      <c r="V379" s="2" t="s">
        <v>1038</v>
      </c>
      <c r="W379" s="45" t="str">
        <f t="shared" si="59"/>
        <v>892</v>
      </c>
    </row>
    <row r="380" spans="1:23" x14ac:dyDescent="0.3">
      <c r="A380" t="s">
        <v>295</v>
      </c>
      <c r="B380" s="45" t="str">
        <f t="shared" si="50"/>
        <v>William</v>
      </c>
      <c r="C380" t="s">
        <v>56</v>
      </c>
      <c r="D380" t="s">
        <v>1037</v>
      </c>
      <c r="E380" s="45" t="str">
        <f t="shared" si="51"/>
        <v>Park</v>
      </c>
      <c r="F380" s="45" t="str">
        <f t="shared" si="52"/>
        <v>William J Park</v>
      </c>
      <c r="G380" t="s">
        <v>264</v>
      </c>
      <c r="H380" t="str">
        <f t="shared" si="53"/>
        <v>Male</v>
      </c>
      <c r="I380" t="s">
        <v>1036</v>
      </c>
      <c r="J380" t="s">
        <v>1035</v>
      </c>
      <c r="K380" t="s">
        <v>119</v>
      </c>
      <c r="L380">
        <v>6510</v>
      </c>
      <c r="O380" t="s">
        <v>1034</v>
      </c>
      <c r="P380" s="45" t="str">
        <f t="shared" si="54"/>
        <v>aol</v>
      </c>
      <c r="Q380" t="s">
        <v>1033</v>
      </c>
      <c r="R380" s="45" t="str">
        <f t="shared" si="55"/>
        <v>203|764|5301</v>
      </c>
      <c r="S380" s="45" t="str">
        <f t="shared" si="56"/>
        <v>203</v>
      </c>
      <c r="T380" s="45" t="str">
        <f t="shared" si="57"/>
        <v>764</v>
      </c>
      <c r="U380" s="45" t="str">
        <f t="shared" si="58"/>
        <v>5301</v>
      </c>
      <c r="V380" s="2" t="s">
        <v>1032</v>
      </c>
      <c r="W380" s="45" t="str">
        <f t="shared" si="59"/>
        <v>225</v>
      </c>
    </row>
    <row r="381" spans="1:23" x14ac:dyDescent="0.3">
      <c r="A381" t="s">
        <v>720</v>
      </c>
      <c r="B381" s="45" t="str">
        <f t="shared" si="50"/>
        <v>Andrew</v>
      </c>
      <c r="C381" t="s">
        <v>69</v>
      </c>
      <c r="D381" t="s">
        <v>1031</v>
      </c>
      <c r="E381" s="45" t="str">
        <f t="shared" si="51"/>
        <v>Hunter</v>
      </c>
      <c r="F381" s="45" t="str">
        <f t="shared" si="52"/>
        <v>Andrew H Hunter</v>
      </c>
      <c r="G381" t="s">
        <v>264</v>
      </c>
      <c r="H381" t="str">
        <f t="shared" si="53"/>
        <v>Male</v>
      </c>
      <c r="I381" t="s">
        <v>1030</v>
      </c>
      <c r="J381" t="s">
        <v>36</v>
      </c>
      <c r="K381" t="s">
        <v>68</v>
      </c>
      <c r="L381">
        <v>10023</v>
      </c>
      <c r="O381" t="s">
        <v>1029</v>
      </c>
      <c r="P381" s="45" t="str">
        <f t="shared" si="54"/>
        <v>aol</v>
      </c>
      <c r="Q381" t="s">
        <v>1028</v>
      </c>
      <c r="R381" s="45" t="str">
        <f t="shared" si="55"/>
        <v>212|496|4350</v>
      </c>
      <c r="S381" s="45" t="str">
        <f t="shared" si="56"/>
        <v>212</v>
      </c>
      <c r="T381" s="45" t="str">
        <f t="shared" si="57"/>
        <v>496</v>
      </c>
      <c r="U381" s="45" t="str">
        <f t="shared" si="58"/>
        <v>4350</v>
      </c>
      <c r="V381" s="2" t="s">
        <v>1027</v>
      </c>
      <c r="W381" s="45" t="str">
        <f t="shared" si="59"/>
        <v>1865</v>
      </c>
    </row>
    <row r="382" spans="1:23" x14ac:dyDescent="0.3">
      <c r="A382" t="s">
        <v>1026</v>
      </c>
      <c r="B382" s="45" t="str">
        <f t="shared" si="50"/>
        <v>Ricky</v>
      </c>
      <c r="C382" t="s">
        <v>75</v>
      </c>
      <c r="D382" t="s">
        <v>1025</v>
      </c>
      <c r="E382" s="45" t="str">
        <f t="shared" si="51"/>
        <v>Shields</v>
      </c>
      <c r="F382" s="45" t="str">
        <f t="shared" si="52"/>
        <v>Ricky B Shields</v>
      </c>
      <c r="G382" t="s">
        <v>264</v>
      </c>
      <c r="H382" t="str">
        <f t="shared" si="53"/>
        <v>Male</v>
      </c>
      <c r="I382" t="s">
        <v>1024</v>
      </c>
      <c r="J382" t="s">
        <v>1023</v>
      </c>
      <c r="K382" t="s">
        <v>58</v>
      </c>
      <c r="L382">
        <v>92704</v>
      </c>
      <c r="O382" t="s">
        <v>1022</v>
      </c>
      <c r="P382" s="45" t="str">
        <f t="shared" si="54"/>
        <v>gmail</v>
      </c>
      <c r="Q382" t="s">
        <v>1021</v>
      </c>
      <c r="R382" s="45" t="str">
        <f t="shared" si="55"/>
        <v>714|431|2249</v>
      </c>
      <c r="S382" s="45" t="str">
        <f t="shared" si="56"/>
        <v>714</v>
      </c>
      <c r="T382" s="45" t="str">
        <f t="shared" si="57"/>
        <v>431</v>
      </c>
      <c r="U382" s="45" t="str">
        <f t="shared" si="58"/>
        <v>2249</v>
      </c>
      <c r="V382" s="2" t="s">
        <v>1020</v>
      </c>
      <c r="W382" s="45" t="str">
        <f t="shared" si="59"/>
        <v>1306</v>
      </c>
    </row>
    <row r="383" spans="1:23" x14ac:dyDescent="0.3">
      <c r="A383" t="s">
        <v>1019</v>
      </c>
      <c r="B383" s="45" t="str">
        <f t="shared" si="50"/>
        <v>Bobby</v>
      </c>
      <c r="C383" t="s">
        <v>60</v>
      </c>
      <c r="D383" t="s">
        <v>1018</v>
      </c>
      <c r="E383" s="45" t="str">
        <f t="shared" si="51"/>
        <v>Wells</v>
      </c>
      <c r="F383" s="45" t="str">
        <f t="shared" si="52"/>
        <v>Bobby M Wells</v>
      </c>
      <c r="G383" t="s">
        <v>264</v>
      </c>
      <c r="H383" t="str">
        <f t="shared" si="53"/>
        <v>Male</v>
      </c>
      <c r="I383" t="s">
        <v>1017</v>
      </c>
      <c r="J383" t="s">
        <v>1016</v>
      </c>
      <c r="K383" t="s">
        <v>99</v>
      </c>
      <c r="L383">
        <v>46350</v>
      </c>
      <c r="O383" t="s">
        <v>1015</v>
      </c>
      <c r="P383" s="45" t="str">
        <f t="shared" si="54"/>
        <v>gmail</v>
      </c>
      <c r="Q383" t="s">
        <v>1014</v>
      </c>
      <c r="R383" s="45" t="str">
        <f t="shared" si="55"/>
        <v>219|851|2179</v>
      </c>
      <c r="S383" s="45" t="str">
        <f t="shared" si="56"/>
        <v>219</v>
      </c>
      <c r="T383" s="45" t="str">
        <f t="shared" si="57"/>
        <v>851</v>
      </c>
      <c r="U383" s="45" t="str">
        <f t="shared" si="58"/>
        <v>2179</v>
      </c>
      <c r="V383" s="2" t="s">
        <v>1013</v>
      </c>
      <c r="W383" s="45" t="str">
        <f t="shared" si="59"/>
        <v>663</v>
      </c>
    </row>
    <row r="384" spans="1:23" x14ac:dyDescent="0.3">
      <c r="A384" t="s">
        <v>1012</v>
      </c>
      <c r="B384" s="45" t="str">
        <f t="shared" si="50"/>
        <v>Adam</v>
      </c>
      <c r="C384" t="s">
        <v>1011</v>
      </c>
      <c r="D384" t="s">
        <v>1010</v>
      </c>
      <c r="E384" s="45" t="str">
        <f t="shared" si="51"/>
        <v>White</v>
      </c>
      <c r="F384" s="45" t="str">
        <f t="shared" si="52"/>
        <v>Adam V White</v>
      </c>
      <c r="G384" t="s">
        <v>264</v>
      </c>
      <c r="H384" t="str">
        <f t="shared" si="53"/>
        <v>Male</v>
      </c>
      <c r="I384" t="s">
        <v>1009</v>
      </c>
      <c r="J384" t="s">
        <v>1008</v>
      </c>
      <c r="K384" t="s">
        <v>100</v>
      </c>
      <c r="L384">
        <v>38901</v>
      </c>
      <c r="O384" t="s">
        <v>1007</v>
      </c>
      <c r="P384" s="45" t="str">
        <f t="shared" si="54"/>
        <v>gmail</v>
      </c>
      <c r="Q384" t="s">
        <v>1006</v>
      </c>
      <c r="R384" s="45" t="str">
        <f t="shared" si="55"/>
        <v>662|229|2018</v>
      </c>
      <c r="S384" s="45" t="str">
        <f t="shared" si="56"/>
        <v>662</v>
      </c>
      <c r="T384" s="45" t="str">
        <f t="shared" si="57"/>
        <v>229</v>
      </c>
      <c r="U384" s="45" t="str">
        <f t="shared" si="58"/>
        <v>2018</v>
      </c>
      <c r="V384" s="2" t="s">
        <v>1005</v>
      </c>
      <c r="W384" s="45" t="str">
        <f t="shared" si="59"/>
        <v>309</v>
      </c>
    </row>
    <row r="385" spans="1:23" x14ac:dyDescent="0.3">
      <c r="A385" t="s">
        <v>555</v>
      </c>
      <c r="B385" s="45" t="str">
        <f t="shared" si="50"/>
        <v>Marshall</v>
      </c>
      <c r="C385" t="s">
        <v>56</v>
      </c>
      <c r="D385" t="s">
        <v>1004</v>
      </c>
      <c r="E385" s="45" t="str">
        <f t="shared" si="51"/>
        <v>Hubbard</v>
      </c>
      <c r="F385" s="45" t="str">
        <f t="shared" si="52"/>
        <v>Marshall J Hubbard</v>
      </c>
      <c r="G385" t="s">
        <v>264</v>
      </c>
      <c r="H385" t="str">
        <f t="shared" si="53"/>
        <v>Male</v>
      </c>
      <c r="I385" t="s">
        <v>1003</v>
      </c>
      <c r="J385" t="s">
        <v>468</v>
      </c>
      <c r="K385" t="s">
        <v>68</v>
      </c>
      <c r="L385">
        <v>11530</v>
      </c>
      <c r="O385" t="s">
        <v>1002</v>
      </c>
      <c r="P385" s="45" t="str">
        <f t="shared" si="54"/>
        <v>aol</v>
      </c>
      <c r="Q385" t="s">
        <v>1001</v>
      </c>
      <c r="R385" s="45" t="str">
        <f t="shared" si="55"/>
        <v>631|433|2627</v>
      </c>
      <c r="S385" s="45" t="str">
        <f t="shared" si="56"/>
        <v>631</v>
      </c>
      <c r="T385" s="45" t="str">
        <f t="shared" si="57"/>
        <v>433</v>
      </c>
      <c r="U385" s="45" t="str">
        <f t="shared" si="58"/>
        <v>2627</v>
      </c>
      <c r="V385" s="2" t="s">
        <v>1000</v>
      </c>
      <c r="W385" s="45" t="str">
        <f t="shared" si="59"/>
        <v>208</v>
      </c>
    </row>
    <row r="386" spans="1:23" x14ac:dyDescent="0.3">
      <c r="A386" t="s">
        <v>563</v>
      </c>
      <c r="B386" s="45" t="str">
        <f t="shared" si="50"/>
        <v>James</v>
      </c>
      <c r="C386" t="s">
        <v>56</v>
      </c>
      <c r="D386" t="s">
        <v>382</v>
      </c>
      <c r="E386" s="45" t="str">
        <f t="shared" si="51"/>
        <v>Perry</v>
      </c>
      <c r="F386" s="45" t="str">
        <f t="shared" si="52"/>
        <v>James J Perry</v>
      </c>
      <c r="G386" t="s">
        <v>264</v>
      </c>
      <c r="H386" t="str">
        <f t="shared" si="53"/>
        <v>Male</v>
      </c>
      <c r="I386" t="s">
        <v>999</v>
      </c>
      <c r="J386" t="s">
        <v>998</v>
      </c>
      <c r="K386" t="s">
        <v>57</v>
      </c>
      <c r="L386">
        <v>62960</v>
      </c>
      <c r="O386" t="s">
        <v>997</v>
      </c>
      <c r="P386" s="45" t="str">
        <f t="shared" si="54"/>
        <v>aol</v>
      </c>
      <c r="Q386" t="s">
        <v>996</v>
      </c>
      <c r="R386" s="45" t="str">
        <f t="shared" si="55"/>
        <v>618|280|2545</v>
      </c>
      <c r="S386" s="45" t="str">
        <f t="shared" si="56"/>
        <v>618</v>
      </c>
      <c r="T386" s="45" t="str">
        <f t="shared" si="57"/>
        <v>280</v>
      </c>
      <c r="U386" s="45" t="str">
        <f t="shared" si="58"/>
        <v>2545</v>
      </c>
      <c r="V386" s="2" t="s">
        <v>995</v>
      </c>
      <c r="W386" s="45" t="str">
        <f t="shared" si="59"/>
        <v>637</v>
      </c>
    </row>
    <row r="387" spans="1:23" x14ac:dyDescent="0.3">
      <c r="A387" t="s">
        <v>994</v>
      </c>
      <c r="B387" s="45" t="str">
        <f t="shared" ref="B387:B450" si="60">PROPER(A387)</f>
        <v>Pauline</v>
      </c>
      <c r="C387" t="s">
        <v>243</v>
      </c>
      <c r="D387" t="s">
        <v>993</v>
      </c>
      <c r="E387" s="45" t="str">
        <f t="shared" ref="E387:E450" si="61">PROPER(D387)</f>
        <v>Fisher</v>
      </c>
      <c r="F387" s="45" t="str">
        <f t="shared" ref="F387:F450" si="62">_xlfn.CONCAT(B387," ",C387," ",E387)</f>
        <v>Pauline R Fisher</v>
      </c>
      <c r="G387" t="s">
        <v>241</v>
      </c>
      <c r="H387" t="str">
        <f t="shared" ref="H387:H450" si="63">PROPER(G387)</f>
        <v>Female</v>
      </c>
      <c r="I387" t="s">
        <v>992</v>
      </c>
      <c r="J387" t="s">
        <v>991</v>
      </c>
      <c r="K387" t="s">
        <v>80</v>
      </c>
      <c r="L387">
        <v>68715</v>
      </c>
      <c r="O387" t="s">
        <v>990</v>
      </c>
      <c r="P387" s="45" t="str">
        <f t="shared" ref="P387:P450" si="64">_xlfn.TEXTBEFORE(_xlfn.TEXTAFTER(O387,"@"),".")</f>
        <v>aol</v>
      </c>
      <c r="Q387" t="s">
        <v>989</v>
      </c>
      <c r="R387" s="45" t="str">
        <f t="shared" ref="R387:R450" si="65">SUBSTITUTE(Q387,"-","|")</f>
        <v>402|675|2093</v>
      </c>
      <c r="S387" s="45" t="str">
        <f t="shared" ref="S387:S450" si="66">LEFT(R387,3)</f>
        <v>402</v>
      </c>
      <c r="T387" s="45" t="str">
        <f t="shared" ref="T387:T450" si="67">MID(R387,5,3)</f>
        <v>675</v>
      </c>
      <c r="U387" s="45" t="str">
        <f t="shared" ref="U387:U450" si="68">RIGHT(R387,4)</f>
        <v>2093</v>
      </c>
      <c r="V387" s="2" t="s">
        <v>988</v>
      </c>
      <c r="W387" s="45" t="str">
        <f t="shared" ref="W387:W450" si="69">RIGHT(V387,LEN(V387)-FIND("-",V387))</f>
        <v>633</v>
      </c>
    </row>
    <row r="388" spans="1:23" x14ac:dyDescent="0.3">
      <c r="A388" t="s">
        <v>369</v>
      </c>
      <c r="B388" s="45" t="str">
        <f t="shared" si="60"/>
        <v>David</v>
      </c>
      <c r="C388" t="s">
        <v>56</v>
      </c>
      <c r="D388" t="s">
        <v>987</v>
      </c>
      <c r="E388" s="45" t="str">
        <f t="shared" si="61"/>
        <v>Wilson</v>
      </c>
      <c r="F388" s="45" t="str">
        <f t="shared" si="62"/>
        <v>David J Wilson</v>
      </c>
      <c r="G388" t="s">
        <v>264</v>
      </c>
      <c r="H388" t="str">
        <f t="shared" si="63"/>
        <v>Male</v>
      </c>
      <c r="I388" t="s">
        <v>986</v>
      </c>
      <c r="J388" t="s">
        <v>985</v>
      </c>
      <c r="K388" t="s">
        <v>79</v>
      </c>
      <c r="L388">
        <v>33306</v>
      </c>
      <c r="O388" t="s">
        <v>984</v>
      </c>
      <c r="P388" s="45" t="str">
        <f t="shared" si="64"/>
        <v>aol</v>
      </c>
      <c r="Q388" t="s">
        <v>983</v>
      </c>
      <c r="R388" s="45" t="str">
        <f t="shared" si="65"/>
        <v>954|538|7145</v>
      </c>
      <c r="S388" s="45" t="str">
        <f t="shared" si="66"/>
        <v>954</v>
      </c>
      <c r="T388" s="45" t="str">
        <f t="shared" si="67"/>
        <v>538</v>
      </c>
      <c r="U388" s="45" t="str">
        <f t="shared" si="68"/>
        <v>7145</v>
      </c>
      <c r="V388" s="2" t="s">
        <v>982</v>
      </c>
      <c r="W388" s="45" t="str">
        <f t="shared" si="69"/>
        <v>4363</v>
      </c>
    </row>
    <row r="389" spans="1:23" x14ac:dyDescent="0.3">
      <c r="A389" t="s">
        <v>962</v>
      </c>
      <c r="B389" s="45" t="str">
        <f t="shared" si="60"/>
        <v>Kim</v>
      </c>
      <c r="C389" t="s">
        <v>463</v>
      </c>
      <c r="D389" t="s">
        <v>981</v>
      </c>
      <c r="E389" s="45" t="str">
        <f t="shared" si="61"/>
        <v>Hines</v>
      </c>
      <c r="F389" s="45" t="str">
        <f t="shared" si="62"/>
        <v>Kim W Hines</v>
      </c>
      <c r="G389" t="s">
        <v>241</v>
      </c>
      <c r="H389" t="str">
        <f t="shared" si="63"/>
        <v>Female</v>
      </c>
      <c r="I389" t="s">
        <v>980</v>
      </c>
      <c r="J389" t="s">
        <v>979</v>
      </c>
      <c r="K389" t="s">
        <v>79</v>
      </c>
      <c r="L389">
        <v>33624</v>
      </c>
      <c r="O389" t="s">
        <v>978</v>
      </c>
      <c r="P389" s="45" t="str">
        <f t="shared" si="64"/>
        <v>aol</v>
      </c>
      <c r="Q389" t="s">
        <v>977</v>
      </c>
      <c r="R389" s="45" t="str">
        <f t="shared" si="65"/>
        <v>813|435|8079</v>
      </c>
      <c r="S389" s="45" t="str">
        <f t="shared" si="66"/>
        <v>813</v>
      </c>
      <c r="T389" s="45" t="str">
        <f t="shared" si="67"/>
        <v>435</v>
      </c>
      <c r="U389" s="45" t="str">
        <f t="shared" si="68"/>
        <v>8079</v>
      </c>
      <c r="V389" s="2" t="s">
        <v>976</v>
      </c>
      <c r="W389" s="45" t="str">
        <f t="shared" si="69"/>
        <v>036</v>
      </c>
    </row>
    <row r="390" spans="1:23" x14ac:dyDescent="0.3">
      <c r="A390" t="s">
        <v>975</v>
      </c>
      <c r="B390" s="45" t="str">
        <f t="shared" si="60"/>
        <v>Louise</v>
      </c>
      <c r="C390" t="s">
        <v>72</v>
      </c>
      <c r="D390" t="s">
        <v>974</v>
      </c>
      <c r="E390" s="45" t="str">
        <f t="shared" si="61"/>
        <v>Benner</v>
      </c>
      <c r="F390" s="45" t="str">
        <f t="shared" si="62"/>
        <v>Louise E Benner</v>
      </c>
      <c r="G390" t="s">
        <v>241</v>
      </c>
      <c r="H390" t="str">
        <f t="shared" si="63"/>
        <v>Female</v>
      </c>
      <c r="I390" t="s">
        <v>973</v>
      </c>
      <c r="J390" t="s">
        <v>262</v>
      </c>
      <c r="K390" t="s">
        <v>63</v>
      </c>
      <c r="L390">
        <v>70601</v>
      </c>
      <c r="O390" t="s">
        <v>972</v>
      </c>
      <c r="P390" s="45" t="str">
        <f t="shared" si="64"/>
        <v>hotmail</v>
      </c>
      <c r="Q390" t="s">
        <v>971</v>
      </c>
      <c r="R390" s="45" t="str">
        <f t="shared" si="65"/>
        <v>337|430|3692</v>
      </c>
      <c r="S390" s="45" t="str">
        <f t="shared" si="66"/>
        <v>337</v>
      </c>
      <c r="T390" s="45" t="str">
        <f t="shared" si="67"/>
        <v>430</v>
      </c>
      <c r="U390" s="45" t="str">
        <f t="shared" si="68"/>
        <v>3692</v>
      </c>
      <c r="V390" s="2" t="s">
        <v>970</v>
      </c>
      <c r="W390" s="45" t="str">
        <f t="shared" si="69"/>
        <v>9915</v>
      </c>
    </row>
    <row r="391" spans="1:23" x14ac:dyDescent="0.3">
      <c r="A391" t="s">
        <v>969</v>
      </c>
      <c r="B391" s="45" t="str">
        <f t="shared" si="60"/>
        <v>Garry</v>
      </c>
      <c r="C391" t="s">
        <v>56</v>
      </c>
      <c r="D391" t="s">
        <v>968</v>
      </c>
      <c r="E391" s="45" t="str">
        <f t="shared" si="61"/>
        <v>Pannell</v>
      </c>
      <c r="F391" s="45" t="str">
        <f t="shared" si="62"/>
        <v>Garry J Pannell</v>
      </c>
      <c r="G391" t="s">
        <v>264</v>
      </c>
      <c r="H391" t="str">
        <f t="shared" si="63"/>
        <v>Male</v>
      </c>
      <c r="I391" t="s">
        <v>967</v>
      </c>
      <c r="J391" t="s">
        <v>966</v>
      </c>
      <c r="K391" t="s">
        <v>88</v>
      </c>
      <c r="L391">
        <v>45801</v>
      </c>
      <c r="O391" t="s">
        <v>965</v>
      </c>
      <c r="P391" s="45" t="str">
        <f t="shared" si="64"/>
        <v>aol</v>
      </c>
      <c r="Q391" t="s">
        <v>964</v>
      </c>
      <c r="R391" s="45" t="str">
        <f t="shared" si="65"/>
        <v>419|860|5124</v>
      </c>
      <c r="S391" s="45" t="str">
        <f t="shared" si="66"/>
        <v>419</v>
      </c>
      <c r="T391" s="45" t="str">
        <f t="shared" si="67"/>
        <v>860</v>
      </c>
      <c r="U391" s="45" t="str">
        <f t="shared" si="68"/>
        <v>5124</v>
      </c>
      <c r="V391" s="2" t="s">
        <v>963</v>
      </c>
      <c r="W391" s="45" t="str">
        <f t="shared" si="69"/>
        <v>1094</v>
      </c>
    </row>
    <row r="392" spans="1:23" x14ac:dyDescent="0.3">
      <c r="A392" t="s">
        <v>295</v>
      </c>
      <c r="B392" s="45" t="str">
        <f t="shared" si="60"/>
        <v>William</v>
      </c>
      <c r="C392" t="s">
        <v>243</v>
      </c>
      <c r="D392" t="s">
        <v>962</v>
      </c>
      <c r="E392" s="45" t="str">
        <f t="shared" si="61"/>
        <v>Kim</v>
      </c>
      <c r="F392" s="45" t="str">
        <f t="shared" si="62"/>
        <v>William R Kim</v>
      </c>
      <c r="G392" t="s">
        <v>264</v>
      </c>
      <c r="H392" t="str">
        <f t="shared" si="63"/>
        <v>Male</v>
      </c>
      <c r="I392" t="s">
        <v>961</v>
      </c>
      <c r="J392" t="s">
        <v>960</v>
      </c>
      <c r="K392" t="s">
        <v>86</v>
      </c>
      <c r="L392">
        <v>2141</v>
      </c>
      <c r="O392" t="s">
        <v>959</v>
      </c>
      <c r="P392" s="45" t="str">
        <f t="shared" si="64"/>
        <v>aol</v>
      </c>
      <c r="Q392" t="s">
        <v>958</v>
      </c>
      <c r="R392" s="45" t="str">
        <f t="shared" si="65"/>
        <v>978|965|4662</v>
      </c>
      <c r="S392" s="45" t="str">
        <f t="shared" si="66"/>
        <v>978</v>
      </c>
      <c r="T392" s="45" t="str">
        <f t="shared" si="67"/>
        <v>965</v>
      </c>
      <c r="U392" s="45" t="str">
        <f t="shared" si="68"/>
        <v>4662</v>
      </c>
      <c r="V392" s="2" t="s">
        <v>957</v>
      </c>
      <c r="W392" s="45" t="str">
        <f t="shared" si="69"/>
        <v>853</v>
      </c>
    </row>
    <row r="393" spans="1:23" x14ac:dyDescent="0.3">
      <c r="A393" t="s">
        <v>956</v>
      </c>
      <c r="B393" s="45" t="str">
        <f t="shared" si="60"/>
        <v>Joyce</v>
      </c>
      <c r="C393" t="s">
        <v>60</v>
      </c>
      <c r="D393" t="s">
        <v>955</v>
      </c>
      <c r="E393" s="45" t="str">
        <f t="shared" si="61"/>
        <v>Millard</v>
      </c>
      <c r="F393" s="45" t="str">
        <f t="shared" si="62"/>
        <v>Joyce M Millard</v>
      </c>
      <c r="G393" t="s">
        <v>241</v>
      </c>
      <c r="H393" t="str">
        <f t="shared" si="63"/>
        <v>Female</v>
      </c>
      <c r="I393" t="s">
        <v>954</v>
      </c>
      <c r="J393" t="s">
        <v>953</v>
      </c>
      <c r="K393" t="s">
        <v>58</v>
      </c>
      <c r="L393">
        <v>95826</v>
      </c>
      <c r="O393" t="s">
        <v>952</v>
      </c>
      <c r="P393" s="45" t="str">
        <f t="shared" si="64"/>
        <v>aol</v>
      </c>
      <c r="Q393" t="s">
        <v>951</v>
      </c>
      <c r="R393" s="45" t="str">
        <f t="shared" si="65"/>
        <v>916|276|4694</v>
      </c>
      <c r="S393" s="45" t="str">
        <f t="shared" si="66"/>
        <v>916</v>
      </c>
      <c r="T393" s="45" t="str">
        <f t="shared" si="67"/>
        <v>276</v>
      </c>
      <c r="U393" s="45" t="str">
        <f t="shared" si="68"/>
        <v>4694</v>
      </c>
      <c r="V393" s="2" t="s">
        <v>950</v>
      </c>
      <c r="W393" s="45" t="str">
        <f t="shared" si="69"/>
        <v>998</v>
      </c>
    </row>
    <row r="394" spans="1:23" x14ac:dyDescent="0.3">
      <c r="A394" t="s">
        <v>610</v>
      </c>
      <c r="B394" s="45" t="str">
        <f t="shared" si="60"/>
        <v>Susan</v>
      </c>
      <c r="C394" t="s">
        <v>266</v>
      </c>
      <c r="D394" t="s">
        <v>949</v>
      </c>
      <c r="E394" s="45" t="str">
        <f t="shared" si="61"/>
        <v>Valentine</v>
      </c>
      <c r="F394" s="45" t="str">
        <f t="shared" si="62"/>
        <v>Susan S Valentine</v>
      </c>
      <c r="G394" t="s">
        <v>241</v>
      </c>
      <c r="H394" t="str">
        <f t="shared" si="63"/>
        <v>Female</v>
      </c>
      <c r="I394" t="s">
        <v>948</v>
      </c>
      <c r="J394" t="s">
        <v>488</v>
      </c>
      <c r="K394" t="s">
        <v>95</v>
      </c>
      <c r="L394">
        <v>21136</v>
      </c>
      <c r="O394" t="s">
        <v>947</v>
      </c>
      <c r="P394" s="45" t="str">
        <f t="shared" si="64"/>
        <v>gmail</v>
      </c>
      <c r="Q394" t="s">
        <v>946</v>
      </c>
      <c r="R394" s="45" t="str">
        <f t="shared" si="65"/>
        <v>410|861|1596</v>
      </c>
      <c r="S394" s="45" t="str">
        <f t="shared" si="66"/>
        <v>410</v>
      </c>
      <c r="T394" s="45" t="str">
        <f t="shared" si="67"/>
        <v>861</v>
      </c>
      <c r="U394" s="45" t="str">
        <f t="shared" si="68"/>
        <v>1596</v>
      </c>
      <c r="V394" s="2" t="s">
        <v>945</v>
      </c>
      <c r="W394" s="45" t="str">
        <f t="shared" si="69"/>
        <v>8580</v>
      </c>
    </row>
    <row r="395" spans="1:23" x14ac:dyDescent="0.3">
      <c r="A395" t="s">
        <v>556</v>
      </c>
      <c r="B395" s="45" t="str">
        <f t="shared" si="60"/>
        <v>Charles</v>
      </c>
      <c r="C395" t="s">
        <v>60</v>
      </c>
      <c r="D395" t="s">
        <v>944</v>
      </c>
      <c r="E395" s="45" t="str">
        <f t="shared" si="61"/>
        <v>Roberts</v>
      </c>
      <c r="F395" s="45" t="str">
        <f t="shared" si="62"/>
        <v>Charles M Roberts</v>
      </c>
      <c r="G395" t="s">
        <v>264</v>
      </c>
      <c r="H395" t="str">
        <f t="shared" si="63"/>
        <v>Male</v>
      </c>
      <c r="I395" t="s">
        <v>943</v>
      </c>
      <c r="J395" t="s">
        <v>942</v>
      </c>
      <c r="K395" t="s">
        <v>118</v>
      </c>
      <c r="L395">
        <v>89109</v>
      </c>
      <c r="O395" t="s">
        <v>941</v>
      </c>
      <c r="P395" s="45" t="str">
        <f t="shared" si="64"/>
        <v>hotmail</v>
      </c>
      <c r="Q395" t="s">
        <v>940</v>
      </c>
      <c r="R395" s="45" t="str">
        <f t="shared" si="65"/>
        <v>702|691|7861</v>
      </c>
      <c r="S395" s="45" t="str">
        <f t="shared" si="66"/>
        <v>702</v>
      </c>
      <c r="T395" s="45" t="str">
        <f t="shared" si="67"/>
        <v>691</v>
      </c>
      <c r="U395" s="45" t="str">
        <f t="shared" si="68"/>
        <v>7861</v>
      </c>
      <c r="V395" s="2" t="s">
        <v>939</v>
      </c>
      <c r="W395" s="45" t="str">
        <f t="shared" si="69"/>
        <v>906</v>
      </c>
    </row>
    <row r="396" spans="1:23" x14ac:dyDescent="0.3">
      <c r="A396" t="s">
        <v>938</v>
      </c>
      <c r="B396" s="45" t="str">
        <f t="shared" si="60"/>
        <v>Carlos</v>
      </c>
      <c r="C396" t="s">
        <v>60</v>
      </c>
      <c r="D396" t="s">
        <v>937</v>
      </c>
      <c r="E396" s="45" t="str">
        <f t="shared" si="61"/>
        <v>Na</v>
      </c>
      <c r="F396" s="45" t="str">
        <f t="shared" si="62"/>
        <v>Carlos M Na</v>
      </c>
      <c r="G396" t="s">
        <v>264</v>
      </c>
      <c r="H396" t="str">
        <f t="shared" si="63"/>
        <v>Male</v>
      </c>
      <c r="I396" t="s">
        <v>936</v>
      </c>
      <c r="J396" t="s">
        <v>935</v>
      </c>
      <c r="K396" t="s">
        <v>112</v>
      </c>
      <c r="L396">
        <v>29576</v>
      </c>
      <c r="O396" t="s">
        <v>934</v>
      </c>
      <c r="P396" s="45" t="str">
        <f t="shared" si="64"/>
        <v>gmail</v>
      </c>
      <c r="Q396" t="s">
        <v>933</v>
      </c>
      <c r="R396" s="45" t="str">
        <f t="shared" si="65"/>
        <v>843|652|1588</v>
      </c>
      <c r="S396" s="45" t="str">
        <f t="shared" si="66"/>
        <v>843</v>
      </c>
      <c r="T396" s="45" t="str">
        <f t="shared" si="67"/>
        <v>652</v>
      </c>
      <c r="U396" s="45" t="str">
        <f t="shared" si="68"/>
        <v>1588</v>
      </c>
      <c r="V396" s="2" t="s">
        <v>932</v>
      </c>
      <c r="W396" s="45" t="str">
        <f t="shared" si="69"/>
        <v>301</v>
      </c>
    </row>
    <row r="397" spans="1:23" x14ac:dyDescent="0.3">
      <c r="A397" t="s">
        <v>931</v>
      </c>
      <c r="B397" s="45" t="str">
        <f t="shared" si="60"/>
        <v>Theresa</v>
      </c>
      <c r="C397" t="s">
        <v>56</v>
      </c>
      <c r="D397" t="s">
        <v>930</v>
      </c>
      <c r="E397" s="45" t="str">
        <f t="shared" si="61"/>
        <v>Craig</v>
      </c>
      <c r="F397" s="45" t="str">
        <f t="shared" si="62"/>
        <v>Theresa J Craig</v>
      </c>
      <c r="G397" t="s">
        <v>241</v>
      </c>
      <c r="H397" t="str">
        <f t="shared" si="63"/>
        <v>Female</v>
      </c>
      <c r="I397" t="s">
        <v>929</v>
      </c>
      <c r="J397" t="s">
        <v>922</v>
      </c>
      <c r="K397" t="s">
        <v>97</v>
      </c>
      <c r="L397">
        <v>73102</v>
      </c>
      <c r="O397" t="s">
        <v>928</v>
      </c>
      <c r="P397" s="45" t="str">
        <f t="shared" si="64"/>
        <v>hotmail</v>
      </c>
      <c r="Q397" t="s">
        <v>927</v>
      </c>
      <c r="R397" s="45" t="str">
        <f t="shared" si="65"/>
        <v>580|284|2663</v>
      </c>
      <c r="S397" s="45" t="str">
        <f t="shared" si="66"/>
        <v>580</v>
      </c>
      <c r="T397" s="45" t="str">
        <f t="shared" si="67"/>
        <v>284</v>
      </c>
      <c r="U397" s="45" t="str">
        <f t="shared" si="68"/>
        <v>2663</v>
      </c>
      <c r="V397" s="2" t="s">
        <v>926</v>
      </c>
      <c r="W397" s="45" t="str">
        <f t="shared" si="69"/>
        <v>679</v>
      </c>
    </row>
    <row r="398" spans="1:23" x14ac:dyDescent="0.3">
      <c r="A398" t="s">
        <v>925</v>
      </c>
      <c r="B398" s="45" t="str">
        <f t="shared" si="60"/>
        <v>Paul</v>
      </c>
      <c r="C398" t="s">
        <v>91</v>
      </c>
      <c r="D398" t="s">
        <v>924</v>
      </c>
      <c r="E398" s="45" t="str">
        <f t="shared" si="61"/>
        <v>Curtis</v>
      </c>
      <c r="F398" s="45" t="str">
        <f t="shared" si="62"/>
        <v>Paul L Curtis</v>
      </c>
      <c r="G398" t="s">
        <v>264</v>
      </c>
      <c r="H398" t="str">
        <f t="shared" si="63"/>
        <v>Male</v>
      </c>
      <c r="I398" t="s">
        <v>923</v>
      </c>
      <c r="J398" t="s">
        <v>922</v>
      </c>
      <c r="K398" t="s">
        <v>97</v>
      </c>
      <c r="L398">
        <v>73109</v>
      </c>
      <c r="O398" t="s">
        <v>921</v>
      </c>
      <c r="P398" s="45" t="str">
        <f t="shared" si="64"/>
        <v>aol</v>
      </c>
      <c r="Q398" t="s">
        <v>920</v>
      </c>
      <c r="R398" s="45" t="str">
        <f t="shared" si="65"/>
        <v>580|565|5337</v>
      </c>
      <c r="S398" s="45" t="str">
        <f t="shared" si="66"/>
        <v>580</v>
      </c>
      <c r="T398" s="45" t="str">
        <f t="shared" si="67"/>
        <v>565</v>
      </c>
      <c r="U398" s="45" t="str">
        <f t="shared" si="68"/>
        <v>5337</v>
      </c>
      <c r="V398" s="2" t="s">
        <v>919</v>
      </c>
      <c r="W398" s="45" t="str">
        <f t="shared" si="69"/>
        <v>1971</v>
      </c>
    </row>
    <row r="399" spans="1:23" x14ac:dyDescent="0.3">
      <c r="A399" t="s">
        <v>918</v>
      </c>
      <c r="B399" s="45" t="str">
        <f t="shared" si="60"/>
        <v>Henry</v>
      </c>
      <c r="C399" t="s">
        <v>77</v>
      </c>
      <c r="D399" t="s">
        <v>917</v>
      </c>
      <c r="E399" s="45" t="str">
        <f t="shared" si="61"/>
        <v>Rosenbaum</v>
      </c>
      <c r="F399" s="45" t="str">
        <f t="shared" si="62"/>
        <v>Henry C Rosenbaum</v>
      </c>
      <c r="G399" t="s">
        <v>264</v>
      </c>
      <c r="H399" t="str">
        <f t="shared" si="63"/>
        <v>Male</v>
      </c>
      <c r="I399" t="s">
        <v>916</v>
      </c>
      <c r="J399" t="s">
        <v>915</v>
      </c>
      <c r="K399" t="s">
        <v>59</v>
      </c>
      <c r="L399">
        <v>7036</v>
      </c>
      <c r="O399" t="s">
        <v>914</v>
      </c>
      <c r="P399" s="45" t="str">
        <f t="shared" si="64"/>
        <v>gmail</v>
      </c>
      <c r="Q399" t="s">
        <v>913</v>
      </c>
      <c r="R399" s="45" t="str">
        <f t="shared" si="65"/>
        <v>908|474|4556</v>
      </c>
      <c r="S399" s="45" t="str">
        <f t="shared" si="66"/>
        <v>908</v>
      </c>
      <c r="T399" s="45" t="str">
        <f t="shared" si="67"/>
        <v>474</v>
      </c>
      <c r="U399" s="45" t="str">
        <f t="shared" si="68"/>
        <v>4556</v>
      </c>
      <c r="V399" s="2" t="s">
        <v>912</v>
      </c>
      <c r="W399" s="45" t="str">
        <f t="shared" si="69"/>
        <v>0389</v>
      </c>
    </row>
    <row r="400" spans="1:23" x14ac:dyDescent="0.3">
      <c r="A400" t="s">
        <v>756</v>
      </c>
      <c r="B400" s="45" t="str">
        <f t="shared" si="60"/>
        <v>Robert</v>
      </c>
      <c r="C400" t="s">
        <v>243</v>
      </c>
      <c r="D400" t="s">
        <v>911</v>
      </c>
      <c r="E400" s="45" t="str">
        <f t="shared" si="61"/>
        <v>Brock</v>
      </c>
      <c r="F400" s="45" t="str">
        <f t="shared" si="62"/>
        <v>Robert R Brock</v>
      </c>
      <c r="G400" t="s">
        <v>264</v>
      </c>
      <c r="H400" t="str">
        <f t="shared" si="63"/>
        <v>Male</v>
      </c>
      <c r="I400" t="s">
        <v>910</v>
      </c>
      <c r="J400" t="s">
        <v>909</v>
      </c>
      <c r="K400" t="s">
        <v>59</v>
      </c>
      <c r="L400">
        <v>8901</v>
      </c>
      <c r="O400" t="s">
        <v>908</v>
      </c>
      <c r="P400" s="45" t="str">
        <f t="shared" si="64"/>
        <v>gmail</v>
      </c>
      <c r="Q400" t="s">
        <v>907</v>
      </c>
      <c r="R400" s="45" t="str">
        <f t="shared" si="65"/>
        <v>732|480|7525</v>
      </c>
      <c r="S400" s="45" t="str">
        <f t="shared" si="66"/>
        <v>732</v>
      </c>
      <c r="T400" s="45" t="str">
        <f t="shared" si="67"/>
        <v>480</v>
      </c>
      <c r="U400" s="45" t="str">
        <f t="shared" si="68"/>
        <v>7525</v>
      </c>
      <c r="V400" s="2" t="s">
        <v>906</v>
      </c>
      <c r="W400" s="45" t="str">
        <f t="shared" si="69"/>
        <v>8425</v>
      </c>
    </row>
    <row r="401" spans="1:23" x14ac:dyDescent="0.3">
      <c r="A401" t="s">
        <v>905</v>
      </c>
      <c r="B401" s="45" t="str">
        <f t="shared" si="60"/>
        <v>Janice</v>
      </c>
      <c r="C401" t="s">
        <v>807</v>
      </c>
      <c r="D401" t="s">
        <v>904</v>
      </c>
      <c r="E401" s="45" t="str">
        <f t="shared" si="61"/>
        <v>Krout</v>
      </c>
      <c r="F401" s="45" t="str">
        <f t="shared" si="62"/>
        <v>Janice N Krout</v>
      </c>
      <c r="G401" t="s">
        <v>241</v>
      </c>
      <c r="H401" t="str">
        <f t="shared" si="63"/>
        <v>Female</v>
      </c>
      <c r="I401" t="s">
        <v>903</v>
      </c>
      <c r="J401" t="s">
        <v>902</v>
      </c>
      <c r="K401" t="s">
        <v>58</v>
      </c>
      <c r="L401">
        <v>95678</v>
      </c>
      <c r="O401" t="s">
        <v>901</v>
      </c>
      <c r="P401" s="45" t="str">
        <f t="shared" si="64"/>
        <v>hotmail</v>
      </c>
      <c r="Q401" t="s">
        <v>900</v>
      </c>
      <c r="R401" s="45" t="str">
        <f t="shared" si="65"/>
        <v>916|640|6029</v>
      </c>
      <c r="S401" s="45" t="str">
        <f t="shared" si="66"/>
        <v>916</v>
      </c>
      <c r="T401" s="45" t="str">
        <f t="shared" si="67"/>
        <v>640</v>
      </c>
      <c r="U401" s="45" t="str">
        <f t="shared" si="68"/>
        <v>6029</v>
      </c>
      <c r="V401" s="2" t="s">
        <v>899</v>
      </c>
      <c r="W401" s="45" t="str">
        <f t="shared" si="69"/>
        <v>8535</v>
      </c>
    </row>
    <row r="402" spans="1:23" x14ac:dyDescent="0.3">
      <c r="A402" t="s">
        <v>498</v>
      </c>
      <c r="B402" s="45" t="str">
        <f t="shared" si="60"/>
        <v>Mary</v>
      </c>
      <c r="C402" t="s">
        <v>81</v>
      </c>
      <c r="D402" t="s">
        <v>898</v>
      </c>
      <c r="E402" s="45" t="str">
        <f t="shared" si="61"/>
        <v>Pearson</v>
      </c>
      <c r="F402" s="45" t="str">
        <f t="shared" si="62"/>
        <v>Mary A Pearson</v>
      </c>
      <c r="G402" t="s">
        <v>241</v>
      </c>
      <c r="H402" t="str">
        <f t="shared" si="63"/>
        <v>Female</v>
      </c>
      <c r="I402" t="s">
        <v>897</v>
      </c>
      <c r="J402" t="s">
        <v>896</v>
      </c>
      <c r="K402" t="s">
        <v>68</v>
      </c>
      <c r="L402">
        <v>10952</v>
      </c>
      <c r="O402" t="s">
        <v>895</v>
      </c>
      <c r="P402" s="45" t="str">
        <f t="shared" si="64"/>
        <v>hotmail</v>
      </c>
      <c r="Q402" t="s">
        <v>894</v>
      </c>
      <c r="R402" s="45" t="str">
        <f t="shared" si="65"/>
        <v>914|324|6344</v>
      </c>
      <c r="S402" s="45" t="str">
        <f t="shared" si="66"/>
        <v>914</v>
      </c>
      <c r="T402" s="45" t="str">
        <f t="shared" si="67"/>
        <v>324</v>
      </c>
      <c r="U402" s="45" t="str">
        <f t="shared" si="68"/>
        <v>6344</v>
      </c>
      <c r="V402" s="2" t="s">
        <v>893</v>
      </c>
      <c r="W402" s="45" t="str">
        <f t="shared" si="69"/>
        <v>3624</v>
      </c>
    </row>
    <row r="403" spans="1:23" x14ac:dyDescent="0.3">
      <c r="A403" t="s">
        <v>411</v>
      </c>
      <c r="B403" s="45" t="str">
        <f t="shared" si="60"/>
        <v>Joseph</v>
      </c>
      <c r="C403" t="s">
        <v>77</v>
      </c>
      <c r="D403" t="s">
        <v>719</v>
      </c>
      <c r="E403" s="45" t="str">
        <f t="shared" si="61"/>
        <v>Atkinson</v>
      </c>
      <c r="F403" s="45" t="str">
        <f t="shared" si="62"/>
        <v>Joseph C Atkinson</v>
      </c>
      <c r="G403" t="s">
        <v>264</v>
      </c>
      <c r="H403" t="str">
        <f t="shared" si="63"/>
        <v>Male</v>
      </c>
      <c r="I403" t="s">
        <v>892</v>
      </c>
      <c r="J403" t="s">
        <v>51</v>
      </c>
      <c r="K403" t="s">
        <v>117</v>
      </c>
      <c r="L403">
        <v>20004</v>
      </c>
      <c r="O403" t="s">
        <v>891</v>
      </c>
      <c r="P403" s="45" t="str">
        <f t="shared" si="64"/>
        <v>aol</v>
      </c>
      <c r="Q403" t="s">
        <v>890</v>
      </c>
      <c r="R403" s="45" t="str">
        <f t="shared" si="65"/>
        <v>202|420|6111</v>
      </c>
      <c r="S403" s="45" t="str">
        <f t="shared" si="66"/>
        <v>202</v>
      </c>
      <c r="T403" s="45" t="str">
        <f t="shared" si="67"/>
        <v>420</v>
      </c>
      <c r="U403" s="45" t="str">
        <f t="shared" si="68"/>
        <v>6111</v>
      </c>
      <c r="V403" s="2" t="s">
        <v>889</v>
      </c>
      <c r="W403" s="45" t="str">
        <f t="shared" si="69"/>
        <v>839</v>
      </c>
    </row>
    <row r="404" spans="1:23" x14ac:dyDescent="0.3">
      <c r="A404" t="s">
        <v>888</v>
      </c>
      <c r="B404" s="45" t="str">
        <f t="shared" si="60"/>
        <v>Lindsey</v>
      </c>
      <c r="C404" t="s">
        <v>243</v>
      </c>
      <c r="D404" t="s">
        <v>887</v>
      </c>
      <c r="E404" s="45" t="str">
        <f t="shared" si="61"/>
        <v>Martinez</v>
      </c>
      <c r="F404" s="45" t="str">
        <f t="shared" si="62"/>
        <v>Lindsey R Martinez</v>
      </c>
      <c r="G404" t="s">
        <v>241</v>
      </c>
      <c r="H404" t="str">
        <f t="shared" si="63"/>
        <v>Female</v>
      </c>
      <c r="I404" t="s">
        <v>886</v>
      </c>
      <c r="J404" t="s">
        <v>885</v>
      </c>
      <c r="K404" t="s">
        <v>66</v>
      </c>
      <c r="L404">
        <v>76071</v>
      </c>
      <c r="O404" t="s">
        <v>884</v>
      </c>
      <c r="P404" s="45" t="str">
        <f t="shared" si="64"/>
        <v>gmail</v>
      </c>
      <c r="Q404" t="s">
        <v>883</v>
      </c>
      <c r="R404" s="45" t="str">
        <f t="shared" si="65"/>
        <v>817|489|0531</v>
      </c>
      <c r="S404" s="45" t="str">
        <f t="shared" si="66"/>
        <v>817</v>
      </c>
      <c r="T404" s="45" t="str">
        <f t="shared" si="67"/>
        <v>489</v>
      </c>
      <c r="U404" s="45" t="str">
        <f t="shared" si="68"/>
        <v>0531</v>
      </c>
      <c r="V404" s="2" t="s">
        <v>882</v>
      </c>
      <c r="W404" s="45" t="str">
        <f t="shared" si="69"/>
        <v>8995</v>
      </c>
    </row>
    <row r="405" spans="1:23" x14ac:dyDescent="0.3">
      <c r="A405" t="s">
        <v>881</v>
      </c>
      <c r="B405" s="45" t="str">
        <f t="shared" si="60"/>
        <v>Tyler</v>
      </c>
      <c r="C405" t="s">
        <v>81</v>
      </c>
      <c r="D405" t="s">
        <v>880</v>
      </c>
      <c r="E405" s="45" t="str">
        <f t="shared" si="61"/>
        <v>Dejesus</v>
      </c>
      <c r="F405" s="45" t="str">
        <f t="shared" si="62"/>
        <v>Tyler A Dejesus</v>
      </c>
      <c r="G405" t="s">
        <v>264</v>
      </c>
      <c r="H405" t="str">
        <f t="shared" si="63"/>
        <v>Male</v>
      </c>
      <c r="I405" t="s">
        <v>879</v>
      </c>
      <c r="J405" t="s">
        <v>878</v>
      </c>
      <c r="K405" t="s">
        <v>109</v>
      </c>
      <c r="L405">
        <v>98161</v>
      </c>
      <c r="O405" t="s">
        <v>877</v>
      </c>
      <c r="P405" s="45" t="str">
        <f t="shared" si="64"/>
        <v>gmail</v>
      </c>
      <c r="Q405" t="s">
        <v>876</v>
      </c>
      <c r="R405" s="45" t="str">
        <f t="shared" si="65"/>
        <v>360|481|3112</v>
      </c>
      <c r="S405" s="45" t="str">
        <f t="shared" si="66"/>
        <v>360</v>
      </c>
      <c r="T405" s="45" t="str">
        <f t="shared" si="67"/>
        <v>481</v>
      </c>
      <c r="U405" s="45" t="str">
        <f t="shared" si="68"/>
        <v>3112</v>
      </c>
      <c r="V405" s="2" t="s">
        <v>875</v>
      </c>
      <c r="W405" s="45" t="str">
        <f t="shared" si="69"/>
        <v>7327</v>
      </c>
    </row>
    <row r="406" spans="1:23" x14ac:dyDescent="0.3">
      <c r="A406" t="s">
        <v>874</v>
      </c>
      <c r="B406" s="45" t="str">
        <f t="shared" si="60"/>
        <v>Melody</v>
      </c>
      <c r="C406" t="s">
        <v>60</v>
      </c>
      <c r="D406" t="s">
        <v>873</v>
      </c>
      <c r="E406" s="45" t="str">
        <f t="shared" si="61"/>
        <v>Nelson</v>
      </c>
      <c r="F406" s="45" t="str">
        <f t="shared" si="62"/>
        <v>Melody M Nelson</v>
      </c>
      <c r="G406" t="s">
        <v>241</v>
      </c>
      <c r="H406" t="str">
        <f t="shared" si="63"/>
        <v>Female</v>
      </c>
      <c r="I406" t="s">
        <v>872</v>
      </c>
      <c r="J406" t="s">
        <v>871</v>
      </c>
      <c r="K406" t="s">
        <v>57</v>
      </c>
      <c r="L406">
        <v>62543</v>
      </c>
      <c r="O406" t="s">
        <v>870</v>
      </c>
      <c r="P406" s="45" t="str">
        <f t="shared" si="64"/>
        <v>hotmail</v>
      </c>
      <c r="Q406" t="s">
        <v>869</v>
      </c>
      <c r="R406" s="45" t="str">
        <f t="shared" si="65"/>
        <v>217|674|4591</v>
      </c>
      <c r="S406" s="45" t="str">
        <f t="shared" si="66"/>
        <v>217</v>
      </c>
      <c r="T406" s="45" t="str">
        <f t="shared" si="67"/>
        <v>674</v>
      </c>
      <c r="U406" s="45" t="str">
        <f t="shared" si="68"/>
        <v>4591</v>
      </c>
      <c r="V406" s="2" t="s">
        <v>868</v>
      </c>
      <c r="W406" s="45" t="str">
        <f t="shared" si="69"/>
        <v>8985</v>
      </c>
    </row>
    <row r="407" spans="1:23" x14ac:dyDescent="0.3">
      <c r="A407" t="s">
        <v>867</v>
      </c>
      <c r="B407" s="45" t="str">
        <f t="shared" si="60"/>
        <v>Paula</v>
      </c>
      <c r="C407" t="s">
        <v>463</v>
      </c>
      <c r="D407" t="s">
        <v>866</v>
      </c>
      <c r="E407" s="45" t="str">
        <f t="shared" si="61"/>
        <v>Madden</v>
      </c>
      <c r="F407" s="45" t="str">
        <f t="shared" si="62"/>
        <v>Paula W Madden</v>
      </c>
      <c r="G407" t="s">
        <v>241</v>
      </c>
      <c r="H407" t="str">
        <f t="shared" si="63"/>
        <v>Female</v>
      </c>
      <c r="I407" t="s">
        <v>865</v>
      </c>
      <c r="J407" t="s">
        <v>421</v>
      </c>
      <c r="K407" t="s">
        <v>58</v>
      </c>
      <c r="L407">
        <v>90017</v>
      </c>
      <c r="O407" t="s">
        <v>864</v>
      </c>
      <c r="P407" s="45" t="str">
        <f t="shared" si="64"/>
        <v>gmail</v>
      </c>
      <c r="Q407" t="s">
        <v>863</v>
      </c>
      <c r="R407" s="45" t="str">
        <f t="shared" si="65"/>
        <v>951|801|7659</v>
      </c>
      <c r="S407" s="45" t="str">
        <f t="shared" si="66"/>
        <v>951</v>
      </c>
      <c r="T407" s="45" t="str">
        <f t="shared" si="67"/>
        <v>801</v>
      </c>
      <c r="U407" s="45" t="str">
        <f t="shared" si="68"/>
        <v>7659</v>
      </c>
      <c r="V407" s="2" t="s">
        <v>862</v>
      </c>
      <c r="W407" s="45" t="str">
        <f t="shared" si="69"/>
        <v>856</v>
      </c>
    </row>
    <row r="408" spans="1:23" x14ac:dyDescent="0.3">
      <c r="A408" t="s">
        <v>756</v>
      </c>
      <c r="B408" s="45" t="str">
        <f t="shared" si="60"/>
        <v>Robert</v>
      </c>
      <c r="C408" t="s">
        <v>62</v>
      </c>
      <c r="D408" t="s">
        <v>861</v>
      </c>
      <c r="E408" s="45" t="str">
        <f t="shared" si="61"/>
        <v>Weber</v>
      </c>
      <c r="F408" s="45" t="str">
        <f t="shared" si="62"/>
        <v>Robert D Weber</v>
      </c>
      <c r="G408" t="s">
        <v>264</v>
      </c>
      <c r="H408" t="str">
        <f t="shared" si="63"/>
        <v>Male</v>
      </c>
      <c r="I408" t="s">
        <v>860</v>
      </c>
      <c r="J408" t="s">
        <v>859</v>
      </c>
      <c r="K408" t="s">
        <v>68</v>
      </c>
      <c r="L408">
        <v>10573</v>
      </c>
      <c r="O408" t="s">
        <v>858</v>
      </c>
      <c r="P408" s="45" t="str">
        <f t="shared" si="64"/>
        <v>gmail</v>
      </c>
      <c r="Q408" t="s">
        <v>857</v>
      </c>
      <c r="R408" s="45" t="str">
        <f t="shared" si="65"/>
        <v>914|937|4898</v>
      </c>
      <c r="S408" s="45" t="str">
        <f t="shared" si="66"/>
        <v>914</v>
      </c>
      <c r="T408" s="45" t="str">
        <f t="shared" si="67"/>
        <v>937</v>
      </c>
      <c r="U408" s="45" t="str">
        <f t="shared" si="68"/>
        <v>4898</v>
      </c>
      <c r="V408" s="2" t="s">
        <v>856</v>
      </c>
      <c r="W408" s="45" t="str">
        <f t="shared" si="69"/>
        <v>923</v>
      </c>
    </row>
    <row r="409" spans="1:23" x14ac:dyDescent="0.3">
      <c r="A409" t="s">
        <v>855</v>
      </c>
      <c r="B409" s="45" t="str">
        <f t="shared" si="60"/>
        <v>Mark</v>
      </c>
      <c r="C409" t="s">
        <v>91</v>
      </c>
      <c r="D409" t="s">
        <v>854</v>
      </c>
      <c r="E409" s="45" t="str">
        <f t="shared" si="61"/>
        <v>Monroe</v>
      </c>
      <c r="F409" s="45" t="str">
        <f t="shared" si="62"/>
        <v>Mark L Monroe</v>
      </c>
      <c r="G409" t="s">
        <v>264</v>
      </c>
      <c r="H409" t="str">
        <f t="shared" si="63"/>
        <v>Male</v>
      </c>
      <c r="I409" t="s">
        <v>853</v>
      </c>
      <c r="J409" t="s">
        <v>852</v>
      </c>
      <c r="K409" t="s">
        <v>96</v>
      </c>
      <c r="L409">
        <v>80202</v>
      </c>
      <c r="O409" t="s">
        <v>851</v>
      </c>
      <c r="P409" s="45" t="str">
        <f t="shared" si="64"/>
        <v>gmail</v>
      </c>
      <c r="Q409" t="s">
        <v>850</v>
      </c>
      <c r="R409" s="45" t="str">
        <f t="shared" si="65"/>
        <v>303|848|9860</v>
      </c>
      <c r="S409" s="45" t="str">
        <f t="shared" si="66"/>
        <v>303</v>
      </c>
      <c r="T409" s="45" t="str">
        <f t="shared" si="67"/>
        <v>848</v>
      </c>
      <c r="U409" s="45" t="str">
        <f t="shared" si="68"/>
        <v>9860</v>
      </c>
      <c r="V409" s="2" t="s">
        <v>849</v>
      </c>
      <c r="W409" s="45" t="str">
        <f t="shared" si="69"/>
        <v>271</v>
      </c>
    </row>
    <row r="410" spans="1:23" x14ac:dyDescent="0.3">
      <c r="A410" t="s">
        <v>848</v>
      </c>
      <c r="B410" s="45" t="str">
        <f t="shared" si="60"/>
        <v>Rose</v>
      </c>
      <c r="C410" t="s">
        <v>77</v>
      </c>
      <c r="D410" t="s">
        <v>847</v>
      </c>
      <c r="E410" s="45" t="str">
        <f t="shared" si="61"/>
        <v>Glenn</v>
      </c>
      <c r="F410" s="45" t="str">
        <f t="shared" si="62"/>
        <v>Rose C Glenn</v>
      </c>
      <c r="G410" t="s">
        <v>241</v>
      </c>
      <c r="H410" t="str">
        <f t="shared" si="63"/>
        <v>Female</v>
      </c>
      <c r="I410" t="s">
        <v>846</v>
      </c>
      <c r="J410" t="s">
        <v>845</v>
      </c>
      <c r="K410" t="s">
        <v>68</v>
      </c>
      <c r="L410">
        <v>13901</v>
      </c>
      <c r="O410" t="s">
        <v>844</v>
      </c>
      <c r="P410" s="45" t="str">
        <f t="shared" si="64"/>
        <v>aol</v>
      </c>
      <c r="Q410" t="s">
        <v>843</v>
      </c>
      <c r="R410" s="45" t="str">
        <f t="shared" si="65"/>
        <v>607|210|4364</v>
      </c>
      <c r="S410" s="45" t="str">
        <f t="shared" si="66"/>
        <v>607</v>
      </c>
      <c r="T410" s="45" t="str">
        <f t="shared" si="67"/>
        <v>210</v>
      </c>
      <c r="U410" s="45" t="str">
        <f t="shared" si="68"/>
        <v>4364</v>
      </c>
      <c r="V410" s="2" t="s">
        <v>842</v>
      </c>
      <c r="W410" s="45" t="str">
        <f t="shared" si="69"/>
        <v>4358</v>
      </c>
    </row>
    <row r="411" spans="1:23" x14ac:dyDescent="0.3">
      <c r="A411" t="s">
        <v>841</v>
      </c>
      <c r="B411" s="45" t="str">
        <f t="shared" si="60"/>
        <v>Sidney</v>
      </c>
      <c r="C411" t="s">
        <v>243</v>
      </c>
      <c r="D411" t="s">
        <v>368</v>
      </c>
      <c r="E411" s="45" t="str">
        <f t="shared" si="61"/>
        <v>Williams</v>
      </c>
      <c r="F411" s="45" t="str">
        <f t="shared" si="62"/>
        <v>Sidney R Williams</v>
      </c>
      <c r="G411" t="s">
        <v>264</v>
      </c>
      <c r="H411" t="str">
        <f t="shared" si="63"/>
        <v>Male</v>
      </c>
      <c r="I411" t="s">
        <v>840</v>
      </c>
      <c r="J411" t="s">
        <v>839</v>
      </c>
      <c r="K411" t="s">
        <v>100</v>
      </c>
      <c r="L411">
        <v>39201</v>
      </c>
      <c r="O411" t="s">
        <v>838</v>
      </c>
      <c r="P411" s="45" t="str">
        <f t="shared" si="64"/>
        <v>gmail</v>
      </c>
      <c r="Q411" t="s">
        <v>837</v>
      </c>
      <c r="R411" s="45" t="str">
        <f t="shared" si="65"/>
        <v>662|990|9028</v>
      </c>
      <c r="S411" s="45" t="str">
        <f t="shared" si="66"/>
        <v>662</v>
      </c>
      <c r="T411" s="45" t="str">
        <f t="shared" si="67"/>
        <v>990</v>
      </c>
      <c r="U411" s="45" t="str">
        <f t="shared" si="68"/>
        <v>9028</v>
      </c>
      <c r="V411" s="2" t="s">
        <v>836</v>
      </c>
      <c r="W411" s="45" t="str">
        <f t="shared" si="69"/>
        <v>304</v>
      </c>
    </row>
    <row r="412" spans="1:23" x14ac:dyDescent="0.3">
      <c r="A412" t="s">
        <v>835</v>
      </c>
      <c r="B412" s="45" t="str">
        <f t="shared" si="60"/>
        <v>Scott</v>
      </c>
      <c r="C412" t="s">
        <v>56</v>
      </c>
      <c r="D412" t="s">
        <v>834</v>
      </c>
      <c r="E412" s="45" t="str">
        <f t="shared" si="61"/>
        <v>Lohr</v>
      </c>
      <c r="F412" s="45" t="str">
        <f t="shared" si="62"/>
        <v>Scott J Lohr</v>
      </c>
      <c r="G412" t="s">
        <v>264</v>
      </c>
      <c r="H412" t="str">
        <f t="shared" si="63"/>
        <v>Male</v>
      </c>
      <c r="I412" t="s">
        <v>833</v>
      </c>
      <c r="J412" t="s">
        <v>832</v>
      </c>
      <c r="K412" t="s">
        <v>57</v>
      </c>
      <c r="L412">
        <v>61465</v>
      </c>
      <c r="O412" t="s">
        <v>831</v>
      </c>
      <c r="P412" s="45" t="str">
        <f t="shared" si="64"/>
        <v>hotmail</v>
      </c>
      <c r="Q412" t="s">
        <v>830</v>
      </c>
      <c r="R412" s="45" t="str">
        <f t="shared" si="65"/>
        <v>309|667|9596</v>
      </c>
      <c r="S412" s="45" t="str">
        <f t="shared" si="66"/>
        <v>309</v>
      </c>
      <c r="T412" s="45" t="str">
        <f t="shared" si="67"/>
        <v>667</v>
      </c>
      <c r="U412" s="45" t="str">
        <f t="shared" si="68"/>
        <v>9596</v>
      </c>
      <c r="V412" s="2" t="s">
        <v>829</v>
      </c>
      <c r="W412" s="45" t="str">
        <f t="shared" si="69"/>
        <v>588</v>
      </c>
    </row>
    <row r="413" spans="1:23" x14ac:dyDescent="0.3">
      <c r="A413" t="s">
        <v>828</v>
      </c>
      <c r="B413" s="45" t="str">
        <f t="shared" si="60"/>
        <v>Latonya</v>
      </c>
      <c r="C413" t="s">
        <v>75</v>
      </c>
      <c r="D413" t="s">
        <v>827</v>
      </c>
      <c r="E413" s="45" t="str">
        <f t="shared" si="61"/>
        <v>Taggart</v>
      </c>
      <c r="F413" s="45" t="str">
        <f t="shared" si="62"/>
        <v>Latonya B Taggart</v>
      </c>
      <c r="G413" t="s">
        <v>241</v>
      </c>
      <c r="H413" t="str">
        <f t="shared" si="63"/>
        <v>Female</v>
      </c>
      <c r="I413" t="s">
        <v>826</v>
      </c>
      <c r="J413" t="s">
        <v>825</v>
      </c>
      <c r="K413" t="s">
        <v>102</v>
      </c>
      <c r="L413">
        <v>52552</v>
      </c>
      <c r="O413" t="s">
        <v>824</v>
      </c>
      <c r="P413" s="45" t="str">
        <f t="shared" si="64"/>
        <v>aol</v>
      </c>
      <c r="Q413" t="s">
        <v>823</v>
      </c>
      <c r="R413" s="45" t="str">
        <f t="shared" si="65"/>
        <v>641|722|2778</v>
      </c>
      <c r="S413" s="45" t="str">
        <f t="shared" si="66"/>
        <v>641</v>
      </c>
      <c r="T413" s="45" t="str">
        <f t="shared" si="67"/>
        <v>722</v>
      </c>
      <c r="U413" s="45" t="str">
        <f t="shared" si="68"/>
        <v>2778</v>
      </c>
      <c r="V413" s="2" t="s">
        <v>822</v>
      </c>
      <c r="W413" s="45" t="str">
        <f t="shared" si="69"/>
        <v>2018</v>
      </c>
    </row>
    <row r="414" spans="1:23" x14ac:dyDescent="0.3">
      <c r="A414" t="s">
        <v>808</v>
      </c>
      <c r="B414" s="45" t="str">
        <f t="shared" si="60"/>
        <v>Michael</v>
      </c>
      <c r="C414" t="s">
        <v>56</v>
      </c>
      <c r="D414" t="s">
        <v>821</v>
      </c>
      <c r="E414" s="45" t="str">
        <f t="shared" si="61"/>
        <v>Wendling</v>
      </c>
      <c r="F414" s="45" t="str">
        <f t="shared" si="62"/>
        <v>Michael J Wendling</v>
      </c>
      <c r="G414" t="s">
        <v>264</v>
      </c>
      <c r="H414" t="str">
        <f t="shared" si="63"/>
        <v>Male</v>
      </c>
      <c r="I414" t="s">
        <v>820</v>
      </c>
      <c r="J414" t="s">
        <v>819</v>
      </c>
      <c r="K414" t="s">
        <v>66</v>
      </c>
      <c r="L414">
        <v>79070</v>
      </c>
      <c r="O414" t="s">
        <v>818</v>
      </c>
      <c r="P414" s="45" t="str">
        <f t="shared" si="64"/>
        <v>aol</v>
      </c>
      <c r="Q414" t="s">
        <v>817</v>
      </c>
      <c r="R414" s="45" t="str">
        <f t="shared" si="65"/>
        <v>806|434|1502</v>
      </c>
      <c r="S414" s="45" t="str">
        <f t="shared" si="66"/>
        <v>806</v>
      </c>
      <c r="T414" s="45" t="str">
        <f t="shared" si="67"/>
        <v>434</v>
      </c>
      <c r="U414" s="45" t="str">
        <f t="shared" si="68"/>
        <v>1502</v>
      </c>
      <c r="V414" s="2" t="s">
        <v>816</v>
      </c>
      <c r="W414" s="45" t="str">
        <f t="shared" si="69"/>
        <v>809</v>
      </c>
    </row>
    <row r="415" spans="1:23" x14ac:dyDescent="0.3">
      <c r="A415" t="s">
        <v>815</v>
      </c>
      <c r="B415" s="45" t="str">
        <f t="shared" si="60"/>
        <v>Daniel</v>
      </c>
      <c r="C415" t="s">
        <v>60</v>
      </c>
      <c r="D415" t="s">
        <v>814</v>
      </c>
      <c r="E415" s="45" t="str">
        <f t="shared" si="61"/>
        <v>Brister</v>
      </c>
      <c r="F415" s="45" t="str">
        <f t="shared" si="62"/>
        <v>Daniel M Brister</v>
      </c>
      <c r="G415" t="s">
        <v>264</v>
      </c>
      <c r="H415" t="str">
        <f t="shared" si="63"/>
        <v>Male</v>
      </c>
      <c r="I415" t="s">
        <v>813</v>
      </c>
      <c r="J415" t="s">
        <v>812</v>
      </c>
      <c r="K415" t="s">
        <v>117</v>
      </c>
      <c r="L415">
        <v>19034</v>
      </c>
      <c r="O415" t="s">
        <v>811</v>
      </c>
      <c r="P415" s="45" t="str">
        <f t="shared" si="64"/>
        <v>hotmail</v>
      </c>
      <c r="Q415" t="s">
        <v>810</v>
      </c>
      <c r="R415" s="45" t="str">
        <f t="shared" si="65"/>
        <v>202|470|8024</v>
      </c>
      <c r="S415" s="45" t="str">
        <f t="shared" si="66"/>
        <v>202</v>
      </c>
      <c r="T415" s="45" t="str">
        <f t="shared" si="67"/>
        <v>470</v>
      </c>
      <c r="U415" s="45" t="str">
        <f t="shared" si="68"/>
        <v>8024</v>
      </c>
      <c r="V415" s="2" t="s">
        <v>809</v>
      </c>
      <c r="W415" s="45" t="str">
        <f t="shared" si="69"/>
        <v>266</v>
      </c>
    </row>
    <row r="416" spans="1:23" x14ac:dyDescent="0.3">
      <c r="A416" t="s">
        <v>808</v>
      </c>
      <c r="B416" s="45" t="str">
        <f t="shared" si="60"/>
        <v>Michael</v>
      </c>
      <c r="C416" t="s">
        <v>807</v>
      </c>
      <c r="D416" t="s">
        <v>806</v>
      </c>
      <c r="E416" s="45" t="str">
        <f t="shared" si="61"/>
        <v>Horning</v>
      </c>
      <c r="F416" s="45" t="str">
        <f t="shared" si="62"/>
        <v>Michael N Horning</v>
      </c>
      <c r="G416" t="s">
        <v>264</v>
      </c>
      <c r="H416" t="str">
        <f t="shared" si="63"/>
        <v>Male</v>
      </c>
      <c r="I416" t="s">
        <v>805</v>
      </c>
      <c r="J416" t="s">
        <v>804</v>
      </c>
      <c r="K416" t="s">
        <v>95</v>
      </c>
      <c r="L416">
        <v>21076</v>
      </c>
      <c r="O416" t="s">
        <v>803</v>
      </c>
      <c r="P416" s="45" t="str">
        <f t="shared" si="64"/>
        <v>hotmail</v>
      </c>
      <c r="Q416" t="s">
        <v>802</v>
      </c>
      <c r="R416" s="45" t="str">
        <f t="shared" si="65"/>
        <v>410|302|4255</v>
      </c>
      <c r="S416" s="45" t="str">
        <f t="shared" si="66"/>
        <v>410</v>
      </c>
      <c r="T416" s="45" t="str">
        <f t="shared" si="67"/>
        <v>302</v>
      </c>
      <c r="U416" s="45" t="str">
        <f t="shared" si="68"/>
        <v>4255</v>
      </c>
      <c r="V416" s="2" t="s">
        <v>801</v>
      </c>
      <c r="W416" s="45" t="str">
        <f t="shared" si="69"/>
        <v>143</v>
      </c>
    </row>
    <row r="417" spans="1:23" x14ac:dyDescent="0.3">
      <c r="A417" t="s">
        <v>800</v>
      </c>
      <c r="B417" s="45" t="str">
        <f t="shared" si="60"/>
        <v>Edith</v>
      </c>
      <c r="C417" t="s">
        <v>56</v>
      </c>
      <c r="D417" t="s">
        <v>799</v>
      </c>
      <c r="E417" s="45" t="str">
        <f t="shared" si="61"/>
        <v>Reed</v>
      </c>
      <c r="F417" s="45" t="str">
        <f t="shared" si="62"/>
        <v>Edith J Reed</v>
      </c>
      <c r="G417" t="s">
        <v>241</v>
      </c>
      <c r="H417" t="str">
        <f t="shared" si="63"/>
        <v>Female</v>
      </c>
      <c r="I417" t="s">
        <v>798</v>
      </c>
      <c r="J417" t="s">
        <v>703</v>
      </c>
      <c r="K417" t="s">
        <v>66</v>
      </c>
      <c r="L417">
        <v>75201</v>
      </c>
      <c r="O417" t="s">
        <v>797</v>
      </c>
      <c r="P417" s="45" t="str">
        <f t="shared" si="64"/>
        <v>hotmail</v>
      </c>
      <c r="Q417" t="s">
        <v>796</v>
      </c>
      <c r="R417" s="45" t="str">
        <f t="shared" si="65"/>
        <v>214|617|9083</v>
      </c>
      <c r="S417" s="45" t="str">
        <f t="shared" si="66"/>
        <v>214</v>
      </c>
      <c r="T417" s="45" t="str">
        <f t="shared" si="67"/>
        <v>617</v>
      </c>
      <c r="U417" s="45" t="str">
        <f t="shared" si="68"/>
        <v>9083</v>
      </c>
      <c r="V417" s="2" t="s">
        <v>795</v>
      </c>
      <c r="W417" s="45" t="str">
        <f t="shared" si="69"/>
        <v>3018</v>
      </c>
    </row>
    <row r="418" spans="1:23" x14ac:dyDescent="0.3">
      <c r="A418" t="s">
        <v>794</v>
      </c>
      <c r="B418" s="45" t="str">
        <f t="shared" si="60"/>
        <v>Victor</v>
      </c>
      <c r="C418" t="s">
        <v>81</v>
      </c>
      <c r="D418" t="s">
        <v>455</v>
      </c>
      <c r="E418" s="45" t="str">
        <f t="shared" si="61"/>
        <v>Johnson</v>
      </c>
      <c r="F418" s="45" t="str">
        <f t="shared" si="62"/>
        <v>Victor A Johnson</v>
      </c>
      <c r="G418" t="s">
        <v>264</v>
      </c>
      <c r="H418" t="str">
        <f t="shared" si="63"/>
        <v>Male</v>
      </c>
      <c r="I418" t="s">
        <v>793</v>
      </c>
      <c r="J418" t="s">
        <v>792</v>
      </c>
      <c r="K418" t="s">
        <v>64</v>
      </c>
      <c r="L418">
        <v>97205</v>
      </c>
      <c r="O418" t="s">
        <v>791</v>
      </c>
      <c r="P418" s="45" t="str">
        <f t="shared" si="64"/>
        <v>hotmail</v>
      </c>
      <c r="Q418" t="s">
        <v>790</v>
      </c>
      <c r="R418" s="45" t="str">
        <f t="shared" si="65"/>
        <v>503|713|0992</v>
      </c>
      <c r="S418" s="45" t="str">
        <f t="shared" si="66"/>
        <v>503</v>
      </c>
      <c r="T418" s="45" t="str">
        <f t="shared" si="67"/>
        <v>713</v>
      </c>
      <c r="U418" s="45" t="str">
        <f t="shared" si="68"/>
        <v>0992</v>
      </c>
      <c r="V418" s="2" t="s">
        <v>789</v>
      </c>
      <c r="W418" s="45" t="str">
        <f t="shared" si="69"/>
        <v>990</v>
      </c>
    </row>
    <row r="419" spans="1:23" x14ac:dyDescent="0.3">
      <c r="A419" t="s">
        <v>788</v>
      </c>
      <c r="B419" s="45" t="str">
        <f t="shared" si="60"/>
        <v>Lydia</v>
      </c>
      <c r="C419" t="s">
        <v>69</v>
      </c>
      <c r="D419" t="s">
        <v>787</v>
      </c>
      <c r="E419" s="45" t="str">
        <f t="shared" si="61"/>
        <v>Amoroso</v>
      </c>
      <c r="F419" s="45" t="str">
        <f t="shared" si="62"/>
        <v>Lydia H Amoroso</v>
      </c>
      <c r="G419" t="s">
        <v>241</v>
      </c>
      <c r="H419" t="str">
        <f t="shared" si="63"/>
        <v>Female</v>
      </c>
      <c r="I419" t="s">
        <v>786</v>
      </c>
      <c r="J419" t="s">
        <v>785</v>
      </c>
      <c r="K419" t="s">
        <v>61</v>
      </c>
      <c r="L419">
        <v>22448</v>
      </c>
      <c r="O419" t="s">
        <v>784</v>
      </c>
      <c r="P419" s="45" t="str">
        <f t="shared" si="64"/>
        <v>gmail</v>
      </c>
      <c r="Q419" t="s">
        <v>783</v>
      </c>
      <c r="R419" s="45" t="str">
        <f t="shared" si="65"/>
        <v>540|653|0178</v>
      </c>
      <c r="S419" s="45" t="str">
        <f t="shared" si="66"/>
        <v>540</v>
      </c>
      <c r="T419" s="45" t="str">
        <f t="shared" si="67"/>
        <v>653</v>
      </c>
      <c r="U419" s="45" t="str">
        <f t="shared" si="68"/>
        <v>0178</v>
      </c>
      <c r="V419" s="2" t="s">
        <v>782</v>
      </c>
      <c r="W419" s="45" t="str">
        <f t="shared" si="69"/>
        <v>7118</v>
      </c>
    </row>
    <row r="420" spans="1:23" x14ac:dyDescent="0.3">
      <c r="A420" t="s">
        <v>781</v>
      </c>
      <c r="B420" s="45" t="str">
        <f t="shared" si="60"/>
        <v>Ashley</v>
      </c>
      <c r="C420" t="s">
        <v>62</v>
      </c>
      <c r="D420" t="s">
        <v>455</v>
      </c>
      <c r="E420" s="45" t="str">
        <f t="shared" si="61"/>
        <v>Johnson</v>
      </c>
      <c r="F420" s="45" t="str">
        <f t="shared" si="62"/>
        <v>Ashley D Johnson</v>
      </c>
      <c r="G420" t="s">
        <v>241</v>
      </c>
      <c r="H420" t="str">
        <f t="shared" si="63"/>
        <v>Female</v>
      </c>
      <c r="I420" t="s">
        <v>780</v>
      </c>
      <c r="J420" t="s">
        <v>87</v>
      </c>
      <c r="K420" t="s">
        <v>86</v>
      </c>
      <c r="L420">
        <v>2110</v>
      </c>
      <c r="O420" t="s">
        <v>779</v>
      </c>
      <c r="P420" s="45" t="str">
        <f t="shared" si="64"/>
        <v>hotmail</v>
      </c>
      <c r="Q420" t="s">
        <v>778</v>
      </c>
      <c r="R420" s="45" t="str">
        <f t="shared" si="65"/>
        <v>617|392|2943</v>
      </c>
      <c r="S420" s="45" t="str">
        <f t="shared" si="66"/>
        <v>617</v>
      </c>
      <c r="T420" s="45" t="str">
        <f t="shared" si="67"/>
        <v>392</v>
      </c>
      <c r="U420" s="45" t="str">
        <f t="shared" si="68"/>
        <v>2943</v>
      </c>
      <c r="V420" s="2" t="s">
        <v>777</v>
      </c>
      <c r="W420" s="45" t="str">
        <f t="shared" si="69"/>
        <v>5060</v>
      </c>
    </row>
    <row r="421" spans="1:23" x14ac:dyDescent="0.3">
      <c r="A421" t="s">
        <v>776</v>
      </c>
      <c r="B421" s="45" t="str">
        <f t="shared" si="60"/>
        <v>Esther</v>
      </c>
      <c r="C421" t="s">
        <v>91</v>
      </c>
      <c r="D421" t="s">
        <v>775</v>
      </c>
      <c r="E421" s="45" t="str">
        <f t="shared" si="61"/>
        <v>Lord</v>
      </c>
      <c r="F421" s="45" t="str">
        <f t="shared" si="62"/>
        <v>Esther L Lord</v>
      </c>
      <c r="G421" t="s">
        <v>241</v>
      </c>
      <c r="H421" t="str">
        <f t="shared" si="63"/>
        <v>Female</v>
      </c>
      <c r="I421" t="s">
        <v>774</v>
      </c>
      <c r="J421" t="s">
        <v>773</v>
      </c>
      <c r="K421" t="s">
        <v>58</v>
      </c>
      <c r="L421">
        <v>93225</v>
      </c>
      <c r="O421" t="s">
        <v>772</v>
      </c>
      <c r="P421" s="45" t="str">
        <f t="shared" si="64"/>
        <v>gmail</v>
      </c>
      <c r="Q421" t="s">
        <v>771</v>
      </c>
      <c r="R421" s="45" t="str">
        <f t="shared" si="65"/>
        <v>661|245|5261</v>
      </c>
      <c r="S421" s="45" t="str">
        <f t="shared" si="66"/>
        <v>661</v>
      </c>
      <c r="T421" s="45" t="str">
        <f t="shared" si="67"/>
        <v>245</v>
      </c>
      <c r="U421" s="45" t="str">
        <f t="shared" si="68"/>
        <v>5261</v>
      </c>
      <c r="V421" s="2" t="s">
        <v>770</v>
      </c>
      <c r="W421" s="45" t="str">
        <f t="shared" si="69"/>
        <v>035</v>
      </c>
    </row>
    <row r="422" spans="1:23" x14ac:dyDescent="0.3">
      <c r="A422" t="s">
        <v>769</v>
      </c>
      <c r="B422" s="45" t="str">
        <f t="shared" si="60"/>
        <v>Amelia</v>
      </c>
      <c r="C422" t="s">
        <v>361</v>
      </c>
      <c r="D422" t="s">
        <v>768</v>
      </c>
      <c r="E422" s="45" t="str">
        <f t="shared" si="61"/>
        <v>Lane</v>
      </c>
      <c r="F422" s="45" t="str">
        <f t="shared" si="62"/>
        <v>Amelia T Lane</v>
      </c>
      <c r="G422" t="s">
        <v>241</v>
      </c>
      <c r="H422" t="str">
        <f t="shared" si="63"/>
        <v>Female</v>
      </c>
      <c r="I422" t="s">
        <v>767</v>
      </c>
      <c r="J422" t="s">
        <v>766</v>
      </c>
      <c r="K422" t="s">
        <v>61</v>
      </c>
      <c r="L422">
        <v>22801</v>
      </c>
      <c r="O422" t="s">
        <v>765</v>
      </c>
      <c r="P422" s="45" t="str">
        <f t="shared" si="64"/>
        <v>aol</v>
      </c>
      <c r="Q422" t="s">
        <v>764</v>
      </c>
      <c r="R422" s="45" t="str">
        <f t="shared" si="65"/>
        <v>540|689|1022</v>
      </c>
      <c r="S422" s="45" t="str">
        <f t="shared" si="66"/>
        <v>540</v>
      </c>
      <c r="T422" s="45" t="str">
        <f t="shared" si="67"/>
        <v>689</v>
      </c>
      <c r="U422" s="45" t="str">
        <f t="shared" si="68"/>
        <v>1022</v>
      </c>
      <c r="V422" s="2" t="s">
        <v>763</v>
      </c>
      <c r="W422" s="45" t="str">
        <f t="shared" si="69"/>
        <v>9086</v>
      </c>
    </row>
    <row r="423" spans="1:23" x14ac:dyDescent="0.3">
      <c r="A423" t="s">
        <v>762</v>
      </c>
      <c r="B423" s="45" t="str">
        <f t="shared" si="60"/>
        <v>Russell</v>
      </c>
      <c r="C423" t="s">
        <v>243</v>
      </c>
      <c r="D423" t="s">
        <v>761</v>
      </c>
      <c r="E423" s="45" t="str">
        <f t="shared" si="61"/>
        <v>Keel</v>
      </c>
      <c r="F423" s="45" t="str">
        <f t="shared" si="62"/>
        <v>Russell R Keel</v>
      </c>
      <c r="G423" t="s">
        <v>264</v>
      </c>
      <c r="H423" t="str">
        <f t="shared" si="63"/>
        <v>Male</v>
      </c>
      <c r="I423" t="s">
        <v>760</v>
      </c>
      <c r="J423" t="s">
        <v>567</v>
      </c>
      <c r="K423" t="s">
        <v>85</v>
      </c>
      <c r="L423">
        <v>28211</v>
      </c>
      <c r="O423" t="s">
        <v>759</v>
      </c>
      <c r="P423" s="45" t="str">
        <f t="shared" si="64"/>
        <v>hotmail</v>
      </c>
      <c r="Q423" t="s">
        <v>758</v>
      </c>
      <c r="R423" s="45" t="str">
        <f t="shared" si="65"/>
        <v>704|770|4875</v>
      </c>
      <c r="S423" s="45" t="str">
        <f t="shared" si="66"/>
        <v>704</v>
      </c>
      <c r="T423" s="45" t="str">
        <f t="shared" si="67"/>
        <v>770</v>
      </c>
      <c r="U423" s="45" t="str">
        <f t="shared" si="68"/>
        <v>4875</v>
      </c>
      <c r="V423" s="2" t="s">
        <v>757</v>
      </c>
      <c r="W423" s="45" t="str">
        <f t="shared" si="69"/>
        <v>8716</v>
      </c>
    </row>
    <row r="424" spans="1:23" x14ac:dyDescent="0.3">
      <c r="A424" t="s">
        <v>756</v>
      </c>
      <c r="B424" s="45" t="str">
        <f t="shared" si="60"/>
        <v>Robert</v>
      </c>
      <c r="C424" t="s">
        <v>266</v>
      </c>
      <c r="D424" t="s">
        <v>755</v>
      </c>
      <c r="E424" s="45" t="str">
        <f t="shared" si="61"/>
        <v>Sparks</v>
      </c>
      <c r="F424" s="45" t="str">
        <f t="shared" si="62"/>
        <v>Robert S Sparks</v>
      </c>
      <c r="G424" t="s">
        <v>264</v>
      </c>
      <c r="H424" t="str">
        <f t="shared" si="63"/>
        <v>Male</v>
      </c>
      <c r="I424" t="s">
        <v>754</v>
      </c>
      <c r="J424" t="s">
        <v>421</v>
      </c>
      <c r="K424" t="s">
        <v>58</v>
      </c>
      <c r="L424">
        <v>90017</v>
      </c>
      <c r="O424" t="s">
        <v>753</v>
      </c>
      <c r="P424" s="45" t="str">
        <f t="shared" si="64"/>
        <v>hotmail</v>
      </c>
      <c r="Q424" t="s">
        <v>752</v>
      </c>
      <c r="R424" s="45" t="str">
        <f t="shared" si="65"/>
        <v>909|309|5979</v>
      </c>
      <c r="S424" s="45" t="str">
        <f t="shared" si="66"/>
        <v>909</v>
      </c>
      <c r="T424" s="45" t="str">
        <f t="shared" si="67"/>
        <v>309</v>
      </c>
      <c r="U424" s="45" t="str">
        <f t="shared" si="68"/>
        <v>5979</v>
      </c>
      <c r="V424" s="2" t="s">
        <v>751</v>
      </c>
      <c r="W424" s="45" t="str">
        <f t="shared" si="69"/>
        <v>7918</v>
      </c>
    </row>
    <row r="425" spans="1:23" x14ac:dyDescent="0.3">
      <c r="A425" t="s">
        <v>750</v>
      </c>
      <c r="B425" s="45" t="str">
        <f t="shared" si="60"/>
        <v>Andrea</v>
      </c>
      <c r="C425" t="s">
        <v>62</v>
      </c>
      <c r="D425" t="s">
        <v>749</v>
      </c>
      <c r="E425" s="45" t="str">
        <f t="shared" si="61"/>
        <v>Flinn</v>
      </c>
      <c r="F425" s="45" t="str">
        <f t="shared" si="62"/>
        <v>Andrea D Flinn</v>
      </c>
      <c r="G425" t="s">
        <v>241</v>
      </c>
      <c r="H425" t="str">
        <f t="shared" si="63"/>
        <v>Female</v>
      </c>
      <c r="I425" t="s">
        <v>748</v>
      </c>
      <c r="J425" t="s">
        <v>640</v>
      </c>
      <c r="K425" t="s">
        <v>63</v>
      </c>
      <c r="L425">
        <v>70001</v>
      </c>
      <c r="O425" t="s">
        <v>747</v>
      </c>
      <c r="P425" s="45" t="str">
        <f t="shared" si="64"/>
        <v>gmail</v>
      </c>
      <c r="Q425" t="s">
        <v>746</v>
      </c>
      <c r="R425" s="45" t="str">
        <f t="shared" si="65"/>
        <v>504|832|3602</v>
      </c>
      <c r="S425" s="45" t="str">
        <f t="shared" si="66"/>
        <v>504</v>
      </c>
      <c r="T425" s="45" t="str">
        <f t="shared" si="67"/>
        <v>832</v>
      </c>
      <c r="U425" s="45" t="str">
        <f t="shared" si="68"/>
        <v>3602</v>
      </c>
      <c r="V425" s="2" t="s">
        <v>745</v>
      </c>
      <c r="W425" s="45" t="str">
        <f t="shared" si="69"/>
        <v>800</v>
      </c>
    </row>
    <row r="426" spans="1:23" x14ac:dyDescent="0.3">
      <c r="A426" t="s">
        <v>642</v>
      </c>
      <c r="B426" s="45" t="str">
        <f t="shared" si="60"/>
        <v>Thomas</v>
      </c>
      <c r="C426" t="s">
        <v>266</v>
      </c>
      <c r="D426" t="s">
        <v>744</v>
      </c>
      <c r="E426" s="45" t="str">
        <f t="shared" si="61"/>
        <v>Lowman</v>
      </c>
      <c r="F426" s="45" t="str">
        <f t="shared" si="62"/>
        <v>Thomas S Lowman</v>
      </c>
      <c r="G426" t="s">
        <v>264</v>
      </c>
      <c r="H426" t="str">
        <f t="shared" si="63"/>
        <v>Male</v>
      </c>
      <c r="I426" t="s">
        <v>743</v>
      </c>
      <c r="J426" t="s">
        <v>742</v>
      </c>
      <c r="K426" t="s">
        <v>58</v>
      </c>
      <c r="L426">
        <v>90670</v>
      </c>
      <c r="O426" t="s">
        <v>741</v>
      </c>
      <c r="P426" s="45" t="str">
        <f t="shared" si="64"/>
        <v>hotmail</v>
      </c>
      <c r="Q426" t="s">
        <v>740</v>
      </c>
      <c r="R426" s="45" t="str">
        <f t="shared" si="65"/>
        <v>323|691|2424</v>
      </c>
      <c r="S426" s="45" t="str">
        <f t="shared" si="66"/>
        <v>323</v>
      </c>
      <c r="T426" s="45" t="str">
        <f t="shared" si="67"/>
        <v>691</v>
      </c>
      <c r="U426" s="45" t="str">
        <f t="shared" si="68"/>
        <v>2424</v>
      </c>
      <c r="V426" s="2" t="s">
        <v>739</v>
      </c>
      <c r="W426" s="45" t="str">
        <f t="shared" si="69"/>
        <v>5735</v>
      </c>
    </row>
    <row r="427" spans="1:23" x14ac:dyDescent="0.3">
      <c r="A427" t="s">
        <v>738</v>
      </c>
      <c r="B427" s="45" t="str">
        <f t="shared" si="60"/>
        <v>Miki</v>
      </c>
      <c r="C427" t="s">
        <v>77</v>
      </c>
      <c r="D427" t="s">
        <v>737</v>
      </c>
      <c r="E427" s="45" t="str">
        <f t="shared" si="61"/>
        <v>Gries</v>
      </c>
      <c r="F427" s="45" t="str">
        <f t="shared" si="62"/>
        <v>Miki C Gries</v>
      </c>
      <c r="G427" t="s">
        <v>241</v>
      </c>
      <c r="H427" t="str">
        <f t="shared" si="63"/>
        <v>Female</v>
      </c>
      <c r="I427" t="s">
        <v>736</v>
      </c>
      <c r="J427" t="s">
        <v>239</v>
      </c>
      <c r="K427" t="s">
        <v>95</v>
      </c>
      <c r="L427">
        <v>21202</v>
      </c>
      <c r="O427" t="s">
        <v>735</v>
      </c>
      <c r="P427" s="45" t="str">
        <f t="shared" si="64"/>
        <v>gmail</v>
      </c>
      <c r="Q427" t="s">
        <v>734</v>
      </c>
      <c r="R427" s="45" t="str">
        <f t="shared" si="65"/>
        <v>443|383|8083</v>
      </c>
      <c r="S427" s="45" t="str">
        <f t="shared" si="66"/>
        <v>443</v>
      </c>
      <c r="T427" s="45" t="str">
        <f t="shared" si="67"/>
        <v>383</v>
      </c>
      <c r="U427" s="45" t="str">
        <f t="shared" si="68"/>
        <v>8083</v>
      </c>
      <c r="V427" s="2" t="s">
        <v>733</v>
      </c>
      <c r="W427" s="45" t="str">
        <f t="shared" si="69"/>
        <v>8008</v>
      </c>
    </row>
    <row r="428" spans="1:23" x14ac:dyDescent="0.3">
      <c r="A428" t="s">
        <v>376</v>
      </c>
      <c r="B428" s="45" t="str">
        <f t="shared" si="60"/>
        <v>Frances</v>
      </c>
      <c r="C428" t="s">
        <v>77</v>
      </c>
      <c r="D428" t="s">
        <v>732</v>
      </c>
      <c r="E428" s="45" t="str">
        <f t="shared" si="61"/>
        <v>King</v>
      </c>
      <c r="F428" s="45" t="str">
        <f t="shared" si="62"/>
        <v>Frances C King</v>
      </c>
      <c r="G428" t="s">
        <v>241</v>
      </c>
      <c r="H428" t="str">
        <f t="shared" si="63"/>
        <v>Female</v>
      </c>
      <c r="I428" t="s">
        <v>731</v>
      </c>
      <c r="J428" t="s">
        <v>36</v>
      </c>
      <c r="K428" t="s">
        <v>68</v>
      </c>
      <c r="L428">
        <v>10016</v>
      </c>
      <c r="O428" t="s">
        <v>730</v>
      </c>
      <c r="P428" s="45" t="str">
        <f t="shared" si="64"/>
        <v>gmail</v>
      </c>
      <c r="Q428" t="s">
        <v>729</v>
      </c>
      <c r="R428" s="45" t="str">
        <f t="shared" si="65"/>
        <v>917|278|4105</v>
      </c>
      <c r="S428" s="45" t="str">
        <f t="shared" si="66"/>
        <v>917</v>
      </c>
      <c r="T428" s="45" t="str">
        <f t="shared" si="67"/>
        <v>278</v>
      </c>
      <c r="U428" s="45" t="str">
        <f t="shared" si="68"/>
        <v>4105</v>
      </c>
      <c r="V428" s="2" t="s">
        <v>728</v>
      </c>
      <c r="W428" s="45" t="str">
        <f t="shared" si="69"/>
        <v>8912</v>
      </c>
    </row>
    <row r="429" spans="1:23" x14ac:dyDescent="0.3">
      <c r="A429" t="s">
        <v>727</v>
      </c>
      <c r="B429" s="45" t="str">
        <f t="shared" si="60"/>
        <v>Gilberto</v>
      </c>
      <c r="C429" t="s">
        <v>266</v>
      </c>
      <c r="D429" t="s">
        <v>726</v>
      </c>
      <c r="E429" s="45" t="str">
        <f t="shared" si="61"/>
        <v>Lau</v>
      </c>
      <c r="F429" s="45" t="str">
        <f t="shared" si="62"/>
        <v>Gilberto S Lau</v>
      </c>
      <c r="G429" t="s">
        <v>264</v>
      </c>
      <c r="H429" t="str">
        <f t="shared" si="63"/>
        <v>Male</v>
      </c>
      <c r="I429" t="s">
        <v>725</v>
      </c>
      <c r="J429" t="s">
        <v>724</v>
      </c>
      <c r="K429" t="s">
        <v>92</v>
      </c>
      <c r="L429">
        <v>65616</v>
      </c>
      <c r="O429" t="s">
        <v>723</v>
      </c>
      <c r="P429" s="45" t="str">
        <f t="shared" si="64"/>
        <v>gmail</v>
      </c>
      <c r="Q429" t="s">
        <v>722</v>
      </c>
      <c r="R429" s="45" t="str">
        <f t="shared" si="65"/>
        <v>417|280|1772</v>
      </c>
      <c r="S429" s="45" t="str">
        <f t="shared" si="66"/>
        <v>417</v>
      </c>
      <c r="T429" s="45" t="str">
        <f t="shared" si="67"/>
        <v>280</v>
      </c>
      <c r="U429" s="45" t="str">
        <f t="shared" si="68"/>
        <v>1772</v>
      </c>
      <c r="V429" s="2" t="s">
        <v>721</v>
      </c>
      <c r="W429" s="45" t="str">
        <f t="shared" si="69"/>
        <v>935</v>
      </c>
    </row>
    <row r="430" spans="1:23" x14ac:dyDescent="0.3">
      <c r="A430" t="s">
        <v>720</v>
      </c>
      <c r="B430" s="45" t="str">
        <f t="shared" si="60"/>
        <v>Andrew</v>
      </c>
      <c r="C430" t="s">
        <v>91</v>
      </c>
      <c r="D430" t="s">
        <v>719</v>
      </c>
      <c r="E430" s="45" t="str">
        <f t="shared" si="61"/>
        <v>Atkinson</v>
      </c>
      <c r="F430" s="45" t="str">
        <f t="shared" si="62"/>
        <v>Andrew L Atkinson</v>
      </c>
      <c r="G430" t="s">
        <v>264</v>
      </c>
      <c r="H430" t="str">
        <f t="shared" si="63"/>
        <v>Male</v>
      </c>
      <c r="I430" t="s">
        <v>718</v>
      </c>
      <c r="J430" t="s">
        <v>717</v>
      </c>
      <c r="K430" t="s">
        <v>58</v>
      </c>
      <c r="L430">
        <v>94143</v>
      </c>
      <c r="O430" t="s">
        <v>716</v>
      </c>
      <c r="P430" s="45" t="str">
        <f t="shared" si="64"/>
        <v>gmail</v>
      </c>
      <c r="Q430" t="s">
        <v>715</v>
      </c>
      <c r="R430" s="45" t="str">
        <f t="shared" si="65"/>
        <v>415|936|3184</v>
      </c>
      <c r="S430" s="45" t="str">
        <f t="shared" si="66"/>
        <v>415</v>
      </c>
      <c r="T430" s="45" t="str">
        <f t="shared" si="67"/>
        <v>936</v>
      </c>
      <c r="U430" s="45" t="str">
        <f t="shared" si="68"/>
        <v>3184</v>
      </c>
      <c r="V430" s="2" t="s">
        <v>714</v>
      </c>
      <c r="W430" s="45" t="str">
        <f t="shared" si="69"/>
        <v>767</v>
      </c>
    </row>
    <row r="431" spans="1:23" x14ac:dyDescent="0.3">
      <c r="A431" t="s">
        <v>713</v>
      </c>
      <c r="B431" s="45" t="str">
        <f t="shared" si="60"/>
        <v>Jeffrey</v>
      </c>
      <c r="C431" t="s">
        <v>56</v>
      </c>
      <c r="D431" t="s">
        <v>712</v>
      </c>
      <c r="E431" s="45" t="str">
        <f t="shared" si="61"/>
        <v>Duggins</v>
      </c>
      <c r="F431" s="45" t="str">
        <f t="shared" si="62"/>
        <v>Jeffrey J Duggins</v>
      </c>
      <c r="G431" t="s">
        <v>264</v>
      </c>
      <c r="H431" t="str">
        <f t="shared" si="63"/>
        <v>Male</v>
      </c>
      <c r="I431" t="s">
        <v>711</v>
      </c>
      <c r="J431" t="s">
        <v>710</v>
      </c>
      <c r="K431" t="s">
        <v>88</v>
      </c>
      <c r="L431">
        <v>45406</v>
      </c>
      <c r="O431" t="s">
        <v>709</v>
      </c>
      <c r="P431" s="45" t="str">
        <f t="shared" si="64"/>
        <v>hotmail</v>
      </c>
      <c r="Q431" t="s">
        <v>708</v>
      </c>
      <c r="R431" s="45" t="str">
        <f t="shared" si="65"/>
        <v>937|413|2916</v>
      </c>
      <c r="S431" s="45" t="str">
        <f t="shared" si="66"/>
        <v>937</v>
      </c>
      <c r="T431" s="45" t="str">
        <f t="shared" si="67"/>
        <v>413</v>
      </c>
      <c r="U431" s="45" t="str">
        <f t="shared" si="68"/>
        <v>2916</v>
      </c>
      <c r="V431" s="2" t="s">
        <v>707</v>
      </c>
      <c r="W431" s="45" t="str">
        <f t="shared" si="69"/>
        <v>271</v>
      </c>
    </row>
    <row r="432" spans="1:23" x14ac:dyDescent="0.3">
      <c r="A432" t="s">
        <v>706</v>
      </c>
      <c r="B432" s="45" t="str">
        <f t="shared" si="60"/>
        <v>Olivia</v>
      </c>
      <c r="C432" t="s">
        <v>91</v>
      </c>
      <c r="D432" t="s">
        <v>705</v>
      </c>
      <c r="E432" s="45" t="str">
        <f t="shared" si="61"/>
        <v>Munson</v>
      </c>
      <c r="F432" s="45" t="str">
        <f t="shared" si="62"/>
        <v>Olivia L Munson</v>
      </c>
      <c r="G432" t="s">
        <v>241</v>
      </c>
      <c r="H432" t="str">
        <f t="shared" si="63"/>
        <v>Female</v>
      </c>
      <c r="I432" t="s">
        <v>704</v>
      </c>
      <c r="J432" t="s">
        <v>703</v>
      </c>
      <c r="K432" t="s">
        <v>66</v>
      </c>
      <c r="L432">
        <v>75240</v>
      </c>
      <c r="O432" t="s">
        <v>702</v>
      </c>
      <c r="P432" s="45" t="str">
        <f t="shared" si="64"/>
        <v>gmail</v>
      </c>
      <c r="Q432" t="s">
        <v>701</v>
      </c>
      <c r="R432" s="45" t="str">
        <f t="shared" si="65"/>
        <v>972|774|2663</v>
      </c>
      <c r="S432" s="45" t="str">
        <f t="shared" si="66"/>
        <v>972</v>
      </c>
      <c r="T432" s="45" t="str">
        <f t="shared" si="67"/>
        <v>774</v>
      </c>
      <c r="U432" s="45" t="str">
        <f t="shared" si="68"/>
        <v>2663</v>
      </c>
      <c r="V432" s="2" t="s">
        <v>700</v>
      </c>
      <c r="W432" s="45" t="str">
        <f t="shared" si="69"/>
        <v>188</v>
      </c>
    </row>
    <row r="433" spans="1:23" x14ac:dyDescent="0.3">
      <c r="A433" t="s">
        <v>302</v>
      </c>
      <c r="B433" s="45" t="str">
        <f t="shared" si="60"/>
        <v>Amy</v>
      </c>
      <c r="C433" t="s">
        <v>65</v>
      </c>
      <c r="D433" t="s">
        <v>699</v>
      </c>
      <c r="E433" s="45" t="str">
        <f t="shared" si="61"/>
        <v>Carter</v>
      </c>
      <c r="F433" s="45" t="str">
        <f t="shared" si="62"/>
        <v>Amy K Carter</v>
      </c>
      <c r="G433" t="s">
        <v>241</v>
      </c>
      <c r="H433" t="str">
        <f t="shared" si="63"/>
        <v>Female</v>
      </c>
      <c r="I433" t="s">
        <v>698</v>
      </c>
      <c r="J433" t="s">
        <v>697</v>
      </c>
      <c r="K433" t="s">
        <v>63</v>
      </c>
      <c r="L433">
        <v>71302</v>
      </c>
      <c r="O433" t="s">
        <v>696</v>
      </c>
      <c r="P433" s="45" t="str">
        <f t="shared" si="64"/>
        <v>gmail</v>
      </c>
      <c r="Q433" t="s">
        <v>695</v>
      </c>
      <c r="R433" s="45" t="str">
        <f t="shared" si="65"/>
        <v>318|463|7717</v>
      </c>
      <c r="S433" s="45" t="str">
        <f t="shared" si="66"/>
        <v>318</v>
      </c>
      <c r="T433" s="45" t="str">
        <f t="shared" si="67"/>
        <v>463</v>
      </c>
      <c r="U433" s="45" t="str">
        <f t="shared" si="68"/>
        <v>7717</v>
      </c>
      <c r="V433" s="2" t="s">
        <v>694</v>
      </c>
      <c r="W433" s="45" t="str">
        <f t="shared" si="69"/>
        <v>210</v>
      </c>
    </row>
    <row r="434" spans="1:23" x14ac:dyDescent="0.3">
      <c r="A434" t="s">
        <v>693</v>
      </c>
      <c r="B434" s="45" t="str">
        <f t="shared" si="60"/>
        <v>Diane</v>
      </c>
      <c r="C434" t="s">
        <v>56</v>
      </c>
      <c r="D434" t="s">
        <v>692</v>
      </c>
      <c r="E434" s="45" t="str">
        <f t="shared" si="61"/>
        <v>Coldwell</v>
      </c>
      <c r="F434" s="45" t="str">
        <f t="shared" si="62"/>
        <v>Diane J Coldwell</v>
      </c>
      <c r="G434" t="s">
        <v>241</v>
      </c>
      <c r="H434" t="str">
        <f t="shared" si="63"/>
        <v>Female</v>
      </c>
      <c r="I434" t="s">
        <v>691</v>
      </c>
      <c r="J434" t="s">
        <v>690</v>
      </c>
      <c r="K434" t="s">
        <v>115</v>
      </c>
      <c r="L434">
        <v>72143</v>
      </c>
      <c r="O434" t="s">
        <v>689</v>
      </c>
      <c r="P434" s="45" t="str">
        <f t="shared" si="64"/>
        <v>aol</v>
      </c>
      <c r="Q434" t="s">
        <v>688</v>
      </c>
      <c r="R434" s="45" t="str">
        <f t="shared" si="65"/>
        <v>501|278|7551</v>
      </c>
      <c r="S434" s="45" t="str">
        <f t="shared" si="66"/>
        <v>501</v>
      </c>
      <c r="T434" s="45" t="str">
        <f t="shared" si="67"/>
        <v>278</v>
      </c>
      <c r="U434" s="45" t="str">
        <f t="shared" si="68"/>
        <v>7551</v>
      </c>
      <c r="V434" s="2" t="s">
        <v>687</v>
      </c>
      <c r="W434" s="45" t="str">
        <f t="shared" si="69"/>
        <v>449</v>
      </c>
    </row>
    <row r="435" spans="1:23" x14ac:dyDescent="0.3">
      <c r="A435" t="s">
        <v>686</v>
      </c>
      <c r="B435" s="45" t="str">
        <f t="shared" si="60"/>
        <v>Haywood</v>
      </c>
      <c r="C435" t="s">
        <v>60</v>
      </c>
      <c r="D435" t="s">
        <v>685</v>
      </c>
      <c r="E435" s="45" t="str">
        <f t="shared" si="61"/>
        <v>Albritton</v>
      </c>
      <c r="F435" s="45" t="str">
        <f t="shared" si="62"/>
        <v>Haywood M Albritton</v>
      </c>
      <c r="G435" t="s">
        <v>264</v>
      </c>
      <c r="H435" t="str">
        <f t="shared" si="63"/>
        <v>Male</v>
      </c>
      <c r="I435" t="s">
        <v>684</v>
      </c>
      <c r="J435" t="s">
        <v>683</v>
      </c>
      <c r="K435" t="s">
        <v>64</v>
      </c>
      <c r="L435">
        <v>97222</v>
      </c>
      <c r="O435" t="s">
        <v>682</v>
      </c>
      <c r="P435" s="45" t="str">
        <f t="shared" si="64"/>
        <v>aol</v>
      </c>
      <c r="Q435" t="s">
        <v>681</v>
      </c>
      <c r="R435" s="45" t="str">
        <f t="shared" si="65"/>
        <v>503|513|3931</v>
      </c>
      <c r="S435" s="45" t="str">
        <f t="shared" si="66"/>
        <v>503</v>
      </c>
      <c r="T435" s="45" t="str">
        <f t="shared" si="67"/>
        <v>513</v>
      </c>
      <c r="U435" s="45" t="str">
        <f t="shared" si="68"/>
        <v>3931</v>
      </c>
      <c r="V435" s="2" t="s">
        <v>680</v>
      </c>
      <c r="W435" s="45" t="str">
        <f t="shared" si="69"/>
        <v>2978</v>
      </c>
    </row>
    <row r="436" spans="1:23" x14ac:dyDescent="0.3">
      <c r="A436" t="s">
        <v>679</v>
      </c>
      <c r="B436" s="45" t="str">
        <f t="shared" si="60"/>
        <v>Dean</v>
      </c>
      <c r="C436" t="s">
        <v>77</v>
      </c>
      <c r="D436" t="s">
        <v>120</v>
      </c>
      <c r="E436" s="45" t="str">
        <f t="shared" si="61"/>
        <v>Day</v>
      </c>
      <c r="F436" s="45" t="str">
        <f t="shared" si="62"/>
        <v>Dean C Day</v>
      </c>
      <c r="G436" t="s">
        <v>264</v>
      </c>
      <c r="H436" t="str">
        <f t="shared" si="63"/>
        <v>Male</v>
      </c>
      <c r="I436" t="s">
        <v>678</v>
      </c>
      <c r="J436" t="s">
        <v>527</v>
      </c>
      <c r="K436" t="s">
        <v>113</v>
      </c>
      <c r="L436">
        <v>96819</v>
      </c>
      <c r="O436" t="s">
        <v>677</v>
      </c>
      <c r="P436" s="45" t="str">
        <f t="shared" si="64"/>
        <v>aol</v>
      </c>
      <c r="Q436" t="s">
        <v>676</v>
      </c>
      <c r="R436" s="45" t="str">
        <f t="shared" si="65"/>
        <v>808|782|9339</v>
      </c>
      <c r="S436" s="45" t="str">
        <f t="shared" si="66"/>
        <v>808</v>
      </c>
      <c r="T436" s="45" t="str">
        <f t="shared" si="67"/>
        <v>782</v>
      </c>
      <c r="U436" s="45" t="str">
        <f t="shared" si="68"/>
        <v>9339</v>
      </c>
      <c r="V436" s="2" t="s">
        <v>675</v>
      </c>
      <c r="W436" s="45" t="str">
        <f t="shared" si="69"/>
        <v>197</v>
      </c>
    </row>
    <row r="437" spans="1:23" x14ac:dyDescent="0.3">
      <c r="A437" t="s">
        <v>610</v>
      </c>
      <c r="B437" s="45" t="str">
        <f t="shared" si="60"/>
        <v>Susan</v>
      </c>
      <c r="C437" t="s">
        <v>243</v>
      </c>
      <c r="D437" t="s">
        <v>674</v>
      </c>
      <c r="E437" s="45" t="str">
        <f t="shared" si="61"/>
        <v>Wallace</v>
      </c>
      <c r="F437" s="45" t="str">
        <f t="shared" si="62"/>
        <v>Susan R Wallace</v>
      </c>
      <c r="G437" t="s">
        <v>241</v>
      </c>
      <c r="H437" t="str">
        <f t="shared" si="63"/>
        <v>Female</v>
      </c>
      <c r="I437" t="s">
        <v>673</v>
      </c>
      <c r="J437" t="s">
        <v>672</v>
      </c>
      <c r="K437" t="s">
        <v>58</v>
      </c>
      <c r="L437">
        <v>95113</v>
      </c>
      <c r="O437" t="s">
        <v>671</v>
      </c>
      <c r="P437" s="45" t="str">
        <f t="shared" si="64"/>
        <v>gmail</v>
      </c>
      <c r="Q437" t="s">
        <v>670</v>
      </c>
      <c r="R437" s="45" t="str">
        <f t="shared" si="65"/>
        <v>831|218|2456</v>
      </c>
      <c r="S437" s="45" t="str">
        <f t="shared" si="66"/>
        <v>831</v>
      </c>
      <c r="T437" s="45" t="str">
        <f t="shared" si="67"/>
        <v>218</v>
      </c>
      <c r="U437" s="45" t="str">
        <f t="shared" si="68"/>
        <v>2456</v>
      </c>
      <c r="V437" s="2" t="s">
        <v>669</v>
      </c>
      <c r="W437" s="45" t="str">
        <f t="shared" si="69"/>
        <v>807</v>
      </c>
    </row>
    <row r="438" spans="1:23" x14ac:dyDescent="0.3">
      <c r="A438" t="s">
        <v>668</v>
      </c>
      <c r="B438" s="45" t="str">
        <f t="shared" si="60"/>
        <v>Anthony</v>
      </c>
      <c r="C438" t="s">
        <v>62</v>
      </c>
      <c r="D438" t="s">
        <v>667</v>
      </c>
      <c r="E438" s="45" t="str">
        <f t="shared" si="61"/>
        <v>Brawner</v>
      </c>
      <c r="F438" s="45" t="str">
        <f t="shared" si="62"/>
        <v>Anthony D Brawner</v>
      </c>
      <c r="G438" t="s">
        <v>264</v>
      </c>
      <c r="H438" t="str">
        <f t="shared" si="63"/>
        <v>Male</v>
      </c>
      <c r="I438" t="s">
        <v>666</v>
      </c>
      <c r="J438" t="s">
        <v>239</v>
      </c>
      <c r="K438" t="s">
        <v>95</v>
      </c>
      <c r="L438">
        <v>21202</v>
      </c>
      <c r="O438" t="s">
        <v>665</v>
      </c>
      <c r="P438" s="45" t="str">
        <f t="shared" si="64"/>
        <v>aol</v>
      </c>
      <c r="Q438" t="s">
        <v>664</v>
      </c>
      <c r="R438" s="45" t="str">
        <f t="shared" si="65"/>
        <v>443|227|9750</v>
      </c>
      <c r="S438" s="45" t="str">
        <f t="shared" si="66"/>
        <v>443</v>
      </c>
      <c r="T438" s="45" t="str">
        <f t="shared" si="67"/>
        <v>227</v>
      </c>
      <c r="U438" s="45" t="str">
        <f t="shared" si="68"/>
        <v>9750</v>
      </c>
      <c r="V438" s="2" t="s">
        <v>663</v>
      </c>
      <c r="W438" s="45" t="str">
        <f t="shared" si="69"/>
        <v>0885</v>
      </c>
    </row>
    <row r="439" spans="1:23" x14ac:dyDescent="0.3">
      <c r="A439" t="s">
        <v>662</v>
      </c>
      <c r="B439" s="45" t="str">
        <f t="shared" si="60"/>
        <v>Jesse</v>
      </c>
      <c r="C439" t="s">
        <v>266</v>
      </c>
      <c r="D439" t="s">
        <v>661</v>
      </c>
      <c r="E439" s="45" t="str">
        <f t="shared" si="61"/>
        <v>Morrow</v>
      </c>
      <c r="F439" s="45" t="str">
        <f t="shared" si="62"/>
        <v>Jesse S Morrow</v>
      </c>
      <c r="G439" t="s">
        <v>241</v>
      </c>
      <c r="H439" t="str">
        <f t="shared" si="63"/>
        <v>Female</v>
      </c>
      <c r="I439" t="s">
        <v>660</v>
      </c>
      <c r="J439" t="s">
        <v>659</v>
      </c>
      <c r="K439" t="s">
        <v>95</v>
      </c>
      <c r="L439">
        <v>20705</v>
      </c>
      <c r="O439" t="s">
        <v>658</v>
      </c>
      <c r="P439" s="45" t="str">
        <f t="shared" si="64"/>
        <v>hotmail</v>
      </c>
      <c r="Q439" t="s">
        <v>657</v>
      </c>
      <c r="R439" s="45" t="str">
        <f t="shared" si="65"/>
        <v>240|643|5792</v>
      </c>
      <c r="S439" s="45" t="str">
        <f t="shared" si="66"/>
        <v>240</v>
      </c>
      <c r="T439" s="45" t="str">
        <f t="shared" si="67"/>
        <v>643</v>
      </c>
      <c r="U439" s="45" t="str">
        <f t="shared" si="68"/>
        <v>5792</v>
      </c>
      <c r="V439" s="2" t="s">
        <v>656</v>
      </c>
      <c r="W439" s="45" t="str">
        <f t="shared" si="69"/>
        <v>597</v>
      </c>
    </row>
    <row r="440" spans="1:23" x14ac:dyDescent="0.3">
      <c r="A440" t="s">
        <v>655</v>
      </c>
      <c r="B440" s="45" t="str">
        <f t="shared" si="60"/>
        <v>Stacy</v>
      </c>
      <c r="C440" t="s">
        <v>266</v>
      </c>
      <c r="D440" t="s">
        <v>654</v>
      </c>
      <c r="E440" s="45" t="str">
        <f t="shared" si="61"/>
        <v>Petersen</v>
      </c>
      <c r="F440" s="45" t="str">
        <f t="shared" si="62"/>
        <v>Stacy S Petersen</v>
      </c>
      <c r="G440" t="s">
        <v>241</v>
      </c>
      <c r="H440" t="str">
        <f t="shared" si="63"/>
        <v>Female</v>
      </c>
      <c r="I440" t="s">
        <v>653</v>
      </c>
      <c r="J440" t="s">
        <v>427</v>
      </c>
      <c r="K440" t="s">
        <v>92</v>
      </c>
      <c r="L440">
        <v>64106</v>
      </c>
      <c r="O440" t="s">
        <v>652</v>
      </c>
      <c r="P440" s="45" t="str">
        <f t="shared" si="64"/>
        <v>gmail</v>
      </c>
      <c r="Q440" t="s">
        <v>651</v>
      </c>
      <c r="R440" s="45" t="str">
        <f t="shared" si="65"/>
        <v>660|797|8359</v>
      </c>
      <c r="S440" s="45" t="str">
        <f t="shared" si="66"/>
        <v>660</v>
      </c>
      <c r="T440" s="45" t="str">
        <f t="shared" si="67"/>
        <v>797</v>
      </c>
      <c r="U440" s="45" t="str">
        <f t="shared" si="68"/>
        <v>8359</v>
      </c>
      <c r="V440" s="2" t="s">
        <v>650</v>
      </c>
      <c r="W440" s="45" t="str">
        <f t="shared" si="69"/>
        <v>6141</v>
      </c>
    </row>
    <row r="441" spans="1:23" x14ac:dyDescent="0.3">
      <c r="A441" t="s">
        <v>649</v>
      </c>
      <c r="B441" s="45" t="str">
        <f t="shared" si="60"/>
        <v>Brenda</v>
      </c>
      <c r="C441" t="s">
        <v>91</v>
      </c>
      <c r="D441" t="s">
        <v>648</v>
      </c>
      <c r="E441" s="45" t="str">
        <f t="shared" si="61"/>
        <v>Norris</v>
      </c>
      <c r="F441" s="45" t="str">
        <f t="shared" si="62"/>
        <v>Brenda L Norris</v>
      </c>
      <c r="G441" t="s">
        <v>241</v>
      </c>
      <c r="H441" t="str">
        <f t="shared" si="63"/>
        <v>Female</v>
      </c>
      <c r="I441" t="s">
        <v>647</v>
      </c>
      <c r="J441" t="s">
        <v>646</v>
      </c>
      <c r="K441" t="s">
        <v>101</v>
      </c>
      <c r="L441">
        <v>17111</v>
      </c>
      <c r="O441" t="s">
        <v>645</v>
      </c>
      <c r="P441" s="45" t="str">
        <f t="shared" si="64"/>
        <v>gmail</v>
      </c>
      <c r="Q441" t="s">
        <v>644</v>
      </c>
      <c r="R441" s="45" t="str">
        <f t="shared" si="65"/>
        <v>717|575|6752</v>
      </c>
      <c r="S441" s="45" t="str">
        <f t="shared" si="66"/>
        <v>717</v>
      </c>
      <c r="T441" s="45" t="str">
        <f t="shared" si="67"/>
        <v>575</v>
      </c>
      <c r="U441" s="45" t="str">
        <f t="shared" si="68"/>
        <v>6752</v>
      </c>
      <c r="V441" s="2" t="s">
        <v>643</v>
      </c>
      <c r="W441" s="45" t="str">
        <f t="shared" si="69"/>
        <v>8580</v>
      </c>
    </row>
    <row r="442" spans="1:23" x14ac:dyDescent="0.3">
      <c r="A442" t="s">
        <v>302</v>
      </c>
      <c r="B442" s="45" t="str">
        <f t="shared" si="60"/>
        <v>Amy</v>
      </c>
      <c r="C442" t="s">
        <v>93</v>
      </c>
      <c r="D442" t="s">
        <v>642</v>
      </c>
      <c r="E442" s="45" t="str">
        <f t="shared" si="61"/>
        <v>Thomas</v>
      </c>
      <c r="F442" s="45" t="str">
        <f t="shared" si="62"/>
        <v>Amy G Thomas</v>
      </c>
      <c r="G442" t="s">
        <v>241</v>
      </c>
      <c r="H442" t="str">
        <f t="shared" si="63"/>
        <v>Female</v>
      </c>
      <c r="I442" t="s">
        <v>641</v>
      </c>
      <c r="J442" t="s">
        <v>640</v>
      </c>
      <c r="K442" t="s">
        <v>63</v>
      </c>
      <c r="L442">
        <v>70001</v>
      </c>
      <c r="O442" t="s">
        <v>639</v>
      </c>
      <c r="P442" s="45" t="str">
        <f t="shared" si="64"/>
        <v>aol</v>
      </c>
      <c r="Q442" t="s">
        <v>638</v>
      </c>
      <c r="R442" s="45" t="str">
        <f t="shared" si="65"/>
        <v>504|415|5456</v>
      </c>
      <c r="S442" s="45" t="str">
        <f t="shared" si="66"/>
        <v>504</v>
      </c>
      <c r="T442" s="45" t="str">
        <f t="shared" si="67"/>
        <v>415</v>
      </c>
      <c r="U442" s="45" t="str">
        <f t="shared" si="68"/>
        <v>5456</v>
      </c>
      <c r="V442" s="2" t="s">
        <v>637</v>
      </c>
      <c r="W442" s="45" t="str">
        <f t="shared" si="69"/>
        <v>065</v>
      </c>
    </row>
    <row r="443" spans="1:23" x14ac:dyDescent="0.3">
      <c r="A443" t="s">
        <v>636</v>
      </c>
      <c r="B443" s="45" t="str">
        <f t="shared" si="60"/>
        <v>Virginia</v>
      </c>
      <c r="C443" t="s">
        <v>60</v>
      </c>
      <c r="D443" t="s">
        <v>635</v>
      </c>
      <c r="E443" s="45" t="str">
        <f t="shared" si="61"/>
        <v>Givens</v>
      </c>
      <c r="F443" s="45" t="str">
        <f t="shared" si="62"/>
        <v>Virginia M Givens</v>
      </c>
      <c r="G443" t="s">
        <v>241</v>
      </c>
      <c r="H443" t="str">
        <f t="shared" si="63"/>
        <v>Female</v>
      </c>
      <c r="I443" t="s">
        <v>634</v>
      </c>
      <c r="J443" t="s">
        <v>633</v>
      </c>
      <c r="K443" t="s">
        <v>83</v>
      </c>
      <c r="L443">
        <v>24740</v>
      </c>
      <c r="O443" t="s">
        <v>632</v>
      </c>
      <c r="P443" s="45" t="str">
        <f t="shared" si="64"/>
        <v>hotmail</v>
      </c>
      <c r="Q443" t="s">
        <v>631</v>
      </c>
      <c r="R443" s="45" t="str">
        <f t="shared" si="65"/>
        <v>304|487|6096</v>
      </c>
      <c r="S443" s="45" t="str">
        <f t="shared" si="66"/>
        <v>304</v>
      </c>
      <c r="T443" s="45" t="str">
        <f t="shared" si="67"/>
        <v>487</v>
      </c>
      <c r="U443" s="45" t="str">
        <f t="shared" si="68"/>
        <v>6096</v>
      </c>
      <c r="V443" s="2" t="s">
        <v>630</v>
      </c>
      <c r="W443" s="45" t="str">
        <f t="shared" si="69"/>
        <v>219</v>
      </c>
    </row>
    <row r="444" spans="1:23" x14ac:dyDescent="0.3">
      <c r="A444" t="s">
        <v>629</v>
      </c>
      <c r="B444" s="45" t="str">
        <f t="shared" si="60"/>
        <v>Leroy</v>
      </c>
      <c r="C444" t="s">
        <v>56</v>
      </c>
      <c r="D444" t="s">
        <v>628</v>
      </c>
      <c r="E444" s="45" t="str">
        <f t="shared" si="61"/>
        <v>Ballweg</v>
      </c>
      <c r="F444" s="45" t="str">
        <f t="shared" si="62"/>
        <v>Leroy J Ballweg</v>
      </c>
      <c r="G444" t="s">
        <v>264</v>
      </c>
      <c r="H444" t="str">
        <f t="shared" si="63"/>
        <v>Male</v>
      </c>
      <c r="I444" t="s">
        <v>627</v>
      </c>
      <c r="J444" t="s">
        <v>626</v>
      </c>
      <c r="K444" t="s">
        <v>88</v>
      </c>
      <c r="L444">
        <v>45236</v>
      </c>
      <c r="O444" t="s">
        <v>625</v>
      </c>
      <c r="P444" s="45" t="str">
        <f t="shared" si="64"/>
        <v>aol</v>
      </c>
      <c r="Q444" t="s">
        <v>624</v>
      </c>
      <c r="R444" s="45" t="str">
        <f t="shared" si="65"/>
        <v>513|793|4303</v>
      </c>
      <c r="S444" s="45" t="str">
        <f t="shared" si="66"/>
        <v>513</v>
      </c>
      <c r="T444" s="45" t="str">
        <f t="shared" si="67"/>
        <v>793</v>
      </c>
      <c r="U444" s="45" t="str">
        <f t="shared" si="68"/>
        <v>4303</v>
      </c>
      <c r="V444" s="2" t="s">
        <v>623</v>
      </c>
      <c r="W444" s="45" t="str">
        <f t="shared" si="69"/>
        <v>5756</v>
      </c>
    </row>
    <row r="445" spans="1:23" x14ac:dyDescent="0.3">
      <c r="A445" t="s">
        <v>622</v>
      </c>
      <c r="B445" s="45" t="str">
        <f t="shared" si="60"/>
        <v>Samuel</v>
      </c>
      <c r="C445" t="s">
        <v>60</v>
      </c>
      <c r="D445" t="s">
        <v>436</v>
      </c>
      <c r="E445" s="45" t="str">
        <f t="shared" si="61"/>
        <v>Robinson</v>
      </c>
      <c r="F445" s="45" t="str">
        <f t="shared" si="62"/>
        <v>Samuel M Robinson</v>
      </c>
      <c r="G445" t="s">
        <v>264</v>
      </c>
      <c r="H445" t="str">
        <f t="shared" si="63"/>
        <v>Male</v>
      </c>
      <c r="I445" t="s">
        <v>621</v>
      </c>
      <c r="J445" t="s">
        <v>620</v>
      </c>
      <c r="K445" t="s">
        <v>112</v>
      </c>
      <c r="L445">
        <v>29601</v>
      </c>
      <c r="O445" t="s">
        <v>619</v>
      </c>
      <c r="P445" s="45" t="str">
        <f t="shared" si="64"/>
        <v>gmail</v>
      </c>
      <c r="Q445" t="s">
        <v>618</v>
      </c>
      <c r="R445" s="45" t="str">
        <f t="shared" si="65"/>
        <v>864|621|2834</v>
      </c>
      <c r="S445" s="45" t="str">
        <f t="shared" si="66"/>
        <v>864</v>
      </c>
      <c r="T445" s="45" t="str">
        <f t="shared" si="67"/>
        <v>621</v>
      </c>
      <c r="U445" s="45" t="str">
        <f t="shared" si="68"/>
        <v>2834</v>
      </c>
      <c r="V445" s="2" t="s">
        <v>617</v>
      </c>
      <c r="W445" s="45" t="str">
        <f t="shared" si="69"/>
        <v>272</v>
      </c>
    </row>
    <row r="446" spans="1:23" x14ac:dyDescent="0.3">
      <c r="A446" t="s">
        <v>484</v>
      </c>
      <c r="B446" s="45" t="str">
        <f t="shared" si="60"/>
        <v>Derek</v>
      </c>
      <c r="C446" t="s">
        <v>91</v>
      </c>
      <c r="D446" t="s">
        <v>616</v>
      </c>
      <c r="E446" s="45" t="str">
        <f t="shared" si="61"/>
        <v>Rivera</v>
      </c>
      <c r="F446" s="45" t="str">
        <f t="shared" si="62"/>
        <v>Derek L Rivera</v>
      </c>
      <c r="G446" t="s">
        <v>264</v>
      </c>
      <c r="H446" t="str">
        <f t="shared" si="63"/>
        <v>Male</v>
      </c>
      <c r="I446" t="s">
        <v>615</v>
      </c>
      <c r="J446" t="s">
        <v>614</v>
      </c>
      <c r="K446" t="s">
        <v>110</v>
      </c>
      <c r="L446">
        <v>67487</v>
      </c>
      <c r="O446" t="s">
        <v>613</v>
      </c>
      <c r="P446" s="45" t="str">
        <f t="shared" si="64"/>
        <v>hotmail</v>
      </c>
      <c r="Q446" t="s">
        <v>612</v>
      </c>
      <c r="R446" s="45" t="str">
        <f t="shared" si="65"/>
        <v>785|461|6037</v>
      </c>
      <c r="S446" s="45" t="str">
        <f t="shared" si="66"/>
        <v>785</v>
      </c>
      <c r="T446" s="45" t="str">
        <f t="shared" si="67"/>
        <v>461</v>
      </c>
      <c r="U446" s="45" t="str">
        <f t="shared" si="68"/>
        <v>6037</v>
      </c>
      <c r="V446" s="2" t="s">
        <v>611</v>
      </c>
      <c r="W446" s="45" t="str">
        <f t="shared" si="69"/>
        <v>014</v>
      </c>
    </row>
    <row r="447" spans="1:23" x14ac:dyDescent="0.3">
      <c r="A447" t="s">
        <v>610</v>
      </c>
      <c r="B447" s="45" t="str">
        <f t="shared" si="60"/>
        <v>Susan</v>
      </c>
      <c r="C447" t="s">
        <v>81</v>
      </c>
      <c r="D447" t="s">
        <v>609</v>
      </c>
      <c r="E447" s="45" t="str">
        <f t="shared" si="61"/>
        <v>Boling</v>
      </c>
      <c r="F447" s="45" t="str">
        <f t="shared" si="62"/>
        <v>Susan A Boling</v>
      </c>
      <c r="G447" t="s">
        <v>241</v>
      </c>
      <c r="H447" t="str">
        <f t="shared" si="63"/>
        <v>Female</v>
      </c>
      <c r="I447" t="s">
        <v>608</v>
      </c>
      <c r="J447" t="s">
        <v>607</v>
      </c>
      <c r="K447" t="s">
        <v>58</v>
      </c>
      <c r="L447">
        <v>92664</v>
      </c>
      <c r="O447" t="s">
        <v>606</v>
      </c>
      <c r="P447" s="45" t="str">
        <f t="shared" si="64"/>
        <v>hotmail</v>
      </c>
      <c r="Q447" t="s">
        <v>605</v>
      </c>
      <c r="R447" s="45" t="str">
        <f t="shared" si="65"/>
        <v>949|929|5020</v>
      </c>
      <c r="S447" s="45" t="str">
        <f t="shared" si="66"/>
        <v>949</v>
      </c>
      <c r="T447" s="45" t="str">
        <f t="shared" si="67"/>
        <v>929</v>
      </c>
      <c r="U447" s="45" t="str">
        <f t="shared" si="68"/>
        <v>5020</v>
      </c>
      <c r="V447" s="2" t="s">
        <v>604</v>
      </c>
      <c r="W447" s="45" t="str">
        <f t="shared" si="69"/>
        <v>594</v>
      </c>
    </row>
    <row r="448" spans="1:23" x14ac:dyDescent="0.3">
      <c r="A448" t="s">
        <v>603</v>
      </c>
      <c r="B448" s="45" t="str">
        <f t="shared" si="60"/>
        <v>Kathy</v>
      </c>
      <c r="C448" t="s">
        <v>56</v>
      </c>
      <c r="D448" t="s">
        <v>602</v>
      </c>
      <c r="E448" s="45" t="str">
        <f t="shared" si="61"/>
        <v>Bazan</v>
      </c>
      <c r="F448" s="45" t="str">
        <f t="shared" si="62"/>
        <v>Kathy J Bazan</v>
      </c>
      <c r="G448" t="s">
        <v>241</v>
      </c>
      <c r="H448" t="str">
        <f t="shared" si="63"/>
        <v>Female</v>
      </c>
      <c r="I448" t="s">
        <v>601</v>
      </c>
      <c r="J448" t="s">
        <v>600</v>
      </c>
      <c r="K448" t="s">
        <v>99</v>
      </c>
      <c r="L448">
        <v>47906</v>
      </c>
      <c r="O448" t="s">
        <v>599</v>
      </c>
      <c r="P448" s="45" t="str">
        <f t="shared" si="64"/>
        <v>gmail</v>
      </c>
      <c r="Q448" t="s">
        <v>598</v>
      </c>
      <c r="R448" s="45" t="str">
        <f t="shared" si="65"/>
        <v>765|746|0191</v>
      </c>
      <c r="S448" s="45" t="str">
        <f t="shared" si="66"/>
        <v>765</v>
      </c>
      <c r="T448" s="45" t="str">
        <f t="shared" si="67"/>
        <v>746</v>
      </c>
      <c r="U448" s="45" t="str">
        <f t="shared" si="68"/>
        <v>0191</v>
      </c>
      <c r="V448" s="2" t="s">
        <v>597</v>
      </c>
      <c r="W448" s="45" t="str">
        <f t="shared" si="69"/>
        <v>8075</v>
      </c>
    </row>
    <row r="449" spans="1:23" x14ac:dyDescent="0.3">
      <c r="A449" t="s">
        <v>596</v>
      </c>
      <c r="B449" s="45" t="str">
        <f t="shared" si="60"/>
        <v>Tara</v>
      </c>
      <c r="C449" t="s">
        <v>361</v>
      </c>
      <c r="D449" t="s">
        <v>595</v>
      </c>
      <c r="E449" s="45" t="str">
        <f t="shared" si="61"/>
        <v>Emberton</v>
      </c>
      <c r="F449" s="45" t="str">
        <f t="shared" si="62"/>
        <v>Tara T Emberton</v>
      </c>
      <c r="G449" t="s">
        <v>241</v>
      </c>
      <c r="H449" t="str">
        <f t="shared" si="63"/>
        <v>Female</v>
      </c>
      <c r="I449" t="s">
        <v>594</v>
      </c>
      <c r="J449" t="s">
        <v>593</v>
      </c>
      <c r="K449" t="s">
        <v>66</v>
      </c>
      <c r="L449">
        <v>79536</v>
      </c>
      <c r="O449" t="s">
        <v>592</v>
      </c>
      <c r="P449" s="45" t="str">
        <f t="shared" si="64"/>
        <v>gmail</v>
      </c>
      <c r="Q449" t="s">
        <v>591</v>
      </c>
      <c r="R449" s="45" t="str">
        <f t="shared" si="65"/>
        <v>325|846|3787</v>
      </c>
      <c r="S449" s="45" t="str">
        <f t="shared" si="66"/>
        <v>325</v>
      </c>
      <c r="T449" s="45" t="str">
        <f t="shared" si="67"/>
        <v>846</v>
      </c>
      <c r="U449" s="45" t="str">
        <f t="shared" si="68"/>
        <v>3787</v>
      </c>
      <c r="V449" s="2" t="s">
        <v>590</v>
      </c>
      <c r="W449" s="45" t="str">
        <f t="shared" si="69"/>
        <v>3622</v>
      </c>
    </row>
    <row r="450" spans="1:23" x14ac:dyDescent="0.3">
      <c r="A450" t="s">
        <v>589</v>
      </c>
      <c r="B450" s="45" t="str">
        <f t="shared" si="60"/>
        <v>Earl</v>
      </c>
      <c r="C450" t="s">
        <v>60</v>
      </c>
      <c r="D450" t="s">
        <v>588</v>
      </c>
      <c r="E450" s="45" t="str">
        <f t="shared" si="61"/>
        <v>Aguirre</v>
      </c>
      <c r="F450" s="45" t="str">
        <f t="shared" si="62"/>
        <v>Earl M Aguirre</v>
      </c>
      <c r="G450" t="s">
        <v>264</v>
      </c>
      <c r="H450" t="str">
        <f t="shared" si="63"/>
        <v>Male</v>
      </c>
      <c r="I450" t="s">
        <v>587</v>
      </c>
      <c r="J450" t="s">
        <v>586</v>
      </c>
      <c r="K450" t="s">
        <v>76</v>
      </c>
      <c r="L450">
        <v>37201</v>
      </c>
      <c r="O450" t="s">
        <v>585</v>
      </c>
      <c r="P450" s="45" t="str">
        <f t="shared" si="64"/>
        <v>hotmail</v>
      </c>
      <c r="Q450" t="s">
        <v>584</v>
      </c>
      <c r="R450" s="45" t="str">
        <f t="shared" si="65"/>
        <v>931|416|4171</v>
      </c>
      <c r="S450" s="45" t="str">
        <f t="shared" si="66"/>
        <v>931</v>
      </c>
      <c r="T450" s="45" t="str">
        <f t="shared" si="67"/>
        <v>416</v>
      </c>
      <c r="U450" s="45" t="str">
        <f t="shared" si="68"/>
        <v>4171</v>
      </c>
      <c r="V450" s="2" t="s">
        <v>583</v>
      </c>
      <c r="W450" s="45" t="str">
        <f t="shared" si="69"/>
        <v>4076</v>
      </c>
    </row>
    <row r="451" spans="1:23" x14ac:dyDescent="0.3">
      <c r="A451" t="s">
        <v>582</v>
      </c>
      <c r="B451" s="45" t="str">
        <f t="shared" ref="B451:B501" si="70">PROPER(A451)</f>
        <v>Clarence</v>
      </c>
      <c r="C451" t="s">
        <v>81</v>
      </c>
      <c r="D451" t="s">
        <v>411</v>
      </c>
      <c r="E451" s="45" t="str">
        <f t="shared" ref="E451:E501" si="71">PROPER(D451)</f>
        <v>Joseph</v>
      </c>
      <c r="F451" s="45" t="str">
        <f t="shared" ref="F451:F501" si="72">_xlfn.CONCAT(B451," ",C451," ",E451)</f>
        <v>Clarence A Joseph</v>
      </c>
      <c r="G451" t="s">
        <v>264</v>
      </c>
      <c r="H451" t="str">
        <f t="shared" ref="H451:H501" si="73">PROPER(G451)</f>
        <v>Male</v>
      </c>
      <c r="I451" t="s">
        <v>581</v>
      </c>
      <c r="J451" t="s">
        <v>78</v>
      </c>
      <c r="K451" t="s">
        <v>57</v>
      </c>
      <c r="L451">
        <v>60601</v>
      </c>
      <c r="O451" t="s">
        <v>580</v>
      </c>
      <c r="P451" s="45" t="str">
        <f t="shared" ref="P451:P501" si="74">_xlfn.TEXTBEFORE(_xlfn.TEXTAFTER(O451,"@"),".")</f>
        <v>gmail</v>
      </c>
      <c r="Q451" t="s">
        <v>579</v>
      </c>
      <c r="R451" s="45" t="str">
        <f t="shared" ref="R451:R501" si="75">SUBSTITUTE(Q451,"-","|")</f>
        <v>815|371|6613</v>
      </c>
      <c r="S451" s="45" t="str">
        <f t="shared" ref="S451:S501" si="76">LEFT(R451,3)</f>
        <v>815</v>
      </c>
      <c r="T451" s="45" t="str">
        <f t="shared" ref="T451:T501" si="77">MID(R451,5,3)</f>
        <v>371</v>
      </c>
      <c r="U451" s="45" t="str">
        <f t="shared" ref="U451:U501" si="78">RIGHT(R451,4)</f>
        <v>6613</v>
      </c>
      <c r="V451" s="2" t="s">
        <v>578</v>
      </c>
      <c r="W451" s="45" t="str">
        <f t="shared" ref="W451:W501" si="79">RIGHT(V451,LEN(V451)-FIND("-",V451))</f>
        <v>680</v>
      </c>
    </row>
    <row r="452" spans="1:23" x14ac:dyDescent="0.3">
      <c r="A452" t="s">
        <v>577</v>
      </c>
      <c r="B452" s="45" t="str">
        <f t="shared" si="70"/>
        <v>Teddy</v>
      </c>
      <c r="C452" t="s">
        <v>463</v>
      </c>
      <c r="D452" t="s">
        <v>576</v>
      </c>
      <c r="E452" s="45" t="str">
        <f t="shared" si="71"/>
        <v>Dishman</v>
      </c>
      <c r="F452" s="45" t="str">
        <f t="shared" si="72"/>
        <v>Teddy W Dishman</v>
      </c>
      <c r="G452" t="s">
        <v>264</v>
      </c>
      <c r="H452" t="str">
        <f t="shared" si="73"/>
        <v>Male</v>
      </c>
      <c r="I452" t="s">
        <v>575</v>
      </c>
      <c r="J452" t="s">
        <v>574</v>
      </c>
      <c r="K452" t="s">
        <v>66</v>
      </c>
      <c r="L452">
        <v>77478</v>
      </c>
      <c r="O452" t="s">
        <v>573</v>
      </c>
      <c r="P452" s="45" t="str">
        <f t="shared" si="74"/>
        <v>aol</v>
      </c>
      <c r="Q452" t="s">
        <v>572</v>
      </c>
      <c r="R452" s="45" t="str">
        <f t="shared" si="75"/>
        <v>713|902|5769</v>
      </c>
      <c r="S452" s="45" t="str">
        <f t="shared" si="76"/>
        <v>713</v>
      </c>
      <c r="T452" s="45" t="str">
        <f t="shared" si="77"/>
        <v>902</v>
      </c>
      <c r="U452" s="45" t="str">
        <f t="shared" si="78"/>
        <v>5769</v>
      </c>
      <c r="V452" s="2" t="s">
        <v>571</v>
      </c>
      <c r="W452" s="45" t="str">
        <f t="shared" si="79"/>
        <v>9353</v>
      </c>
    </row>
    <row r="453" spans="1:23" x14ac:dyDescent="0.3">
      <c r="A453" t="s">
        <v>570</v>
      </c>
      <c r="B453" s="45" t="str">
        <f t="shared" si="70"/>
        <v>Juan</v>
      </c>
      <c r="C453" t="s">
        <v>93</v>
      </c>
      <c r="D453" t="s">
        <v>569</v>
      </c>
      <c r="E453" s="45" t="str">
        <f t="shared" si="71"/>
        <v>Jacobsen</v>
      </c>
      <c r="F453" s="45" t="str">
        <f t="shared" si="72"/>
        <v>Juan G Jacobsen</v>
      </c>
      <c r="G453" t="s">
        <v>264</v>
      </c>
      <c r="H453" t="str">
        <f t="shared" si="73"/>
        <v>Male</v>
      </c>
      <c r="I453" t="s">
        <v>568</v>
      </c>
      <c r="J453" t="s">
        <v>567</v>
      </c>
      <c r="K453" t="s">
        <v>85</v>
      </c>
      <c r="L453">
        <v>28202</v>
      </c>
      <c r="O453" t="s">
        <v>566</v>
      </c>
      <c r="P453" s="45" t="str">
        <f t="shared" si="74"/>
        <v>gmail</v>
      </c>
      <c r="Q453" t="s">
        <v>565</v>
      </c>
      <c r="R453" s="45" t="str">
        <f t="shared" si="75"/>
        <v>704|908|1546</v>
      </c>
      <c r="S453" s="45" t="str">
        <f t="shared" si="76"/>
        <v>704</v>
      </c>
      <c r="T453" s="45" t="str">
        <f t="shared" si="77"/>
        <v>908</v>
      </c>
      <c r="U453" s="45" t="str">
        <f t="shared" si="78"/>
        <v>1546</v>
      </c>
      <c r="V453" s="2" t="s">
        <v>564</v>
      </c>
      <c r="W453" s="45" t="str">
        <f t="shared" si="79"/>
        <v>3941</v>
      </c>
    </row>
    <row r="454" spans="1:23" x14ac:dyDescent="0.3">
      <c r="A454" t="s">
        <v>563</v>
      </c>
      <c r="B454" s="45" t="str">
        <f t="shared" si="70"/>
        <v>James</v>
      </c>
      <c r="C454" t="s">
        <v>56</v>
      </c>
      <c r="D454" t="s">
        <v>562</v>
      </c>
      <c r="E454" s="45" t="str">
        <f t="shared" si="71"/>
        <v>Yu</v>
      </c>
      <c r="F454" s="45" t="str">
        <f t="shared" si="72"/>
        <v>James J Yu</v>
      </c>
      <c r="G454" t="s">
        <v>264</v>
      </c>
      <c r="H454" t="str">
        <f t="shared" si="73"/>
        <v>Male</v>
      </c>
      <c r="I454" t="s">
        <v>561</v>
      </c>
      <c r="J454" t="s">
        <v>560</v>
      </c>
      <c r="K454" t="s">
        <v>84</v>
      </c>
      <c r="L454">
        <v>30338</v>
      </c>
      <c r="O454" t="s">
        <v>559</v>
      </c>
      <c r="P454" s="45" t="str">
        <f t="shared" si="74"/>
        <v>aol</v>
      </c>
      <c r="Q454" t="s">
        <v>558</v>
      </c>
      <c r="R454" s="45" t="str">
        <f t="shared" si="75"/>
        <v>770|522|3655</v>
      </c>
      <c r="S454" s="45" t="str">
        <f t="shared" si="76"/>
        <v>770</v>
      </c>
      <c r="T454" s="45" t="str">
        <f t="shared" si="77"/>
        <v>522</v>
      </c>
      <c r="U454" s="45" t="str">
        <f t="shared" si="78"/>
        <v>3655</v>
      </c>
      <c r="V454" s="2" t="s">
        <v>557</v>
      </c>
      <c r="W454" s="45" t="str">
        <f t="shared" si="79"/>
        <v>480</v>
      </c>
    </row>
    <row r="455" spans="1:23" x14ac:dyDescent="0.3">
      <c r="A455" t="s">
        <v>556</v>
      </c>
      <c r="B455" s="45" t="str">
        <f t="shared" si="70"/>
        <v>Charles</v>
      </c>
      <c r="C455" t="s">
        <v>243</v>
      </c>
      <c r="D455" t="s">
        <v>555</v>
      </c>
      <c r="E455" s="45" t="str">
        <f t="shared" si="71"/>
        <v>Marshall</v>
      </c>
      <c r="F455" s="45" t="str">
        <f t="shared" si="72"/>
        <v>Charles R Marshall</v>
      </c>
      <c r="G455" t="s">
        <v>264</v>
      </c>
      <c r="H455" t="str">
        <f t="shared" si="73"/>
        <v>Male</v>
      </c>
      <c r="I455" t="s">
        <v>554</v>
      </c>
      <c r="J455" t="s">
        <v>421</v>
      </c>
      <c r="K455" t="s">
        <v>58</v>
      </c>
      <c r="L455">
        <v>90071</v>
      </c>
      <c r="O455" t="s">
        <v>553</v>
      </c>
      <c r="P455" s="45" t="str">
        <f t="shared" si="74"/>
        <v>hotmail</v>
      </c>
      <c r="Q455" t="s">
        <v>552</v>
      </c>
      <c r="R455" s="45" t="str">
        <f t="shared" si="75"/>
        <v>213|617|3930</v>
      </c>
      <c r="S455" s="45" t="str">
        <f t="shared" si="76"/>
        <v>213</v>
      </c>
      <c r="T455" s="45" t="str">
        <f t="shared" si="77"/>
        <v>617</v>
      </c>
      <c r="U455" s="45" t="str">
        <f t="shared" si="78"/>
        <v>3930</v>
      </c>
      <c r="V455" s="2" t="s">
        <v>551</v>
      </c>
      <c r="W455" s="45" t="str">
        <f t="shared" si="79"/>
        <v>4081</v>
      </c>
    </row>
    <row r="456" spans="1:23" x14ac:dyDescent="0.3">
      <c r="A456" t="s">
        <v>390</v>
      </c>
      <c r="B456" s="45" t="str">
        <f t="shared" si="70"/>
        <v>Donald</v>
      </c>
      <c r="C456" t="s">
        <v>91</v>
      </c>
      <c r="D456" t="s">
        <v>550</v>
      </c>
      <c r="E456" s="45" t="str">
        <f t="shared" si="71"/>
        <v>Murray</v>
      </c>
      <c r="F456" s="45" t="str">
        <f t="shared" si="72"/>
        <v>Donald L Murray</v>
      </c>
      <c r="G456" t="s">
        <v>264</v>
      </c>
      <c r="H456" t="str">
        <f t="shared" si="73"/>
        <v>Male</v>
      </c>
      <c r="I456" t="s">
        <v>549</v>
      </c>
      <c r="J456" t="s">
        <v>548</v>
      </c>
      <c r="K456" t="s">
        <v>66</v>
      </c>
      <c r="L456">
        <v>75039</v>
      </c>
      <c r="O456" t="s">
        <v>547</v>
      </c>
      <c r="P456" s="45" t="str">
        <f t="shared" si="74"/>
        <v>hotmail</v>
      </c>
      <c r="Q456" t="s">
        <v>546</v>
      </c>
      <c r="R456" s="45" t="str">
        <f t="shared" si="75"/>
        <v>972|871|3664</v>
      </c>
      <c r="S456" s="45" t="str">
        <f t="shared" si="76"/>
        <v>972</v>
      </c>
      <c r="T456" s="45" t="str">
        <f t="shared" si="77"/>
        <v>871</v>
      </c>
      <c r="U456" s="45" t="str">
        <f t="shared" si="78"/>
        <v>3664</v>
      </c>
      <c r="V456" s="2" t="s">
        <v>545</v>
      </c>
      <c r="W456" s="45" t="str">
        <f t="shared" si="79"/>
        <v>025</v>
      </c>
    </row>
    <row r="457" spans="1:23" x14ac:dyDescent="0.3">
      <c r="A457" t="s">
        <v>544</v>
      </c>
      <c r="B457" s="45" t="str">
        <f t="shared" si="70"/>
        <v>Jesusa</v>
      </c>
      <c r="C457" t="s">
        <v>70</v>
      </c>
      <c r="D457" t="s">
        <v>543</v>
      </c>
      <c r="E457" s="45" t="str">
        <f t="shared" si="71"/>
        <v>Larsen</v>
      </c>
      <c r="F457" s="45" t="str">
        <f t="shared" si="72"/>
        <v>Jesusa F Larsen</v>
      </c>
      <c r="G457" t="s">
        <v>241</v>
      </c>
      <c r="H457" t="str">
        <f t="shared" si="73"/>
        <v>Female</v>
      </c>
      <c r="I457" t="s">
        <v>542</v>
      </c>
      <c r="J457" t="s">
        <v>541</v>
      </c>
      <c r="K457" t="s">
        <v>88</v>
      </c>
      <c r="L457">
        <v>43044</v>
      </c>
      <c r="O457" t="s">
        <v>540</v>
      </c>
      <c r="P457" s="45" t="str">
        <f t="shared" si="74"/>
        <v>gmail</v>
      </c>
      <c r="Q457" t="s">
        <v>539</v>
      </c>
      <c r="R457" s="45" t="str">
        <f t="shared" si="75"/>
        <v>937|834|6456</v>
      </c>
      <c r="S457" s="45" t="str">
        <f t="shared" si="76"/>
        <v>937</v>
      </c>
      <c r="T457" s="45" t="str">
        <f t="shared" si="77"/>
        <v>834</v>
      </c>
      <c r="U457" s="45" t="str">
        <f t="shared" si="78"/>
        <v>6456</v>
      </c>
      <c r="V457" s="2" t="s">
        <v>538</v>
      </c>
      <c r="W457" s="45" t="str">
        <f t="shared" si="79"/>
        <v>7067</v>
      </c>
    </row>
    <row r="458" spans="1:23" x14ac:dyDescent="0.3">
      <c r="A458" t="s">
        <v>537</v>
      </c>
      <c r="B458" s="45" t="str">
        <f t="shared" si="70"/>
        <v>Howard</v>
      </c>
      <c r="C458" t="s">
        <v>56</v>
      </c>
      <c r="D458" t="s">
        <v>536</v>
      </c>
      <c r="E458" s="45" t="str">
        <f t="shared" si="71"/>
        <v>Sykes</v>
      </c>
      <c r="F458" s="45" t="str">
        <f t="shared" si="72"/>
        <v>Howard J Sykes</v>
      </c>
      <c r="G458" t="s">
        <v>264</v>
      </c>
      <c r="H458" t="str">
        <f t="shared" si="73"/>
        <v>Male</v>
      </c>
      <c r="I458" t="s">
        <v>535</v>
      </c>
      <c r="J458" t="s">
        <v>534</v>
      </c>
      <c r="K458" t="s">
        <v>63</v>
      </c>
      <c r="L458">
        <v>70113</v>
      </c>
      <c r="O458" t="s">
        <v>533</v>
      </c>
      <c r="P458" s="45" t="str">
        <f t="shared" si="74"/>
        <v>gmail</v>
      </c>
      <c r="Q458" t="s">
        <v>532</v>
      </c>
      <c r="R458" s="45" t="str">
        <f t="shared" si="75"/>
        <v>985|255|0725</v>
      </c>
      <c r="S458" s="45" t="str">
        <f t="shared" si="76"/>
        <v>985</v>
      </c>
      <c r="T458" s="45" t="str">
        <f t="shared" si="77"/>
        <v>255</v>
      </c>
      <c r="U458" s="45" t="str">
        <f t="shared" si="78"/>
        <v>0725</v>
      </c>
      <c r="V458" s="2" t="s">
        <v>531</v>
      </c>
      <c r="W458" s="45" t="str">
        <f t="shared" si="79"/>
        <v>2096</v>
      </c>
    </row>
    <row r="459" spans="1:23" x14ac:dyDescent="0.3">
      <c r="A459" t="s">
        <v>530</v>
      </c>
      <c r="B459" s="45" t="str">
        <f t="shared" si="70"/>
        <v>Guy</v>
      </c>
      <c r="C459" t="s">
        <v>62</v>
      </c>
      <c r="D459" t="s">
        <v>529</v>
      </c>
      <c r="E459" s="45" t="str">
        <f t="shared" si="71"/>
        <v>Lent</v>
      </c>
      <c r="F459" s="45" t="str">
        <f t="shared" si="72"/>
        <v>Guy D Lent</v>
      </c>
      <c r="G459" t="s">
        <v>264</v>
      </c>
      <c r="H459" t="str">
        <f t="shared" si="73"/>
        <v>Male</v>
      </c>
      <c r="I459" t="s">
        <v>528</v>
      </c>
      <c r="J459" t="s">
        <v>527</v>
      </c>
      <c r="K459" t="s">
        <v>113</v>
      </c>
      <c r="L459">
        <v>96816</v>
      </c>
      <c r="O459" t="s">
        <v>526</v>
      </c>
      <c r="P459" s="45" t="str">
        <f t="shared" si="74"/>
        <v>hotmail</v>
      </c>
      <c r="Q459" t="s">
        <v>525</v>
      </c>
      <c r="R459" s="45" t="str">
        <f t="shared" si="75"/>
        <v>808|397|5315</v>
      </c>
      <c r="S459" s="45" t="str">
        <f t="shared" si="76"/>
        <v>808</v>
      </c>
      <c r="T459" s="45" t="str">
        <f t="shared" si="77"/>
        <v>397</v>
      </c>
      <c r="U459" s="45" t="str">
        <f t="shared" si="78"/>
        <v>5315</v>
      </c>
      <c r="V459" s="2" t="s">
        <v>524</v>
      </c>
      <c r="W459" s="45" t="str">
        <f t="shared" si="79"/>
        <v>889</v>
      </c>
    </row>
    <row r="460" spans="1:23" x14ac:dyDescent="0.3">
      <c r="A460" t="s">
        <v>523</v>
      </c>
      <c r="B460" s="45" t="str">
        <f t="shared" si="70"/>
        <v>John</v>
      </c>
      <c r="C460" t="s">
        <v>266</v>
      </c>
      <c r="D460" t="s">
        <v>522</v>
      </c>
      <c r="E460" s="45" t="str">
        <f t="shared" si="71"/>
        <v>Jacobs</v>
      </c>
      <c r="F460" s="45" t="str">
        <f t="shared" si="72"/>
        <v>John S Jacobs</v>
      </c>
      <c r="G460" t="s">
        <v>264</v>
      </c>
      <c r="H460" t="str">
        <f t="shared" si="73"/>
        <v>Male</v>
      </c>
      <c r="I460" t="s">
        <v>521</v>
      </c>
      <c r="J460" t="s">
        <v>520</v>
      </c>
      <c r="K460" t="s">
        <v>66</v>
      </c>
      <c r="L460">
        <v>76936</v>
      </c>
      <c r="O460" t="s">
        <v>519</v>
      </c>
      <c r="P460" s="45" t="str">
        <f t="shared" si="74"/>
        <v>hotmail</v>
      </c>
      <c r="Q460" t="s">
        <v>518</v>
      </c>
      <c r="R460" s="45" t="str">
        <f t="shared" si="75"/>
        <v>325|853|1929</v>
      </c>
      <c r="S460" s="45" t="str">
        <f t="shared" si="76"/>
        <v>325</v>
      </c>
      <c r="T460" s="45" t="str">
        <f t="shared" si="77"/>
        <v>853</v>
      </c>
      <c r="U460" s="45" t="str">
        <f t="shared" si="78"/>
        <v>1929</v>
      </c>
      <c r="V460" s="2" t="s">
        <v>517</v>
      </c>
      <c r="W460" s="45" t="str">
        <f t="shared" si="79"/>
        <v>7560</v>
      </c>
    </row>
    <row r="461" spans="1:23" x14ac:dyDescent="0.3">
      <c r="A461" t="s">
        <v>516</v>
      </c>
      <c r="B461" s="45" t="str">
        <f t="shared" si="70"/>
        <v>Linda</v>
      </c>
      <c r="C461" t="s">
        <v>243</v>
      </c>
      <c r="D461" t="s">
        <v>515</v>
      </c>
      <c r="E461" s="45" t="str">
        <f t="shared" si="71"/>
        <v>Harris</v>
      </c>
      <c r="F461" s="45" t="str">
        <f t="shared" si="72"/>
        <v>Linda R Harris</v>
      </c>
      <c r="G461" t="s">
        <v>241</v>
      </c>
      <c r="H461" t="str">
        <f t="shared" si="73"/>
        <v>Female</v>
      </c>
      <c r="I461" t="s">
        <v>514</v>
      </c>
      <c r="J461" t="s">
        <v>408</v>
      </c>
      <c r="K461" t="s">
        <v>88</v>
      </c>
      <c r="L461">
        <v>44109</v>
      </c>
      <c r="O461" t="s">
        <v>513</v>
      </c>
      <c r="P461" s="45" t="str">
        <f t="shared" si="74"/>
        <v>aol</v>
      </c>
      <c r="Q461" t="s">
        <v>512</v>
      </c>
      <c r="R461" s="45" t="str">
        <f t="shared" si="75"/>
        <v>216|741|1378</v>
      </c>
      <c r="S461" s="45" t="str">
        <f t="shared" si="76"/>
        <v>216</v>
      </c>
      <c r="T461" s="45" t="str">
        <f t="shared" si="77"/>
        <v>741</v>
      </c>
      <c r="U461" s="45" t="str">
        <f t="shared" si="78"/>
        <v>1378</v>
      </c>
      <c r="V461" s="2" t="s">
        <v>511</v>
      </c>
      <c r="W461" s="45" t="str">
        <f t="shared" si="79"/>
        <v>3187</v>
      </c>
    </row>
    <row r="462" spans="1:23" x14ac:dyDescent="0.3">
      <c r="A462" t="s">
        <v>369</v>
      </c>
      <c r="B462" s="45" t="str">
        <f t="shared" si="70"/>
        <v>David</v>
      </c>
      <c r="C462" t="s">
        <v>56</v>
      </c>
      <c r="D462" t="s">
        <v>436</v>
      </c>
      <c r="E462" s="45" t="str">
        <f t="shared" si="71"/>
        <v>Robinson</v>
      </c>
      <c r="F462" s="45" t="str">
        <f t="shared" si="72"/>
        <v>David J Robinson</v>
      </c>
      <c r="G462" t="s">
        <v>264</v>
      </c>
      <c r="H462" t="str">
        <f t="shared" si="73"/>
        <v>Male</v>
      </c>
      <c r="I462" t="s">
        <v>510</v>
      </c>
      <c r="J462" t="s">
        <v>509</v>
      </c>
      <c r="K462" t="s">
        <v>66</v>
      </c>
      <c r="L462">
        <v>77014</v>
      </c>
      <c r="O462" t="s">
        <v>508</v>
      </c>
      <c r="P462" s="45" t="str">
        <f t="shared" si="74"/>
        <v>aol</v>
      </c>
      <c r="Q462" t="s">
        <v>507</v>
      </c>
      <c r="R462" s="45" t="str">
        <f t="shared" si="75"/>
        <v>281|587|3822</v>
      </c>
      <c r="S462" s="45" t="str">
        <f t="shared" si="76"/>
        <v>281</v>
      </c>
      <c r="T462" s="45" t="str">
        <f t="shared" si="77"/>
        <v>587</v>
      </c>
      <c r="U462" s="45" t="str">
        <f t="shared" si="78"/>
        <v>3822</v>
      </c>
      <c r="V462" s="2" t="s">
        <v>506</v>
      </c>
      <c r="W462" s="45" t="str">
        <f t="shared" si="79"/>
        <v>7324</v>
      </c>
    </row>
    <row r="463" spans="1:23" x14ac:dyDescent="0.3">
      <c r="A463" t="s">
        <v>505</v>
      </c>
      <c r="B463" s="45" t="str">
        <f t="shared" si="70"/>
        <v>Larry</v>
      </c>
      <c r="C463" t="s">
        <v>93</v>
      </c>
      <c r="D463" t="s">
        <v>504</v>
      </c>
      <c r="E463" s="45" t="str">
        <f t="shared" si="71"/>
        <v>Higgin</v>
      </c>
      <c r="F463" s="45" t="str">
        <f t="shared" si="72"/>
        <v>Larry G Higgin</v>
      </c>
      <c r="G463" t="s">
        <v>264</v>
      </c>
      <c r="H463" t="str">
        <f t="shared" si="73"/>
        <v>Male</v>
      </c>
      <c r="I463" t="s">
        <v>503</v>
      </c>
      <c r="J463" t="s">
        <v>502</v>
      </c>
      <c r="K463" t="s">
        <v>85</v>
      </c>
      <c r="L463">
        <v>27263</v>
      </c>
      <c r="O463" t="s">
        <v>501</v>
      </c>
      <c r="P463" s="45" t="str">
        <f t="shared" si="74"/>
        <v>hotmail</v>
      </c>
      <c r="Q463" t="s">
        <v>500</v>
      </c>
      <c r="R463" s="45" t="str">
        <f t="shared" si="75"/>
        <v>336|434|5443</v>
      </c>
      <c r="S463" s="45" t="str">
        <f t="shared" si="76"/>
        <v>336</v>
      </c>
      <c r="T463" s="45" t="str">
        <f t="shared" si="77"/>
        <v>434</v>
      </c>
      <c r="U463" s="45" t="str">
        <f t="shared" si="78"/>
        <v>5443</v>
      </c>
      <c r="V463" s="2" t="s">
        <v>499</v>
      </c>
      <c r="W463" s="45" t="str">
        <f t="shared" si="79"/>
        <v>1104</v>
      </c>
    </row>
    <row r="464" spans="1:23" x14ac:dyDescent="0.3">
      <c r="A464" t="s">
        <v>498</v>
      </c>
      <c r="B464" s="45" t="str">
        <f t="shared" si="70"/>
        <v>Mary</v>
      </c>
      <c r="C464" t="s">
        <v>266</v>
      </c>
      <c r="D464" t="s">
        <v>497</v>
      </c>
      <c r="E464" s="45" t="str">
        <f t="shared" si="71"/>
        <v>Borders</v>
      </c>
      <c r="F464" s="45" t="str">
        <f t="shared" si="72"/>
        <v>Mary S Borders</v>
      </c>
      <c r="G464" t="s">
        <v>241</v>
      </c>
      <c r="H464" t="str">
        <f t="shared" si="73"/>
        <v>Female</v>
      </c>
      <c r="I464" t="s">
        <v>496</v>
      </c>
      <c r="J464" t="s">
        <v>495</v>
      </c>
      <c r="K464" t="s">
        <v>112</v>
      </c>
      <c r="L464">
        <v>29575</v>
      </c>
      <c r="O464" t="s">
        <v>494</v>
      </c>
      <c r="P464" s="45" t="str">
        <f t="shared" si="74"/>
        <v>gmail</v>
      </c>
      <c r="Q464" t="s">
        <v>493</v>
      </c>
      <c r="R464" s="45" t="str">
        <f t="shared" si="75"/>
        <v>843|424|8460</v>
      </c>
      <c r="S464" s="45" t="str">
        <f t="shared" si="76"/>
        <v>843</v>
      </c>
      <c r="T464" s="45" t="str">
        <f t="shared" si="77"/>
        <v>424</v>
      </c>
      <c r="U464" s="45" t="str">
        <f t="shared" si="78"/>
        <v>8460</v>
      </c>
      <c r="V464" s="2" t="s">
        <v>492</v>
      </c>
      <c r="W464" s="45" t="str">
        <f t="shared" si="79"/>
        <v>9855</v>
      </c>
    </row>
    <row r="465" spans="1:23" x14ac:dyDescent="0.3">
      <c r="A465" t="s">
        <v>491</v>
      </c>
      <c r="B465" s="45" t="str">
        <f t="shared" si="70"/>
        <v>Stephanie</v>
      </c>
      <c r="C465" t="s">
        <v>77</v>
      </c>
      <c r="D465" t="s">
        <v>490</v>
      </c>
      <c r="E465" s="45" t="str">
        <f t="shared" si="71"/>
        <v>Tipler</v>
      </c>
      <c r="F465" s="45" t="str">
        <f t="shared" si="72"/>
        <v>Stephanie C Tipler</v>
      </c>
      <c r="G465" t="s">
        <v>241</v>
      </c>
      <c r="H465" t="str">
        <f t="shared" si="73"/>
        <v>Female</v>
      </c>
      <c r="I465" t="s">
        <v>489</v>
      </c>
      <c r="J465" t="s">
        <v>488</v>
      </c>
      <c r="K465" t="s">
        <v>95</v>
      </c>
      <c r="L465">
        <v>21136</v>
      </c>
      <c r="O465" t="s">
        <v>487</v>
      </c>
      <c r="P465" s="45" t="str">
        <f t="shared" si="74"/>
        <v>hotmail</v>
      </c>
      <c r="Q465" t="s">
        <v>486</v>
      </c>
      <c r="R465" s="45" t="str">
        <f t="shared" si="75"/>
        <v>410|861|3215</v>
      </c>
      <c r="S465" s="45" t="str">
        <f t="shared" si="76"/>
        <v>410</v>
      </c>
      <c r="T465" s="45" t="str">
        <f t="shared" si="77"/>
        <v>861</v>
      </c>
      <c r="U465" s="45" t="str">
        <f t="shared" si="78"/>
        <v>3215</v>
      </c>
      <c r="V465" s="2" t="s">
        <v>485</v>
      </c>
      <c r="W465" s="45" t="str">
        <f t="shared" si="79"/>
        <v>4098</v>
      </c>
    </row>
    <row r="466" spans="1:23" x14ac:dyDescent="0.3">
      <c r="A466" t="s">
        <v>484</v>
      </c>
      <c r="B466" s="45" t="str">
        <f t="shared" si="70"/>
        <v>Derek</v>
      </c>
      <c r="C466" t="s">
        <v>243</v>
      </c>
      <c r="D466" t="s">
        <v>483</v>
      </c>
      <c r="E466" s="45" t="str">
        <f t="shared" si="71"/>
        <v>Welch</v>
      </c>
      <c r="F466" s="45" t="str">
        <f t="shared" si="72"/>
        <v>Derek R Welch</v>
      </c>
      <c r="G466" t="s">
        <v>264</v>
      </c>
      <c r="H466" t="str">
        <f t="shared" si="73"/>
        <v>Male</v>
      </c>
      <c r="I466" t="s">
        <v>482</v>
      </c>
      <c r="J466" t="s">
        <v>481</v>
      </c>
      <c r="K466" t="s">
        <v>109</v>
      </c>
      <c r="L466">
        <v>98031</v>
      </c>
      <c r="O466" t="s">
        <v>480</v>
      </c>
      <c r="P466" s="45" t="str">
        <f t="shared" si="74"/>
        <v>hotmail</v>
      </c>
      <c r="Q466" t="s">
        <v>479</v>
      </c>
      <c r="R466" s="45" t="str">
        <f t="shared" si="75"/>
        <v>253|852|4052</v>
      </c>
      <c r="S466" s="45" t="str">
        <f t="shared" si="76"/>
        <v>253</v>
      </c>
      <c r="T466" s="45" t="str">
        <f t="shared" si="77"/>
        <v>852</v>
      </c>
      <c r="U466" s="45" t="str">
        <f t="shared" si="78"/>
        <v>4052</v>
      </c>
      <c r="V466" s="2" t="s">
        <v>478</v>
      </c>
      <c r="W466" s="45" t="str">
        <f t="shared" si="79"/>
        <v>284</v>
      </c>
    </row>
    <row r="467" spans="1:23" x14ac:dyDescent="0.3">
      <c r="A467" t="s">
        <v>477</v>
      </c>
      <c r="B467" s="45" t="str">
        <f t="shared" si="70"/>
        <v>Scotty</v>
      </c>
      <c r="C467" t="s">
        <v>56</v>
      </c>
      <c r="D467" t="s">
        <v>476</v>
      </c>
      <c r="E467" s="45" t="str">
        <f t="shared" si="71"/>
        <v>Horton</v>
      </c>
      <c r="F467" s="45" t="str">
        <f t="shared" si="72"/>
        <v>Scotty J Horton</v>
      </c>
      <c r="G467" t="s">
        <v>264</v>
      </c>
      <c r="H467" t="str">
        <f t="shared" si="73"/>
        <v>Male</v>
      </c>
      <c r="I467" t="s">
        <v>475</v>
      </c>
      <c r="J467" t="s">
        <v>474</v>
      </c>
      <c r="K467" t="s">
        <v>58</v>
      </c>
      <c r="L467">
        <v>91739</v>
      </c>
      <c r="O467" t="s">
        <v>473</v>
      </c>
      <c r="P467" s="45" t="str">
        <f t="shared" si="74"/>
        <v>gmail</v>
      </c>
      <c r="Q467" t="s">
        <v>472</v>
      </c>
      <c r="R467" s="45" t="str">
        <f t="shared" si="75"/>
        <v>909|463|0852</v>
      </c>
      <c r="S467" s="45" t="str">
        <f t="shared" si="76"/>
        <v>909</v>
      </c>
      <c r="T467" s="45" t="str">
        <f t="shared" si="77"/>
        <v>463</v>
      </c>
      <c r="U467" s="45" t="str">
        <f t="shared" si="78"/>
        <v>0852</v>
      </c>
      <c r="V467" s="2" t="s">
        <v>471</v>
      </c>
      <c r="W467" s="45" t="str">
        <f t="shared" si="79"/>
        <v>298</v>
      </c>
    </row>
    <row r="468" spans="1:23" x14ac:dyDescent="0.3">
      <c r="A468" t="s">
        <v>341</v>
      </c>
      <c r="B468" s="45" t="str">
        <f t="shared" si="70"/>
        <v>Lee</v>
      </c>
      <c r="C468" t="s">
        <v>60</v>
      </c>
      <c r="D468" t="s">
        <v>470</v>
      </c>
      <c r="E468" s="45" t="str">
        <f t="shared" si="71"/>
        <v>Diaz</v>
      </c>
      <c r="F468" s="45" t="str">
        <f t="shared" si="72"/>
        <v>Lee M Diaz</v>
      </c>
      <c r="G468" t="s">
        <v>264</v>
      </c>
      <c r="H468" t="str">
        <f t="shared" si="73"/>
        <v>Male</v>
      </c>
      <c r="I468" t="s">
        <v>469</v>
      </c>
      <c r="J468" t="s">
        <v>468</v>
      </c>
      <c r="K468" t="s">
        <v>68</v>
      </c>
      <c r="L468">
        <v>11530</v>
      </c>
      <c r="O468" t="s">
        <v>467</v>
      </c>
      <c r="P468" s="45" t="str">
        <f t="shared" si="74"/>
        <v>aol</v>
      </c>
      <c r="Q468" t="s">
        <v>466</v>
      </c>
      <c r="R468" s="45" t="str">
        <f t="shared" si="75"/>
        <v>917|299|0981</v>
      </c>
      <c r="S468" s="45" t="str">
        <f t="shared" si="76"/>
        <v>917</v>
      </c>
      <c r="T468" s="45" t="str">
        <f t="shared" si="77"/>
        <v>299</v>
      </c>
      <c r="U468" s="45" t="str">
        <f t="shared" si="78"/>
        <v>0981</v>
      </c>
      <c r="V468" s="2" t="s">
        <v>465</v>
      </c>
      <c r="W468" s="45" t="str">
        <f t="shared" si="79"/>
        <v>6769</v>
      </c>
    </row>
    <row r="469" spans="1:23" x14ac:dyDescent="0.3">
      <c r="A469" t="s">
        <v>464</v>
      </c>
      <c r="B469" s="45" t="str">
        <f t="shared" si="70"/>
        <v>Barbara</v>
      </c>
      <c r="C469" t="s">
        <v>463</v>
      </c>
      <c r="D469" t="s">
        <v>462</v>
      </c>
      <c r="E469" s="45" t="str">
        <f t="shared" si="71"/>
        <v>Velazquez</v>
      </c>
      <c r="F469" s="45" t="str">
        <f t="shared" si="72"/>
        <v>Barbara W Velazquez</v>
      </c>
      <c r="G469" t="s">
        <v>241</v>
      </c>
      <c r="H469" t="str">
        <f t="shared" si="73"/>
        <v>Female</v>
      </c>
      <c r="I469" t="s">
        <v>461</v>
      </c>
      <c r="J469" t="s">
        <v>460</v>
      </c>
      <c r="K469" t="s">
        <v>100</v>
      </c>
      <c r="L469">
        <v>38866</v>
      </c>
      <c r="O469" t="s">
        <v>459</v>
      </c>
      <c r="P469" s="45" t="str">
        <f t="shared" si="74"/>
        <v>gmail</v>
      </c>
      <c r="Q469" t="s">
        <v>458</v>
      </c>
      <c r="R469" s="45" t="str">
        <f t="shared" si="75"/>
        <v>662|869|6312</v>
      </c>
      <c r="S469" s="45" t="str">
        <f t="shared" si="76"/>
        <v>662</v>
      </c>
      <c r="T469" s="45" t="str">
        <f t="shared" si="77"/>
        <v>869</v>
      </c>
      <c r="U469" s="45" t="str">
        <f t="shared" si="78"/>
        <v>6312</v>
      </c>
      <c r="V469" s="2" t="s">
        <v>457</v>
      </c>
      <c r="W469" s="45" t="str">
        <f t="shared" si="79"/>
        <v>9306</v>
      </c>
    </row>
    <row r="470" spans="1:23" x14ac:dyDescent="0.3">
      <c r="A470" t="s">
        <v>456</v>
      </c>
      <c r="B470" s="45" t="str">
        <f t="shared" si="70"/>
        <v>Sarah</v>
      </c>
      <c r="C470" t="s">
        <v>93</v>
      </c>
      <c r="D470" t="s">
        <v>455</v>
      </c>
      <c r="E470" s="45" t="str">
        <f t="shared" si="71"/>
        <v>Johnson</v>
      </c>
      <c r="F470" s="45" t="str">
        <f t="shared" si="72"/>
        <v>Sarah G Johnson</v>
      </c>
      <c r="G470" t="s">
        <v>241</v>
      </c>
      <c r="H470" t="str">
        <f t="shared" si="73"/>
        <v>Female</v>
      </c>
      <c r="I470" t="s">
        <v>454</v>
      </c>
      <c r="J470" t="s">
        <v>453</v>
      </c>
      <c r="K470" t="s">
        <v>76</v>
      </c>
      <c r="L470">
        <v>37040</v>
      </c>
      <c r="O470" t="s">
        <v>452</v>
      </c>
      <c r="P470" s="45" t="str">
        <f t="shared" si="74"/>
        <v>gmail</v>
      </c>
      <c r="Q470" t="s">
        <v>451</v>
      </c>
      <c r="R470" s="45" t="str">
        <f t="shared" si="75"/>
        <v>931|503|2978</v>
      </c>
      <c r="S470" s="45" t="str">
        <f t="shared" si="76"/>
        <v>931</v>
      </c>
      <c r="T470" s="45" t="str">
        <f t="shared" si="77"/>
        <v>503</v>
      </c>
      <c r="U470" s="45" t="str">
        <f t="shared" si="78"/>
        <v>2978</v>
      </c>
      <c r="V470" s="2" t="s">
        <v>450</v>
      </c>
      <c r="W470" s="45" t="str">
        <f t="shared" si="79"/>
        <v>790</v>
      </c>
    </row>
    <row r="471" spans="1:23" x14ac:dyDescent="0.3">
      <c r="A471" t="s">
        <v>449</v>
      </c>
      <c r="B471" s="45" t="str">
        <f t="shared" si="70"/>
        <v>Cynthia</v>
      </c>
      <c r="C471" t="s">
        <v>56</v>
      </c>
      <c r="D471" t="s">
        <v>448</v>
      </c>
      <c r="E471" s="45" t="str">
        <f t="shared" si="71"/>
        <v>Kizer</v>
      </c>
      <c r="F471" s="45" t="str">
        <f t="shared" si="72"/>
        <v>Cynthia J Kizer</v>
      </c>
      <c r="G471" t="s">
        <v>241</v>
      </c>
      <c r="H471" t="str">
        <f t="shared" si="73"/>
        <v>Female</v>
      </c>
      <c r="I471" t="s">
        <v>447</v>
      </c>
      <c r="J471" t="s">
        <v>446</v>
      </c>
      <c r="K471" t="s">
        <v>57</v>
      </c>
      <c r="L471">
        <v>62294</v>
      </c>
      <c r="O471" t="s">
        <v>445</v>
      </c>
      <c r="P471" s="45" t="str">
        <f t="shared" si="74"/>
        <v>gmail</v>
      </c>
      <c r="Q471" t="s">
        <v>444</v>
      </c>
      <c r="R471" s="45" t="str">
        <f t="shared" si="75"/>
        <v>618|667|5060</v>
      </c>
      <c r="S471" s="45" t="str">
        <f t="shared" si="76"/>
        <v>618</v>
      </c>
      <c r="T471" s="45" t="str">
        <f t="shared" si="77"/>
        <v>667</v>
      </c>
      <c r="U471" s="45" t="str">
        <f t="shared" si="78"/>
        <v>5060</v>
      </c>
      <c r="V471" s="2" t="s">
        <v>443</v>
      </c>
      <c r="W471" s="45" t="str">
        <f t="shared" si="79"/>
        <v>9452</v>
      </c>
    </row>
    <row r="472" spans="1:23" x14ac:dyDescent="0.3">
      <c r="A472" t="s">
        <v>442</v>
      </c>
      <c r="B472" s="45" t="str">
        <f t="shared" si="70"/>
        <v>Christopher</v>
      </c>
      <c r="C472" t="s">
        <v>77</v>
      </c>
      <c r="D472" t="s">
        <v>353</v>
      </c>
      <c r="E472" s="45" t="str">
        <f t="shared" si="71"/>
        <v>Dawson</v>
      </c>
      <c r="F472" s="45" t="str">
        <f t="shared" si="72"/>
        <v>Christopher C Dawson</v>
      </c>
      <c r="G472" t="s">
        <v>264</v>
      </c>
      <c r="H472" t="str">
        <f t="shared" si="73"/>
        <v>Male</v>
      </c>
      <c r="I472" t="s">
        <v>441</v>
      </c>
      <c r="J472" t="s">
        <v>380</v>
      </c>
      <c r="K472" t="s">
        <v>82</v>
      </c>
      <c r="L472">
        <v>84104</v>
      </c>
      <c r="O472" t="s">
        <v>440</v>
      </c>
      <c r="P472" s="45" t="str">
        <f t="shared" si="74"/>
        <v>gmail</v>
      </c>
      <c r="Q472" t="s">
        <v>439</v>
      </c>
      <c r="R472" s="45" t="str">
        <f t="shared" si="75"/>
        <v>435|938|4989</v>
      </c>
      <c r="S472" s="45" t="str">
        <f t="shared" si="76"/>
        <v>435</v>
      </c>
      <c r="T472" s="45" t="str">
        <f t="shared" si="77"/>
        <v>938</v>
      </c>
      <c r="U472" s="45" t="str">
        <f t="shared" si="78"/>
        <v>4989</v>
      </c>
      <c r="V472" s="2" t="s">
        <v>438</v>
      </c>
      <c r="W472" s="45" t="str">
        <f t="shared" si="79"/>
        <v>3969</v>
      </c>
    </row>
    <row r="473" spans="1:23" x14ac:dyDescent="0.3">
      <c r="A473" t="s">
        <v>437</v>
      </c>
      <c r="B473" s="45" t="str">
        <f t="shared" si="70"/>
        <v>Bryan</v>
      </c>
      <c r="C473" t="s">
        <v>70</v>
      </c>
      <c r="D473" t="s">
        <v>436</v>
      </c>
      <c r="E473" s="45" t="str">
        <f t="shared" si="71"/>
        <v>Robinson</v>
      </c>
      <c r="F473" s="45" t="str">
        <f t="shared" si="72"/>
        <v>Bryan F Robinson</v>
      </c>
      <c r="G473" t="s">
        <v>264</v>
      </c>
      <c r="H473" t="str">
        <f t="shared" si="73"/>
        <v>Male</v>
      </c>
      <c r="I473" t="s">
        <v>435</v>
      </c>
      <c r="J473" t="s">
        <v>434</v>
      </c>
      <c r="K473" t="s">
        <v>59</v>
      </c>
      <c r="L473">
        <v>8070</v>
      </c>
      <c r="O473" t="s">
        <v>433</v>
      </c>
      <c r="P473" s="45" t="str">
        <f t="shared" si="74"/>
        <v>aol</v>
      </c>
      <c r="Q473" t="s">
        <v>432</v>
      </c>
      <c r="R473" s="45" t="str">
        <f t="shared" si="75"/>
        <v>856|678|5886</v>
      </c>
      <c r="S473" s="45" t="str">
        <f t="shared" si="76"/>
        <v>856</v>
      </c>
      <c r="T473" s="45" t="str">
        <f t="shared" si="77"/>
        <v>678</v>
      </c>
      <c r="U473" s="45" t="str">
        <f t="shared" si="78"/>
        <v>5886</v>
      </c>
      <c r="V473" s="2" t="s">
        <v>431</v>
      </c>
      <c r="W473" s="45" t="str">
        <f t="shared" si="79"/>
        <v>905</v>
      </c>
    </row>
    <row r="474" spans="1:23" x14ac:dyDescent="0.3">
      <c r="A474" t="s">
        <v>430</v>
      </c>
      <c r="B474" s="45" t="str">
        <f t="shared" si="70"/>
        <v>Patrick</v>
      </c>
      <c r="C474" t="s">
        <v>77</v>
      </c>
      <c r="D474" t="s">
        <v>429</v>
      </c>
      <c r="E474" s="45" t="str">
        <f t="shared" si="71"/>
        <v>Dunson</v>
      </c>
      <c r="F474" s="45" t="str">
        <f t="shared" si="72"/>
        <v>Patrick C Dunson</v>
      </c>
      <c r="G474" t="s">
        <v>264</v>
      </c>
      <c r="H474" t="str">
        <f t="shared" si="73"/>
        <v>Male</v>
      </c>
      <c r="I474" t="s">
        <v>428</v>
      </c>
      <c r="J474" t="s">
        <v>427</v>
      </c>
      <c r="K474" t="s">
        <v>92</v>
      </c>
      <c r="L474">
        <v>64131</v>
      </c>
      <c r="O474" t="s">
        <v>426</v>
      </c>
      <c r="P474" s="45" t="str">
        <f t="shared" si="74"/>
        <v>hotmail</v>
      </c>
      <c r="Q474" t="s">
        <v>425</v>
      </c>
      <c r="R474" s="45" t="str">
        <f t="shared" si="75"/>
        <v>816|612|5450</v>
      </c>
      <c r="S474" s="45" t="str">
        <f t="shared" si="76"/>
        <v>816</v>
      </c>
      <c r="T474" s="45" t="str">
        <f t="shared" si="77"/>
        <v>612</v>
      </c>
      <c r="U474" s="45" t="str">
        <f t="shared" si="78"/>
        <v>5450</v>
      </c>
      <c r="V474" s="2" t="s">
        <v>424</v>
      </c>
      <c r="W474" s="45" t="str">
        <f t="shared" si="79"/>
        <v>718</v>
      </c>
    </row>
    <row r="475" spans="1:23" x14ac:dyDescent="0.3">
      <c r="A475" t="s">
        <v>369</v>
      </c>
      <c r="B475" s="45" t="str">
        <f t="shared" si="70"/>
        <v>David</v>
      </c>
      <c r="C475" t="s">
        <v>56</v>
      </c>
      <c r="D475" t="s">
        <v>423</v>
      </c>
      <c r="E475" s="45" t="str">
        <f t="shared" si="71"/>
        <v>Gilman</v>
      </c>
      <c r="F475" s="45" t="str">
        <f t="shared" si="72"/>
        <v>David J Gilman</v>
      </c>
      <c r="G475" t="s">
        <v>264</v>
      </c>
      <c r="H475" t="str">
        <f t="shared" si="73"/>
        <v>Male</v>
      </c>
      <c r="I475" t="s">
        <v>422</v>
      </c>
      <c r="J475" t="s">
        <v>421</v>
      </c>
      <c r="K475" t="s">
        <v>58</v>
      </c>
      <c r="L475">
        <v>90071</v>
      </c>
      <c r="O475" t="s">
        <v>420</v>
      </c>
      <c r="P475" s="45" t="str">
        <f t="shared" si="74"/>
        <v>aol</v>
      </c>
      <c r="Q475" t="s">
        <v>419</v>
      </c>
      <c r="R475" s="45" t="str">
        <f t="shared" si="75"/>
        <v>213|347|9293</v>
      </c>
      <c r="S475" s="45" t="str">
        <f t="shared" si="76"/>
        <v>213</v>
      </c>
      <c r="T475" s="45" t="str">
        <f t="shared" si="77"/>
        <v>347</v>
      </c>
      <c r="U475" s="45" t="str">
        <f t="shared" si="78"/>
        <v>9293</v>
      </c>
      <c r="V475" s="2" t="s">
        <v>418</v>
      </c>
      <c r="W475" s="45" t="str">
        <f t="shared" si="79"/>
        <v>8017</v>
      </c>
    </row>
    <row r="476" spans="1:23" x14ac:dyDescent="0.3">
      <c r="A476" t="s">
        <v>417</v>
      </c>
      <c r="B476" s="45" t="str">
        <f t="shared" si="70"/>
        <v>Ronald</v>
      </c>
      <c r="C476" t="s">
        <v>56</v>
      </c>
      <c r="D476" t="s">
        <v>416</v>
      </c>
      <c r="E476" s="45" t="str">
        <f t="shared" si="71"/>
        <v>Sawyer</v>
      </c>
      <c r="F476" s="45" t="str">
        <f t="shared" si="72"/>
        <v>Ronald J Sawyer</v>
      </c>
      <c r="G476" t="s">
        <v>241</v>
      </c>
      <c r="H476" t="str">
        <f t="shared" si="73"/>
        <v>Female</v>
      </c>
      <c r="I476" t="s">
        <v>415</v>
      </c>
      <c r="J476" t="s">
        <v>36</v>
      </c>
      <c r="K476" t="s">
        <v>68</v>
      </c>
      <c r="L476">
        <v>10011</v>
      </c>
      <c r="O476" t="s">
        <v>414</v>
      </c>
      <c r="P476" s="45" t="str">
        <f t="shared" si="74"/>
        <v>aol</v>
      </c>
      <c r="Q476" t="s">
        <v>413</v>
      </c>
      <c r="R476" s="45" t="str">
        <f t="shared" si="75"/>
        <v>646|238|5360</v>
      </c>
      <c r="S476" s="45" t="str">
        <f t="shared" si="76"/>
        <v>646</v>
      </c>
      <c r="T476" s="45" t="str">
        <f t="shared" si="77"/>
        <v>238</v>
      </c>
      <c r="U476" s="45" t="str">
        <f t="shared" si="78"/>
        <v>5360</v>
      </c>
      <c r="V476" s="2" t="s">
        <v>412</v>
      </c>
      <c r="W476" s="45" t="str">
        <f t="shared" si="79"/>
        <v>265</v>
      </c>
    </row>
    <row r="477" spans="1:23" x14ac:dyDescent="0.3">
      <c r="A477" t="s">
        <v>411</v>
      </c>
      <c r="B477" s="45" t="str">
        <f t="shared" si="70"/>
        <v>Joseph</v>
      </c>
      <c r="C477" t="s">
        <v>75</v>
      </c>
      <c r="D477" t="s">
        <v>410</v>
      </c>
      <c r="E477" s="45" t="str">
        <f t="shared" si="71"/>
        <v>Oliver</v>
      </c>
      <c r="F477" s="45" t="str">
        <f t="shared" si="72"/>
        <v>Joseph B Oliver</v>
      </c>
      <c r="G477" t="s">
        <v>264</v>
      </c>
      <c r="H477" t="str">
        <f t="shared" si="73"/>
        <v>Male</v>
      </c>
      <c r="I477" t="s">
        <v>409</v>
      </c>
      <c r="J477" t="s">
        <v>408</v>
      </c>
      <c r="K477" t="s">
        <v>88</v>
      </c>
      <c r="L477">
        <v>44115</v>
      </c>
      <c r="O477" t="s">
        <v>407</v>
      </c>
      <c r="P477" s="45" t="str">
        <f t="shared" si="74"/>
        <v>hotmail</v>
      </c>
      <c r="Q477" t="s">
        <v>406</v>
      </c>
      <c r="R477" s="45" t="str">
        <f t="shared" si="75"/>
        <v>216|263|2475</v>
      </c>
      <c r="S477" s="45" t="str">
        <f t="shared" si="76"/>
        <v>216</v>
      </c>
      <c r="T477" s="45" t="str">
        <f t="shared" si="77"/>
        <v>263</v>
      </c>
      <c r="U477" s="45" t="str">
        <f t="shared" si="78"/>
        <v>2475</v>
      </c>
      <c r="V477" s="2" t="s">
        <v>405</v>
      </c>
      <c r="W477" s="45" t="str">
        <f t="shared" si="79"/>
        <v>495</v>
      </c>
    </row>
    <row r="478" spans="1:23" x14ac:dyDescent="0.3">
      <c r="A478" t="s">
        <v>404</v>
      </c>
      <c r="B478" s="45" t="str">
        <f t="shared" si="70"/>
        <v>Carl</v>
      </c>
      <c r="C478" t="s">
        <v>56</v>
      </c>
      <c r="D478" t="s">
        <v>403</v>
      </c>
      <c r="E478" s="45" t="str">
        <f t="shared" si="71"/>
        <v>Weis</v>
      </c>
      <c r="F478" s="45" t="str">
        <f t="shared" si="72"/>
        <v>Carl J Weis</v>
      </c>
      <c r="G478" t="s">
        <v>264</v>
      </c>
      <c r="H478" t="str">
        <f t="shared" si="73"/>
        <v>Male</v>
      </c>
      <c r="I478" t="s">
        <v>402</v>
      </c>
      <c r="J478" t="s">
        <v>401</v>
      </c>
      <c r="K478" t="s">
        <v>110</v>
      </c>
      <c r="L478">
        <v>66438</v>
      </c>
      <c r="O478" t="s">
        <v>400</v>
      </c>
      <c r="P478" s="45" t="str">
        <f t="shared" si="74"/>
        <v>aol</v>
      </c>
      <c r="Q478" t="s">
        <v>399</v>
      </c>
      <c r="R478" s="45" t="str">
        <f t="shared" si="75"/>
        <v>785|382|4302</v>
      </c>
      <c r="S478" s="45" t="str">
        <f t="shared" si="76"/>
        <v>785</v>
      </c>
      <c r="T478" s="45" t="str">
        <f t="shared" si="77"/>
        <v>382</v>
      </c>
      <c r="U478" s="45" t="str">
        <f t="shared" si="78"/>
        <v>4302</v>
      </c>
      <c r="V478" s="2" t="s">
        <v>398</v>
      </c>
      <c r="W478" s="45" t="str">
        <f t="shared" si="79"/>
        <v>6500</v>
      </c>
    </row>
    <row r="479" spans="1:23" x14ac:dyDescent="0.3">
      <c r="A479" t="s">
        <v>397</v>
      </c>
      <c r="B479" s="45" t="str">
        <f t="shared" si="70"/>
        <v>Norma</v>
      </c>
      <c r="C479" t="s">
        <v>108</v>
      </c>
      <c r="D479" t="s">
        <v>396</v>
      </c>
      <c r="E479" s="45" t="str">
        <f t="shared" si="71"/>
        <v>Folden</v>
      </c>
      <c r="F479" s="45" t="str">
        <f t="shared" si="72"/>
        <v>Norma I Folden</v>
      </c>
      <c r="G479" t="s">
        <v>241</v>
      </c>
      <c r="H479" t="str">
        <f t="shared" si="73"/>
        <v>Female</v>
      </c>
      <c r="I479" t="s">
        <v>395</v>
      </c>
      <c r="J479" t="s">
        <v>394</v>
      </c>
      <c r="K479" t="s">
        <v>58</v>
      </c>
      <c r="L479">
        <v>91502</v>
      </c>
      <c r="O479" t="s">
        <v>393</v>
      </c>
      <c r="P479" s="45" t="str">
        <f t="shared" si="74"/>
        <v>hotmail</v>
      </c>
      <c r="Q479" t="s">
        <v>392</v>
      </c>
      <c r="R479" s="45" t="str">
        <f t="shared" si="75"/>
        <v>818|488|1368</v>
      </c>
      <c r="S479" s="45" t="str">
        <f t="shared" si="76"/>
        <v>818</v>
      </c>
      <c r="T479" s="45" t="str">
        <f t="shared" si="77"/>
        <v>488</v>
      </c>
      <c r="U479" s="45" t="str">
        <f t="shared" si="78"/>
        <v>1368</v>
      </c>
      <c r="V479" s="2" t="s">
        <v>391</v>
      </c>
      <c r="W479" s="45" t="str">
        <f t="shared" si="79"/>
        <v>3929</v>
      </c>
    </row>
    <row r="480" spans="1:23" x14ac:dyDescent="0.3">
      <c r="A480" t="s">
        <v>390</v>
      </c>
      <c r="B480" s="45" t="str">
        <f t="shared" si="70"/>
        <v>Donald</v>
      </c>
      <c r="C480" t="s">
        <v>81</v>
      </c>
      <c r="D480" t="s">
        <v>389</v>
      </c>
      <c r="E480" s="45" t="str">
        <f t="shared" si="71"/>
        <v>Blevins</v>
      </c>
      <c r="F480" s="45" t="str">
        <f t="shared" si="72"/>
        <v>Donald A Blevins</v>
      </c>
      <c r="G480" t="s">
        <v>264</v>
      </c>
      <c r="H480" t="str">
        <f t="shared" si="73"/>
        <v>Male</v>
      </c>
      <c r="I480" t="s">
        <v>388</v>
      </c>
      <c r="J480" t="s">
        <v>387</v>
      </c>
      <c r="K480" t="s">
        <v>97</v>
      </c>
      <c r="L480">
        <v>74120</v>
      </c>
      <c r="O480" t="s">
        <v>386</v>
      </c>
      <c r="P480" s="45" t="str">
        <f t="shared" si="74"/>
        <v>aol</v>
      </c>
      <c r="Q480" t="s">
        <v>385</v>
      </c>
      <c r="R480" s="45" t="str">
        <f t="shared" si="75"/>
        <v>918|581|6967</v>
      </c>
      <c r="S480" s="45" t="str">
        <f t="shared" si="76"/>
        <v>918</v>
      </c>
      <c r="T480" s="45" t="str">
        <f t="shared" si="77"/>
        <v>581</v>
      </c>
      <c r="U480" s="45" t="str">
        <f t="shared" si="78"/>
        <v>6967</v>
      </c>
      <c r="V480" s="2" t="s">
        <v>384</v>
      </c>
      <c r="W480" s="45" t="str">
        <f t="shared" si="79"/>
        <v>3494</v>
      </c>
    </row>
    <row r="481" spans="1:23" x14ac:dyDescent="0.3">
      <c r="A481" t="s">
        <v>383</v>
      </c>
      <c r="B481" s="45" t="str">
        <f t="shared" si="70"/>
        <v>Sam</v>
      </c>
      <c r="C481" t="s">
        <v>81</v>
      </c>
      <c r="D481" t="s">
        <v>382</v>
      </c>
      <c r="E481" s="45" t="str">
        <f t="shared" si="71"/>
        <v>Perry</v>
      </c>
      <c r="F481" s="45" t="str">
        <f t="shared" si="72"/>
        <v>Sam A Perry</v>
      </c>
      <c r="G481" t="s">
        <v>264</v>
      </c>
      <c r="H481" t="str">
        <f t="shared" si="73"/>
        <v>Male</v>
      </c>
      <c r="I481" t="s">
        <v>381</v>
      </c>
      <c r="J481" t="s">
        <v>380</v>
      </c>
      <c r="K481" t="s">
        <v>82</v>
      </c>
      <c r="L481">
        <v>84104</v>
      </c>
      <c r="O481" t="s">
        <v>379</v>
      </c>
      <c r="P481" s="45" t="str">
        <f t="shared" si="74"/>
        <v>hotmail</v>
      </c>
      <c r="Q481" t="s">
        <v>378</v>
      </c>
      <c r="R481" s="45" t="str">
        <f t="shared" si="75"/>
        <v>801|301|3595</v>
      </c>
      <c r="S481" s="45" t="str">
        <f t="shared" si="76"/>
        <v>801</v>
      </c>
      <c r="T481" s="45" t="str">
        <f t="shared" si="77"/>
        <v>301</v>
      </c>
      <c r="U481" s="45" t="str">
        <f t="shared" si="78"/>
        <v>3595</v>
      </c>
      <c r="V481" s="2" t="s">
        <v>377</v>
      </c>
      <c r="W481" s="45" t="str">
        <f t="shared" si="79"/>
        <v>836</v>
      </c>
    </row>
    <row r="482" spans="1:23" x14ac:dyDescent="0.3">
      <c r="A482" t="s">
        <v>376</v>
      </c>
      <c r="B482" s="45" t="str">
        <f t="shared" si="70"/>
        <v>Frances</v>
      </c>
      <c r="C482" t="s">
        <v>266</v>
      </c>
      <c r="D482" t="s">
        <v>375</v>
      </c>
      <c r="E482" s="45" t="str">
        <f t="shared" si="71"/>
        <v>Coleman</v>
      </c>
      <c r="F482" s="45" t="str">
        <f t="shared" si="72"/>
        <v>Frances S Coleman</v>
      </c>
      <c r="G482" t="s">
        <v>241</v>
      </c>
      <c r="H482" t="str">
        <f t="shared" si="73"/>
        <v>Female</v>
      </c>
      <c r="I482" t="s">
        <v>374</v>
      </c>
      <c r="J482" t="s">
        <v>373</v>
      </c>
      <c r="K482" t="s">
        <v>61</v>
      </c>
      <c r="L482">
        <v>23502</v>
      </c>
      <c r="O482" t="s">
        <v>372</v>
      </c>
      <c r="P482" s="45" t="str">
        <f t="shared" si="74"/>
        <v>gmail</v>
      </c>
      <c r="Q482" t="s">
        <v>371</v>
      </c>
      <c r="R482" s="45" t="str">
        <f t="shared" si="75"/>
        <v>757|371|8587</v>
      </c>
      <c r="S482" s="45" t="str">
        <f t="shared" si="76"/>
        <v>757</v>
      </c>
      <c r="T482" s="45" t="str">
        <f t="shared" si="77"/>
        <v>371</v>
      </c>
      <c r="U482" s="45" t="str">
        <f t="shared" si="78"/>
        <v>8587</v>
      </c>
      <c r="V482" s="2" t="s">
        <v>370</v>
      </c>
      <c r="W482" s="45" t="str">
        <f t="shared" si="79"/>
        <v>114</v>
      </c>
    </row>
    <row r="483" spans="1:23" x14ac:dyDescent="0.3">
      <c r="A483" t="s">
        <v>369</v>
      </c>
      <c r="B483" s="45" t="str">
        <f t="shared" si="70"/>
        <v>David</v>
      </c>
      <c r="C483" t="s">
        <v>266</v>
      </c>
      <c r="D483" t="s">
        <v>368</v>
      </c>
      <c r="E483" s="45" t="str">
        <f t="shared" si="71"/>
        <v>Williams</v>
      </c>
      <c r="F483" s="45" t="str">
        <f t="shared" si="72"/>
        <v>David S Williams</v>
      </c>
      <c r="G483" t="s">
        <v>264</v>
      </c>
      <c r="H483" t="str">
        <f t="shared" si="73"/>
        <v>Male</v>
      </c>
      <c r="I483" t="s">
        <v>367</v>
      </c>
      <c r="J483" t="s">
        <v>366</v>
      </c>
      <c r="K483" t="s">
        <v>58</v>
      </c>
      <c r="L483">
        <v>95204</v>
      </c>
      <c r="O483" t="s">
        <v>365</v>
      </c>
      <c r="P483" s="45" t="str">
        <f t="shared" si="74"/>
        <v>gmail</v>
      </c>
      <c r="Q483" t="s">
        <v>364</v>
      </c>
      <c r="R483" s="45" t="str">
        <f t="shared" si="75"/>
        <v>209|774|2113</v>
      </c>
      <c r="S483" s="45" t="str">
        <f t="shared" si="76"/>
        <v>209</v>
      </c>
      <c r="T483" s="45" t="str">
        <f t="shared" si="77"/>
        <v>774</v>
      </c>
      <c r="U483" s="45" t="str">
        <f t="shared" si="78"/>
        <v>2113</v>
      </c>
      <c r="V483" s="2" t="s">
        <v>363</v>
      </c>
      <c r="W483" s="45" t="str">
        <f t="shared" si="79"/>
        <v>861</v>
      </c>
    </row>
    <row r="484" spans="1:23" x14ac:dyDescent="0.3">
      <c r="A484" t="s">
        <v>362</v>
      </c>
      <c r="B484" s="45" t="str">
        <f t="shared" si="70"/>
        <v>Madeline</v>
      </c>
      <c r="C484" t="s">
        <v>361</v>
      </c>
      <c r="D484" t="s">
        <v>360</v>
      </c>
      <c r="E484" s="45" t="str">
        <f t="shared" si="71"/>
        <v>Headley</v>
      </c>
      <c r="F484" s="45" t="str">
        <f t="shared" si="72"/>
        <v>Madeline T Headley</v>
      </c>
      <c r="G484" t="s">
        <v>241</v>
      </c>
      <c r="H484" t="str">
        <f t="shared" si="73"/>
        <v>Female</v>
      </c>
      <c r="I484" t="s">
        <v>359</v>
      </c>
      <c r="J484" t="s">
        <v>358</v>
      </c>
      <c r="K484" t="s">
        <v>68</v>
      </c>
      <c r="L484">
        <v>13411</v>
      </c>
      <c r="O484" t="s">
        <v>357</v>
      </c>
      <c r="P484" s="45" t="str">
        <f t="shared" si="74"/>
        <v>aol</v>
      </c>
      <c r="Q484" t="s">
        <v>356</v>
      </c>
      <c r="R484" s="45" t="str">
        <f t="shared" si="75"/>
        <v>607|847|7803</v>
      </c>
      <c r="S484" s="45" t="str">
        <f t="shared" si="76"/>
        <v>607</v>
      </c>
      <c r="T484" s="45" t="str">
        <f t="shared" si="77"/>
        <v>847</v>
      </c>
      <c r="U484" s="45" t="str">
        <f t="shared" si="78"/>
        <v>7803</v>
      </c>
      <c r="V484" s="2" t="s">
        <v>355</v>
      </c>
      <c r="W484" s="45" t="str">
        <f t="shared" si="79"/>
        <v>7789</v>
      </c>
    </row>
    <row r="485" spans="1:23" x14ac:dyDescent="0.3">
      <c r="A485" t="s">
        <v>354</v>
      </c>
      <c r="B485" s="45" t="str">
        <f t="shared" si="70"/>
        <v>Gilbert</v>
      </c>
      <c r="C485" t="s">
        <v>72</v>
      </c>
      <c r="D485" t="s">
        <v>353</v>
      </c>
      <c r="E485" s="45" t="str">
        <f t="shared" si="71"/>
        <v>Dawson</v>
      </c>
      <c r="F485" s="45" t="str">
        <f t="shared" si="72"/>
        <v>Gilbert E Dawson</v>
      </c>
      <c r="G485" t="s">
        <v>264</v>
      </c>
      <c r="H485" t="str">
        <f t="shared" si="73"/>
        <v>Male</v>
      </c>
      <c r="I485" t="s">
        <v>352</v>
      </c>
      <c r="J485" t="s">
        <v>78</v>
      </c>
      <c r="K485" t="s">
        <v>57</v>
      </c>
      <c r="L485">
        <v>60610</v>
      </c>
      <c r="O485" t="s">
        <v>351</v>
      </c>
      <c r="P485" s="45" t="str">
        <f t="shared" si="74"/>
        <v>aol</v>
      </c>
      <c r="Q485" t="s">
        <v>350</v>
      </c>
      <c r="R485" s="45" t="str">
        <f t="shared" si="75"/>
        <v>312|274|6550</v>
      </c>
      <c r="S485" s="45" t="str">
        <f t="shared" si="76"/>
        <v>312</v>
      </c>
      <c r="T485" s="45" t="str">
        <f t="shared" si="77"/>
        <v>274</v>
      </c>
      <c r="U485" s="45" t="str">
        <f t="shared" si="78"/>
        <v>6550</v>
      </c>
      <c r="V485" s="2" t="s">
        <v>349</v>
      </c>
      <c r="W485" s="45" t="str">
        <f t="shared" si="79"/>
        <v>500</v>
      </c>
    </row>
    <row r="486" spans="1:23" x14ac:dyDescent="0.3">
      <c r="A486" t="s">
        <v>295</v>
      </c>
      <c r="B486" s="45" t="str">
        <f t="shared" si="70"/>
        <v>William</v>
      </c>
      <c r="C486" t="s">
        <v>60</v>
      </c>
      <c r="D486" t="s">
        <v>348</v>
      </c>
      <c r="E486" s="45" t="str">
        <f t="shared" si="71"/>
        <v>Barber</v>
      </c>
      <c r="F486" s="45" t="str">
        <f t="shared" si="72"/>
        <v>William M Barber</v>
      </c>
      <c r="G486" t="s">
        <v>264</v>
      </c>
      <c r="H486" t="str">
        <f t="shared" si="73"/>
        <v>Male</v>
      </c>
      <c r="I486" t="s">
        <v>347</v>
      </c>
      <c r="J486" t="s">
        <v>346</v>
      </c>
      <c r="K486" t="s">
        <v>96</v>
      </c>
      <c r="L486">
        <v>80227</v>
      </c>
      <c r="O486" t="s">
        <v>345</v>
      </c>
      <c r="P486" s="45" t="str">
        <f t="shared" si="74"/>
        <v>aol</v>
      </c>
      <c r="Q486" t="s">
        <v>344</v>
      </c>
      <c r="R486" s="45" t="str">
        <f t="shared" si="75"/>
        <v>303|986|6439</v>
      </c>
      <c r="S486" s="45" t="str">
        <f t="shared" si="76"/>
        <v>303</v>
      </c>
      <c r="T486" s="45" t="str">
        <f t="shared" si="77"/>
        <v>986</v>
      </c>
      <c r="U486" s="45" t="str">
        <f t="shared" si="78"/>
        <v>6439</v>
      </c>
      <c r="V486" s="2" t="s">
        <v>343</v>
      </c>
      <c r="W486" s="45" t="str">
        <f t="shared" si="79"/>
        <v>4134</v>
      </c>
    </row>
    <row r="487" spans="1:23" x14ac:dyDescent="0.3">
      <c r="A487" t="s">
        <v>342</v>
      </c>
      <c r="B487" s="45" t="str">
        <f t="shared" si="70"/>
        <v>Leland</v>
      </c>
      <c r="C487" t="s">
        <v>56</v>
      </c>
      <c r="D487" t="s">
        <v>341</v>
      </c>
      <c r="E487" s="45" t="str">
        <f t="shared" si="71"/>
        <v>Lee</v>
      </c>
      <c r="F487" s="45" t="str">
        <f t="shared" si="72"/>
        <v>Leland J Lee</v>
      </c>
      <c r="G487" t="s">
        <v>264</v>
      </c>
      <c r="H487" t="str">
        <f t="shared" si="73"/>
        <v>Male</v>
      </c>
      <c r="I487" t="s">
        <v>340</v>
      </c>
      <c r="J487" t="s">
        <v>339</v>
      </c>
      <c r="K487" t="s">
        <v>67</v>
      </c>
      <c r="L487">
        <v>35203</v>
      </c>
      <c r="O487" t="s">
        <v>338</v>
      </c>
      <c r="P487" s="45" t="str">
        <f t="shared" si="74"/>
        <v>aol</v>
      </c>
      <c r="Q487" t="s">
        <v>337</v>
      </c>
      <c r="R487" s="45" t="str">
        <f t="shared" si="75"/>
        <v>205|442|9042</v>
      </c>
      <c r="S487" s="45" t="str">
        <f t="shared" si="76"/>
        <v>205</v>
      </c>
      <c r="T487" s="45" t="str">
        <f t="shared" si="77"/>
        <v>442</v>
      </c>
      <c r="U487" s="45" t="str">
        <f t="shared" si="78"/>
        <v>9042</v>
      </c>
      <c r="V487" s="2" t="s">
        <v>336</v>
      </c>
      <c r="W487" s="45" t="str">
        <f t="shared" si="79"/>
        <v>7956</v>
      </c>
    </row>
    <row r="488" spans="1:23" x14ac:dyDescent="0.3">
      <c r="A488" t="s">
        <v>335</v>
      </c>
      <c r="B488" s="45" t="str">
        <f t="shared" si="70"/>
        <v>Taylor</v>
      </c>
      <c r="C488" t="s">
        <v>60</v>
      </c>
      <c r="D488" t="s">
        <v>334</v>
      </c>
      <c r="E488" s="45" t="str">
        <f t="shared" si="71"/>
        <v>Young</v>
      </c>
      <c r="F488" s="45" t="str">
        <f t="shared" si="72"/>
        <v>Taylor M Young</v>
      </c>
      <c r="G488" t="s">
        <v>264</v>
      </c>
      <c r="H488" t="str">
        <f t="shared" si="73"/>
        <v>Male</v>
      </c>
      <c r="I488" t="s">
        <v>333</v>
      </c>
      <c r="J488" t="s">
        <v>332</v>
      </c>
      <c r="K488" t="s">
        <v>57</v>
      </c>
      <c r="L488">
        <v>61301</v>
      </c>
      <c r="O488" t="s">
        <v>331</v>
      </c>
      <c r="P488" s="45" t="str">
        <f t="shared" si="74"/>
        <v>gmail</v>
      </c>
      <c r="Q488" t="s">
        <v>330</v>
      </c>
      <c r="R488" s="45" t="str">
        <f t="shared" si="75"/>
        <v>815|224|1168</v>
      </c>
      <c r="S488" s="45" t="str">
        <f t="shared" si="76"/>
        <v>815</v>
      </c>
      <c r="T488" s="45" t="str">
        <f t="shared" si="77"/>
        <v>224</v>
      </c>
      <c r="U488" s="45" t="str">
        <f t="shared" si="78"/>
        <v>1168</v>
      </c>
      <c r="V488" s="2" t="s">
        <v>329</v>
      </c>
      <c r="W488" s="45" t="str">
        <f t="shared" si="79"/>
        <v>0445</v>
      </c>
    </row>
    <row r="489" spans="1:23" x14ac:dyDescent="0.3">
      <c r="A489" t="s">
        <v>328</v>
      </c>
      <c r="B489" s="45" t="str">
        <f t="shared" si="70"/>
        <v>Lucy</v>
      </c>
      <c r="C489" t="s">
        <v>62</v>
      </c>
      <c r="D489" t="s">
        <v>327</v>
      </c>
      <c r="E489" s="45" t="str">
        <f t="shared" si="71"/>
        <v>Delgado</v>
      </c>
      <c r="F489" s="45" t="str">
        <f t="shared" si="72"/>
        <v>Lucy D Delgado</v>
      </c>
      <c r="G489" t="s">
        <v>241</v>
      </c>
      <c r="H489" t="str">
        <f t="shared" si="73"/>
        <v>Female</v>
      </c>
      <c r="I489" t="s">
        <v>326</v>
      </c>
      <c r="J489" t="s">
        <v>325</v>
      </c>
      <c r="K489" t="s">
        <v>121</v>
      </c>
      <c r="L489">
        <v>88113</v>
      </c>
      <c r="O489" t="s">
        <v>324</v>
      </c>
      <c r="P489" s="45" t="str">
        <f t="shared" si="74"/>
        <v>aol</v>
      </c>
      <c r="Q489" t="s">
        <v>323</v>
      </c>
      <c r="R489" s="45" t="str">
        <f t="shared" si="75"/>
        <v>505|273|1301</v>
      </c>
      <c r="S489" s="45" t="str">
        <f t="shared" si="76"/>
        <v>505</v>
      </c>
      <c r="T489" s="45" t="str">
        <f t="shared" si="77"/>
        <v>273</v>
      </c>
      <c r="U489" s="45" t="str">
        <f t="shared" si="78"/>
        <v>1301</v>
      </c>
      <c r="V489" s="2" t="s">
        <v>322</v>
      </c>
      <c r="W489" s="45" t="str">
        <f t="shared" si="79"/>
        <v>5400</v>
      </c>
    </row>
    <row r="490" spans="1:23" x14ac:dyDescent="0.3">
      <c r="A490" t="s">
        <v>321</v>
      </c>
      <c r="B490" s="45" t="str">
        <f t="shared" si="70"/>
        <v>Tom</v>
      </c>
      <c r="C490" t="s">
        <v>62</v>
      </c>
      <c r="D490" t="s">
        <v>320</v>
      </c>
      <c r="E490" s="45" t="str">
        <f t="shared" si="71"/>
        <v>Webb</v>
      </c>
      <c r="F490" s="45" t="str">
        <f t="shared" si="72"/>
        <v>Tom D Webb</v>
      </c>
      <c r="G490" t="s">
        <v>264</v>
      </c>
      <c r="H490" t="str">
        <f t="shared" si="73"/>
        <v>Male</v>
      </c>
      <c r="I490" t="s">
        <v>319</v>
      </c>
      <c r="J490" t="s">
        <v>318</v>
      </c>
      <c r="K490" t="s">
        <v>114</v>
      </c>
      <c r="L490">
        <v>59258</v>
      </c>
      <c r="O490" t="s">
        <v>317</v>
      </c>
      <c r="P490" s="45" t="str">
        <f t="shared" si="74"/>
        <v>gmail</v>
      </c>
      <c r="Q490" t="s">
        <v>316</v>
      </c>
      <c r="R490" s="45" t="str">
        <f t="shared" si="75"/>
        <v>406|286|3178</v>
      </c>
      <c r="S490" s="45" t="str">
        <f t="shared" si="76"/>
        <v>406</v>
      </c>
      <c r="T490" s="45" t="str">
        <f t="shared" si="77"/>
        <v>286</v>
      </c>
      <c r="U490" s="45" t="str">
        <f t="shared" si="78"/>
        <v>3178</v>
      </c>
      <c r="V490" s="2" t="s">
        <v>315</v>
      </c>
      <c r="W490" s="45" t="str">
        <f t="shared" si="79"/>
        <v>084</v>
      </c>
    </row>
    <row r="491" spans="1:23" x14ac:dyDescent="0.3">
      <c r="A491" t="s">
        <v>314</v>
      </c>
      <c r="B491" s="45" t="str">
        <f t="shared" si="70"/>
        <v>Frank</v>
      </c>
      <c r="C491" t="s">
        <v>75</v>
      </c>
      <c r="D491" t="s">
        <v>313</v>
      </c>
      <c r="E491" s="45" t="str">
        <f t="shared" si="71"/>
        <v>Olson</v>
      </c>
      <c r="F491" s="45" t="str">
        <f t="shared" si="72"/>
        <v>Frank B Olson</v>
      </c>
      <c r="G491" t="s">
        <v>264</v>
      </c>
      <c r="H491" t="str">
        <f t="shared" si="73"/>
        <v>Male</v>
      </c>
      <c r="I491" t="s">
        <v>312</v>
      </c>
      <c r="J491" t="s">
        <v>36</v>
      </c>
      <c r="K491" t="s">
        <v>68</v>
      </c>
      <c r="L491">
        <v>10011</v>
      </c>
      <c r="O491" t="s">
        <v>311</v>
      </c>
      <c r="P491" s="45" t="str">
        <f t="shared" si="74"/>
        <v>hotmail</v>
      </c>
      <c r="Q491" t="s">
        <v>310</v>
      </c>
      <c r="R491" s="45" t="str">
        <f t="shared" si="75"/>
        <v>845|367|9542</v>
      </c>
      <c r="S491" s="45" t="str">
        <f t="shared" si="76"/>
        <v>845</v>
      </c>
      <c r="T491" s="45" t="str">
        <f t="shared" si="77"/>
        <v>367</v>
      </c>
      <c r="U491" s="45" t="str">
        <f t="shared" si="78"/>
        <v>9542</v>
      </c>
      <c r="V491" s="2" t="s">
        <v>309</v>
      </c>
      <c r="W491" s="45" t="str">
        <f t="shared" si="79"/>
        <v>370</v>
      </c>
    </row>
    <row r="492" spans="1:23" x14ac:dyDescent="0.3">
      <c r="A492" t="s">
        <v>288</v>
      </c>
      <c r="B492" s="45" t="str">
        <f t="shared" si="70"/>
        <v>Kevin</v>
      </c>
      <c r="C492" t="s">
        <v>60</v>
      </c>
      <c r="D492" t="s">
        <v>308</v>
      </c>
      <c r="E492" s="45" t="str">
        <f t="shared" si="71"/>
        <v>Tong</v>
      </c>
      <c r="F492" s="45" t="str">
        <f t="shared" si="72"/>
        <v>Kevin M Tong</v>
      </c>
      <c r="G492" t="s">
        <v>264</v>
      </c>
      <c r="H492" t="str">
        <f t="shared" si="73"/>
        <v>Male</v>
      </c>
      <c r="I492" t="s">
        <v>307</v>
      </c>
      <c r="J492" t="s">
        <v>306</v>
      </c>
      <c r="K492" t="s">
        <v>88</v>
      </c>
      <c r="L492">
        <v>43613</v>
      </c>
      <c r="O492" t="s">
        <v>305</v>
      </c>
      <c r="P492" s="45" t="str">
        <f t="shared" si="74"/>
        <v>gmail</v>
      </c>
      <c r="Q492" t="s">
        <v>304</v>
      </c>
      <c r="R492" s="45" t="str">
        <f t="shared" si="75"/>
        <v>419|407|5401</v>
      </c>
      <c r="S492" s="45" t="str">
        <f t="shared" si="76"/>
        <v>419</v>
      </c>
      <c r="T492" s="45" t="str">
        <f t="shared" si="77"/>
        <v>407</v>
      </c>
      <c r="U492" s="45" t="str">
        <f t="shared" si="78"/>
        <v>5401</v>
      </c>
      <c r="V492" s="2" t="s">
        <v>303</v>
      </c>
      <c r="W492" s="45" t="str">
        <f t="shared" si="79"/>
        <v>6791</v>
      </c>
    </row>
    <row r="493" spans="1:23" x14ac:dyDescent="0.3">
      <c r="A493" t="s">
        <v>302</v>
      </c>
      <c r="B493" s="45" t="str">
        <f t="shared" si="70"/>
        <v>Amy</v>
      </c>
      <c r="C493" t="s">
        <v>56</v>
      </c>
      <c r="D493" t="s">
        <v>301</v>
      </c>
      <c r="E493" s="45" t="str">
        <f t="shared" si="71"/>
        <v>Carpenter</v>
      </c>
      <c r="F493" s="45" t="str">
        <f t="shared" si="72"/>
        <v>Amy J Carpenter</v>
      </c>
      <c r="G493" t="s">
        <v>241</v>
      </c>
      <c r="H493" t="str">
        <f t="shared" si="73"/>
        <v>Female</v>
      </c>
      <c r="I493" t="s">
        <v>300</v>
      </c>
      <c r="J493" t="s">
        <v>299</v>
      </c>
      <c r="K493" t="s">
        <v>67</v>
      </c>
      <c r="L493">
        <v>36104</v>
      </c>
      <c r="O493" t="s">
        <v>298</v>
      </c>
      <c r="P493" s="45" t="str">
        <f t="shared" si="74"/>
        <v>aol</v>
      </c>
      <c r="Q493" t="s">
        <v>297</v>
      </c>
      <c r="R493" s="45" t="str">
        <f t="shared" si="75"/>
        <v>334|549|8128</v>
      </c>
      <c r="S493" s="45" t="str">
        <f t="shared" si="76"/>
        <v>334</v>
      </c>
      <c r="T493" s="45" t="str">
        <f t="shared" si="77"/>
        <v>549</v>
      </c>
      <c r="U493" s="45" t="str">
        <f t="shared" si="78"/>
        <v>8128</v>
      </c>
      <c r="V493" s="2" t="s">
        <v>296</v>
      </c>
      <c r="W493" s="45" t="str">
        <f t="shared" si="79"/>
        <v>7013</v>
      </c>
    </row>
    <row r="494" spans="1:23" x14ac:dyDescent="0.3">
      <c r="A494" t="s">
        <v>295</v>
      </c>
      <c r="B494" s="45" t="str">
        <f t="shared" si="70"/>
        <v>William</v>
      </c>
      <c r="C494" t="s">
        <v>56</v>
      </c>
      <c r="D494" t="s">
        <v>294</v>
      </c>
      <c r="E494" s="45" t="str">
        <f t="shared" si="71"/>
        <v>Hall</v>
      </c>
      <c r="F494" s="45" t="str">
        <f t="shared" si="72"/>
        <v>William J Hall</v>
      </c>
      <c r="G494" t="s">
        <v>264</v>
      </c>
      <c r="H494" t="str">
        <f t="shared" si="73"/>
        <v>Male</v>
      </c>
      <c r="I494" t="s">
        <v>293</v>
      </c>
      <c r="J494" t="s">
        <v>292</v>
      </c>
      <c r="K494" t="s">
        <v>71</v>
      </c>
      <c r="L494">
        <v>2919</v>
      </c>
      <c r="O494" t="s">
        <v>291</v>
      </c>
      <c r="P494" s="45" t="str">
        <f t="shared" si="74"/>
        <v>gmail</v>
      </c>
      <c r="Q494" t="s">
        <v>290</v>
      </c>
      <c r="R494" s="45" t="str">
        <f t="shared" si="75"/>
        <v>401|925|8657</v>
      </c>
      <c r="S494" s="45" t="str">
        <f t="shared" si="76"/>
        <v>401</v>
      </c>
      <c r="T494" s="45" t="str">
        <f t="shared" si="77"/>
        <v>925</v>
      </c>
      <c r="U494" s="45" t="str">
        <f t="shared" si="78"/>
        <v>8657</v>
      </c>
      <c r="V494" s="2" t="s">
        <v>289</v>
      </c>
      <c r="W494" s="45" t="str">
        <f t="shared" si="79"/>
        <v>248</v>
      </c>
    </row>
    <row r="495" spans="1:23" x14ac:dyDescent="0.3">
      <c r="A495" t="s">
        <v>288</v>
      </c>
      <c r="B495" s="45" t="str">
        <f t="shared" si="70"/>
        <v>Kevin</v>
      </c>
      <c r="C495" t="s">
        <v>75</v>
      </c>
      <c r="D495" t="s">
        <v>287</v>
      </c>
      <c r="E495" s="45" t="str">
        <f t="shared" si="71"/>
        <v>Mullen</v>
      </c>
      <c r="F495" s="45" t="str">
        <f t="shared" si="72"/>
        <v>Kevin B Mullen</v>
      </c>
      <c r="G495" t="s">
        <v>264</v>
      </c>
      <c r="H495" t="str">
        <f t="shared" si="73"/>
        <v>Male</v>
      </c>
      <c r="I495" t="s">
        <v>286</v>
      </c>
      <c r="J495" t="s">
        <v>285</v>
      </c>
      <c r="K495" t="s">
        <v>100</v>
      </c>
      <c r="L495">
        <v>39531</v>
      </c>
      <c r="O495" t="s">
        <v>284</v>
      </c>
      <c r="P495" s="45" t="str">
        <f t="shared" si="74"/>
        <v>hotmail</v>
      </c>
      <c r="Q495" t="s">
        <v>283</v>
      </c>
      <c r="R495" s="45" t="str">
        <f t="shared" si="75"/>
        <v>228|222|3010</v>
      </c>
      <c r="S495" s="45" t="str">
        <f t="shared" si="76"/>
        <v>228</v>
      </c>
      <c r="T495" s="45" t="str">
        <f t="shared" si="77"/>
        <v>222</v>
      </c>
      <c r="U495" s="45" t="str">
        <f t="shared" si="78"/>
        <v>3010</v>
      </c>
      <c r="V495" s="2" t="s">
        <v>282</v>
      </c>
      <c r="W495" s="45" t="str">
        <f t="shared" si="79"/>
        <v>1488</v>
      </c>
    </row>
    <row r="496" spans="1:23" x14ac:dyDescent="0.3">
      <c r="A496" t="s">
        <v>281</v>
      </c>
      <c r="B496" s="45" t="str">
        <f t="shared" si="70"/>
        <v>Arthur</v>
      </c>
      <c r="C496" t="s">
        <v>56</v>
      </c>
      <c r="D496" t="s">
        <v>280</v>
      </c>
      <c r="E496" s="45" t="str">
        <f t="shared" si="71"/>
        <v>Pharris</v>
      </c>
      <c r="F496" s="45" t="str">
        <f t="shared" si="72"/>
        <v>Arthur J Pharris</v>
      </c>
      <c r="G496" t="s">
        <v>264</v>
      </c>
      <c r="H496" t="str">
        <f t="shared" si="73"/>
        <v>Male</v>
      </c>
      <c r="I496" t="s">
        <v>279</v>
      </c>
      <c r="J496" t="s">
        <v>278</v>
      </c>
      <c r="K496" t="s">
        <v>110</v>
      </c>
      <c r="L496">
        <v>67202</v>
      </c>
      <c r="O496" t="s">
        <v>277</v>
      </c>
      <c r="P496" s="45" t="str">
        <f t="shared" si="74"/>
        <v>aol</v>
      </c>
      <c r="Q496" t="s">
        <v>276</v>
      </c>
      <c r="R496" s="45" t="str">
        <f t="shared" si="75"/>
        <v>620|307|0819</v>
      </c>
      <c r="S496" s="45" t="str">
        <f t="shared" si="76"/>
        <v>620</v>
      </c>
      <c r="T496" s="45" t="str">
        <f t="shared" si="77"/>
        <v>307</v>
      </c>
      <c r="U496" s="45" t="str">
        <f t="shared" si="78"/>
        <v>0819</v>
      </c>
      <c r="V496" s="2" t="s">
        <v>275</v>
      </c>
      <c r="W496" s="45" t="str">
        <f t="shared" si="79"/>
        <v>2255</v>
      </c>
    </row>
    <row r="497" spans="1:23" x14ac:dyDescent="0.3">
      <c r="A497" t="s">
        <v>274</v>
      </c>
      <c r="B497" s="45" t="str">
        <f t="shared" si="70"/>
        <v>Wayne</v>
      </c>
      <c r="C497" t="s">
        <v>243</v>
      </c>
      <c r="D497" t="s">
        <v>273</v>
      </c>
      <c r="E497" s="45" t="str">
        <f t="shared" si="71"/>
        <v>Dray</v>
      </c>
      <c r="F497" s="45" t="str">
        <f t="shared" si="72"/>
        <v>Wayne R Dray</v>
      </c>
      <c r="G497" t="s">
        <v>264</v>
      </c>
      <c r="H497" t="str">
        <f t="shared" si="73"/>
        <v>Male</v>
      </c>
      <c r="I497" t="s">
        <v>272</v>
      </c>
      <c r="J497" t="s">
        <v>271</v>
      </c>
      <c r="K497" t="s">
        <v>58</v>
      </c>
      <c r="L497">
        <v>95624</v>
      </c>
      <c r="O497" t="s">
        <v>270</v>
      </c>
      <c r="P497" s="45" t="str">
        <f t="shared" si="74"/>
        <v>aol</v>
      </c>
      <c r="Q497" t="s">
        <v>269</v>
      </c>
      <c r="R497" s="45" t="str">
        <f t="shared" si="75"/>
        <v>916|688|8108</v>
      </c>
      <c r="S497" s="45" t="str">
        <f t="shared" si="76"/>
        <v>916</v>
      </c>
      <c r="T497" s="45" t="str">
        <f t="shared" si="77"/>
        <v>688</v>
      </c>
      <c r="U497" s="45" t="str">
        <f t="shared" si="78"/>
        <v>8108</v>
      </c>
      <c r="V497" s="2" t="s">
        <v>268</v>
      </c>
      <c r="W497" s="45" t="str">
        <f t="shared" si="79"/>
        <v>677</v>
      </c>
    </row>
    <row r="498" spans="1:23" x14ac:dyDescent="0.3">
      <c r="A498" t="s">
        <v>267</v>
      </c>
      <c r="B498" s="45" t="str">
        <f t="shared" si="70"/>
        <v>Chance</v>
      </c>
      <c r="C498" t="s">
        <v>266</v>
      </c>
      <c r="D498" t="s">
        <v>265</v>
      </c>
      <c r="E498" s="45" t="str">
        <f t="shared" si="71"/>
        <v>Crump</v>
      </c>
      <c r="F498" s="45" t="str">
        <f t="shared" si="72"/>
        <v>Chance S Crump</v>
      </c>
      <c r="G498" t="s">
        <v>264</v>
      </c>
      <c r="H498" t="str">
        <f t="shared" si="73"/>
        <v>Male</v>
      </c>
      <c r="I498" t="s">
        <v>263</v>
      </c>
      <c r="J498" t="s">
        <v>262</v>
      </c>
      <c r="K498" t="s">
        <v>63</v>
      </c>
      <c r="L498">
        <v>70601</v>
      </c>
      <c r="O498" t="s">
        <v>261</v>
      </c>
      <c r="P498" s="45" t="str">
        <f t="shared" si="74"/>
        <v>hotmail</v>
      </c>
      <c r="Q498" t="s">
        <v>260</v>
      </c>
      <c r="R498" s="45" t="str">
        <f t="shared" si="75"/>
        <v>337|503|6181</v>
      </c>
      <c r="S498" s="45" t="str">
        <f t="shared" si="76"/>
        <v>337</v>
      </c>
      <c r="T498" s="45" t="str">
        <f t="shared" si="77"/>
        <v>503</v>
      </c>
      <c r="U498" s="45" t="str">
        <f t="shared" si="78"/>
        <v>6181</v>
      </c>
      <c r="V498" s="2" t="s">
        <v>259</v>
      </c>
      <c r="W498" s="45" t="str">
        <f t="shared" si="79"/>
        <v>1426</v>
      </c>
    </row>
    <row r="499" spans="1:23" x14ac:dyDescent="0.3">
      <c r="A499" t="s">
        <v>258</v>
      </c>
      <c r="B499" s="45" t="str">
        <f t="shared" si="70"/>
        <v>Julie</v>
      </c>
      <c r="C499" t="s">
        <v>77</v>
      </c>
      <c r="D499" t="s">
        <v>257</v>
      </c>
      <c r="E499" s="45" t="str">
        <f t="shared" si="71"/>
        <v>Ross</v>
      </c>
      <c r="F499" s="45" t="str">
        <f t="shared" si="72"/>
        <v>Julie C Ross</v>
      </c>
      <c r="G499" t="s">
        <v>241</v>
      </c>
      <c r="H499" t="str">
        <f t="shared" si="73"/>
        <v>Female</v>
      </c>
      <c r="I499" t="s">
        <v>256</v>
      </c>
      <c r="J499" t="s">
        <v>255</v>
      </c>
      <c r="K499" t="s">
        <v>57</v>
      </c>
      <c r="L499">
        <v>60090</v>
      </c>
      <c r="O499" t="s">
        <v>254</v>
      </c>
      <c r="P499" s="45" t="str">
        <f t="shared" si="74"/>
        <v>hotmail</v>
      </c>
      <c r="Q499" t="s">
        <v>253</v>
      </c>
      <c r="R499" s="45" t="str">
        <f t="shared" si="75"/>
        <v>708|435|1491</v>
      </c>
      <c r="S499" s="45" t="str">
        <f t="shared" si="76"/>
        <v>708</v>
      </c>
      <c r="T499" s="45" t="str">
        <f t="shared" si="77"/>
        <v>435</v>
      </c>
      <c r="U499" s="45" t="str">
        <f t="shared" si="78"/>
        <v>1491</v>
      </c>
      <c r="V499" s="2" t="s">
        <v>252</v>
      </c>
      <c r="W499" s="45" t="str">
        <f t="shared" si="79"/>
        <v>4804</v>
      </c>
    </row>
    <row r="500" spans="1:23" x14ac:dyDescent="0.3">
      <c r="A500" t="s">
        <v>251</v>
      </c>
      <c r="B500" s="45" t="str">
        <f t="shared" si="70"/>
        <v>Stacey</v>
      </c>
      <c r="C500" t="s">
        <v>91</v>
      </c>
      <c r="D500" t="s">
        <v>250</v>
      </c>
      <c r="E500" s="45" t="str">
        <f t="shared" si="71"/>
        <v>Haynes</v>
      </c>
      <c r="F500" s="45" t="str">
        <f t="shared" si="72"/>
        <v>Stacey L Haynes</v>
      </c>
      <c r="G500" t="s">
        <v>241</v>
      </c>
      <c r="H500" t="str">
        <f t="shared" si="73"/>
        <v>Female</v>
      </c>
      <c r="I500" t="s">
        <v>249</v>
      </c>
      <c r="J500" t="s">
        <v>248</v>
      </c>
      <c r="K500" t="s">
        <v>92</v>
      </c>
      <c r="L500">
        <v>66712</v>
      </c>
      <c r="O500" t="s">
        <v>247</v>
      </c>
      <c r="P500" s="45" t="str">
        <f t="shared" si="74"/>
        <v>gmail</v>
      </c>
      <c r="Q500" t="s">
        <v>246</v>
      </c>
      <c r="R500" s="45" t="str">
        <f t="shared" si="75"/>
        <v>417|769|1953</v>
      </c>
      <c r="S500" s="45" t="str">
        <f t="shared" si="76"/>
        <v>417</v>
      </c>
      <c r="T500" s="45" t="str">
        <f t="shared" si="77"/>
        <v>769</v>
      </c>
      <c r="U500" s="45" t="str">
        <f t="shared" si="78"/>
        <v>1953</v>
      </c>
      <c r="V500" s="2" t="s">
        <v>245</v>
      </c>
      <c r="W500" s="45" t="str">
        <f t="shared" si="79"/>
        <v>7444</v>
      </c>
    </row>
    <row r="501" spans="1:23" x14ac:dyDescent="0.3">
      <c r="A501" t="s">
        <v>244</v>
      </c>
      <c r="B501" s="45" t="str">
        <f t="shared" si="70"/>
        <v>Lucille</v>
      </c>
      <c r="C501" t="s">
        <v>243</v>
      </c>
      <c r="D501" t="s">
        <v>242</v>
      </c>
      <c r="E501" s="45" t="str">
        <f t="shared" si="71"/>
        <v>Moss</v>
      </c>
      <c r="F501" s="45" t="str">
        <f t="shared" si="72"/>
        <v>Lucille R Moss</v>
      </c>
      <c r="G501" t="s">
        <v>241</v>
      </c>
      <c r="H501" t="str">
        <f t="shared" si="73"/>
        <v>Female</v>
      </c>
      <c r="I501" t="s">
        <v>240</v>
      </c>
      <c r="J501" t="s">
        <v>239</v>
      </c>
      <c r="K501" t="s">
        <v>95</v>
      </c>
      <c r="L501">
        <v>21201</v>
      </c>
      <c r="O501" t="s">
        <v>238</v>
      </c>
      <c r="P501" s="45" t="str">
        <f t="shared" si="74"/>
        <v>hotmail</v>
      </c>
      <c r="Q501" t="s">
        <v>237</v>
      </c>
      <c r="R501" s="45" t="str">
        <f t="shared" si="75"/>
        <v>410|972|3074</v>
      </c>
      <c r="S501" s="45" t="str">
        <f t="shared" si="76"/>
        <v>410</v>
      </c>
      <c r="T501" s="45" t="str">
        <f t="shared" si="77"/>
        <v>972</v>
      </c>
      <c r="U501" s="45" t="str">
        <f t="shared" si="78"/>
        <v>3074</v>
      </c>
      <c r="V501" s="2" t="s">
        <v>236</v>
      </c>
      <c r="W501" s="45" t="str">
        <f t="shared" si="79"/>
        <v>5196</v>
      </c>
    </row>
  </sheetData>
  <hyperlinks>
    <hyperlink ref="O2" r:id="rId1" xr:uid="{B250C888-2BA4-4298-9D16-3E725A6E2E8F}"/>
  </hyperlinks>
  <pageMargins left="0.7" right="0.7" top="0.75" bottom="0.75" header="0.3" footer="0.3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4F83C-B98D-4B33-9101-D47DF7F27855}">
  <sheetPr>
    <tabColor theme="9" tint="-0.499984740745262"/>
  </sheetPr>
  <dimension ref="A1:G25"/>
  <sheetViews>
    <sheetView zoomScale="79" workbookViewId="0">
      <selection activeCell="M25" sqref="M25"/>
    </sheetView>
  </sheetViews>
  <sheetFormatPr defaultRowHeight="14.4" x14ac:dyDescent="0.3"/>
  <cols>
    <col min="1" max="1" width="15.5546875" customWidth="1"/>
    <col min="2" max="2" width="18.44140625" style="99" customWidth="1"/>
    <col min="3" max="3" width="17.44140625" style="99" customWidth="1"/>
    <col min="4" max="5" width="14.88671875" style="99" customWidth="1"/>
    <col min="6" max="6" width="24" style="2" customWidth="1"/>
    <col min="7" max="7" width="16.44140625" style="98" customWidth="1"/>
  </cols>
  <sheetData>
    <row r="1" spans="1:7" x14ac:dyDescent="0.3">
      <c r="A1" t="s">
        <v>136</v>
      </c>
      <c r="B1" t="s">
        <v>125</v>
      </c>
      <c r="C1" t="s">
        <v>3522</v>
      </c>
      <c r="D1" t="s">
        <v>3521</v>
      </c>
      <c r="E1" t="s">
        <v>3520</v>
      </c>
      <c r="F1" t="s">
        <v>3519</v>
      </c>
      <c r="G1" t="s">
        <v>3518</v>
      </c>
    </row>
    <row r="2" spans="1:7" x14ac:dyDescent="0.3">
      <c r="A2">
        <v>41640</v>
      </c>
      <c r="B2">
        <v>1099</v>
      </c>
      <c r="C2">
        <v>275</v>
      </c>
      <c r="D2">
        <v>643</v>
      </c>
      <c r="E2">
        <f>B2-D2</f>
        <v>456</v>
      </c>
      <c r="F2" t="s">
        <v>137</v>
      </c>
      <c r="G2">
        <f t="shared" ref="G2:G25" si="0">E2/B2</f>
        <v>0.41492265696087355</v>
      </c>
    </row>
    <row r="3" spans="1:7" x14ac:dyDescent="0.3">
      <c r="A3">
        <v>41671</v>
      </c>
      <c r="B3">
        <v>1204</v>
      </c>
      <c r="C3">
        <f t="shared" ref="C3:C25" si="1">B3-B2</f>
        <v>105</v>
      </c>
      <c r="D3">
        <v>720</v>
      </c>
      <c r="E3">
        <v>211</v>
      </c>
      <c r="F3" t="s">
        <v>138</v>
      </c>
      <c r="G3">
        <f t="shared" si="0"/>
        <v>0.17524916943521596</v>
      </c>
    </row>
    <row r="4" spans="1:7" x14ac:dyDescent="0.3">
      <c r="A4">
        <v>41699</v>
      </c>
      <c r="B4">
        <v>1944</v>
      </c>
      <c r="C4">
        <f t="shared" si="1"/>
        <v>740</v>
      </c>
      <c r="D4">
        <v>964</v>
      </c>
      <c r="E4">
        <f t="shared" ref="E4:E19" si="2">B4-D4</f>
        <v>980</v>
      </c>
      <c r="F4" t="s">
        <v>3517</v>
      </c>
      <c r="G4">
        <f t="shared" si="0"/>
        <v>0.50411522633744854</v>
      </c>
    </row>
    <row r="5" spans="1:7" x14ac:dyDescent="0.3">
      <c r="A5">
        <v>41730</v>
      </c>
      <c r="B5">
        <v>1743</v>
      </c>
      <c r="C5">
        <f t="shared" si="1"/>
        <v>-201</v>
      </c>
      <c r="D5">
        <v>830</v>
      </c>
      <c r="E5">
        <f t="shared" si="2"/>
        <v>913</v>
      </c>
      <c r="F5" t="s">
        <v>137</v>
      </c>
      <c r="G5">
        <f t="shared" si="0"/>
        <v>0.52380952380952384</v>
      </c>
    </row>
    <row r="6" spans="1:7" x14ac:dyDescent="0.3">
      <c r="A6">
        <v>41760</v>
      </c>
      <c r="B6">
        <v>1609</v>
      </c>
      <c r="C6">
        <f t="shared" si="1"/>
        <v>-134</v>
      </c>
      <c r="D6">
        <v>910</v>
      </c>
      <c r="E6">
        <f t="shared" si="2"/>
        <v>699</v>
      </c>
      <c r="F6" t="s">
        <v>138</v>
      </c>
      <c r="G6">
        <f t="shared" si="0"/>
        <v>0.43443132380360472</v>
      </c>
    </row>
    <row r="7" spans="1:7" x14ac:dyDescent="0.3">
      <c r="A7">
        <v>41791</v>
      </c>
      <c r="B7">
        <v>1494</v>
      </c>
      <c r="C7">
        <f t="shared" si="1"/>
        <v>-115</v>
      </c>
      <c r="D7">
        <v>909</v>
      </c>
      <c r="E7">
        <f t="shared" si="2"/>
        <v>585</v>
      </c>
      <c r="F7" t="s">
        <v>137</v>
      </c>
      <c r="G7">
        <f t="shared" si="0"/>
        <v>0.39156626506024095</v>
      </c>
    </row>
    <row r="8" spans="1:7" x14ac:dyDescent="0.3">
      <c r="A8">
        <v>41821</v>
      </c>
      <c r="B8">
        <v>1959</v>
      </c>
      <c r="C8">
        <f t="shared" si="1"/>
        <v>465</v>
      </c>
      <c r="D8">
        <v>830</v>
      </c>
      <c r="E8">
        <f t="shared" si="2"/>
        <v>1129</v>
      </c>
      <c r="F8" t="s">
        <v>138</v>
      </c>
      <c r="G8">
        <f t="shared" si="0"/>
        <v>0.57631444614599281</v>
      </c>
    </row>
    <row r="9" spans="1:7" x14ac:dyDescent="0.3">
      <c r="A9">
        <v>41852</v>
      </c>
      <c r="B9">
        <v>1868</v>
      </c>
      <c r="C9">
        <f t="shared" si="1"/>
        <v>-91</v>
      </c>
      <c r="D9">
        <v>906</v>
      </c>
      <c r="E9">
        <f t="shared" si="2"/>
        <v>962</v>
      </c>
      <c r="F9" t="s">
        <v>137</v>
      </c>
      <c r="G9">
        <f t="shared" si="0"/>
        <v>0.51498929336188437</v>
      </c>
    </row>
    <row r="10" spans="1:7" x14ac:dyDescent="0.3">
      <c r="A10">
        <v>41883</v>
      </c>
      <c r="B10">
        <v>1162</v>
      </c>
      <c r="C10">
        <f t="shared" si="1"/>
        <v>-706</v>
      </c>
      <c r="D10">
        <v>606</v>
      </c>
      <c r="E10">
        <f t="shared" si="2"/>
        <v>556</v>
      </c>
      <c r="F10" t="s">
        <v>3517</v>
      </c>
      <c r="G10">
        <f t="shared" si="0"/>
        <v>0.47848537005163511</v>
      </c>
    </row>
    <row r="11" spans="1:7" x14ac:dyDescent="0.3">
      <c r="A11">
        <v>41913</v>
      </c>
      <c r="B11">
        <v>1424</v>
      </c>
      <c r="C11">
        <f t="shared" si="1"/>
        <v>262</v>
      </c>
      <c r="D11">
        <v>943</v>
      </c>
      <c r="E11">
        <f t="shared" si="2"/>
        <v>481</v>
      </c>
      <c r="F11" t="s">
        <v>3517</v>
      </c>
      <c r="G11">
        <f t="shared" si="0"/>
        <v>0.3377808988764045</v>
      </c>
    </row>
    <row r="12" spans="1:7" x14ac:dyDescent="0.3">
      <c r="A12">
        <v>41944</v>
      </c>
      <c r="B12">
        <v>1232</v>
      </c>
      <c r="C12">
        <f t="shared" si="1"/>
        <v>-192</v>
      </c>
      <c r="D12">
        <v>801</v>
      </c>
      <c r="E12">
        <f t="shared" si="2"/>
        <v>431</v>
      </c>
      <c r="F12" t="s">
        <v>138</v>
      </c>
      <c r="G12">
        <f t="shared" si="0"/>
        <v>0.34983766233766234</v>
      </c>
    </row>
    <row r="13" spans="1:7" x14ac:dyDescent="0.3">
      <c r="A13">
        <v>41974</v>
      </c>
      <c r="B13">
        <v>1738</v>
      </c>
      <c r="C13">
        <f t="shared" si="1"/>
        <v>506</v>
      </c>
      <c r="D13">
        <v>786</v>
      </c>
      <c r="E13">
        <f t="shared" si="2"/>
        <v>952</v>
      </c>
      <c r="F13" t="s">
        <v>137</v>
      </c>
      <c r="G13">
        <f t="shared" si="0"/>
        <v>0.54775604142692746</v>
      </c>
    </row>
    <row r="14" spans="1:7" x14ac:dyDescent="0.3">
      <c r="A14">
        <v>42005</v>
      </c>
      <c r="B14">
        <v>1435</v>
      </c>
      <c r="C14">
        <f t="shared" si="1"/>
        <v>-303</v>
      </c>
      <c r="D14">
        <v>575</v>
      </c>
      <c r="E14">
        <f t="shared" si="2"/>
        <v>860</v>
      </c>
      <c r="F14" t="s">
        <v>138</v>
      </c>
      <c r="G14">
        <f t="shared" si="0"/>
        <v>0.5993031358885017</v>
      </c>
    </row>
    <row r="15" spans="1:7" x14ac:dyDescent="0.3">
      <c r="A15">
        <v>42036</v>
      </c>
      <c r="B15">
        <v>1865</v>
      </c>
      <c r="C15">
        <f t="shared" si="1"/>
        <v>430</v>
      </c>
      <c r="D15">
        <v>754</v>
      </c>
      <c r="E15">
        <f t="shared" si="2"/>
        <v>1111</v>
      </c>
      <c r="F15" t="s">
        <v>138</v>
      </c>
      <c r="G15">
        <f t="shared" si="0"/>
        <v>0.59571045576407511</v>
      </c>
    </row>
    <row r="16" spans="1:7" x14ac:dyDescent="0.3">
      <c r="A16">
        <v>42064</v>
      </c>
      <c r="B16">
        <v>1234</v>
      </c>
      <c r="C16">
        <f t="shared" si="1"/>
        <v>-631</v>
      </c>
      <c r="D16">
        <v>599</v>
      </c>
      <c r="E16">
        <f t="shared" si="2"/>
        <v>635</v>
      </c>
      <c r="F16" t="s">
        <v>137</v>
      </c>
      <c r="G16">
        <f t="shared" si="0"/>
        <v>0.51458670988654787</v>
      </c>
    </row>
    <row r="17" spans="1:7" x14ac:dyDescent="0.3">
      <c r="A17">
        <v>42095</v>
      </c>
      <c r="B17">
        <v>1577</v>
      </c>
      <c r="C17">
        <f t="shared" si="1"/>
        <v>343</v>
      </c>
      <c r="D17">
        <v>940</v>
      </c>
      <c r="E17">
        <f t="shared" si="2"/>
        <v>637</v>
      </c>
      <c r="F17" t="s">
        <v>138</v>
      </c>
      <c r="G17">
        <f t="shared" si="0"/>
        <v>0.40393151553582751</v>
      </c>
    </row>
    <row r="18" spans="1:7" x14ac:dyDescent="0.3">
      <c r="A18">
        <v>42125</v>
      </c>
      <c r="B18">
        <v>1983</v>
      </c>
      <c r="C18">
        <f t="shared" si="1"/>
        <v>406</v>
      </c>
      <c r="D18">
        <v>954</v>
      </c>
      <c r="E18">
        <f t="shared" si="2"/>
        <v>1029</v>
      </c>
      <c r="F18" t="s">
        <v>137</v>
      </c>
      <c r="G18">
        <f t="shared" si="0"/>
        <v>0.51891074130105896</v>
      </c>
    </row>
    <row r="19" spans="1:7" x14ac:dyDescent="0.3">
      <c r="A19">
        <v>42156</v>
      </c>
      <c r="B19">
        <v>1356</v>
      </c>
      <c r="C19">
        <f t="shared" si="1"/>
        <v>-627</v>
      </c>
      <c r="D19">
        <v>577</v>
      </c>
      <c r="E19">
        <f t="shared" si="2"/>
        <v>779</v>
      </c>
      <c r="F19" t="s">
        <v>3517</v>
      </c>
      <c r="G19">
        <f t="shared" si="0"/>
        <v>0.57448377581120946</v>
      </c>
    </row>
    <row r="20" spans="1:7" x14ac:dyDescent="0.3">
      <c r="A20">
        <v>42186</v>
      </c>
      <c r="B20">
        <v>1874</v>
      </c>
      <c r="C20">
        <f t="shared" si="1"/>
        <v>518</v>
      </c>
      <c r="D20">
        <v>865</v>
      </c>
      <c r="E20">
        <v>883</v>
      </c>
      <c r="F20" t="s">
        <v>138</v>
      </c>
      <c r="G20">
        <f t="shared" si="0"/>
        <v>0.47118463180362863</v>
      </c>
    </row>
    <row r="21" spans="1:7" x14ac:dyDescent="0.3">
      <c r="A21">
        <v>42217</v>
      </c>
      <c r="B21">
        <v>1479</v>
      </c>
      <c r="C21">
        <f t="shared" si="1"/>
        <v>-395</v>
      </c>
      <c r="D21">
        <v>588</v>
      </c>
      <c r="E21">
        <f>B21-D21</f>
        <v>891</v>
      </c>
      <c r="F21" t="s">
        <v>137</v>
      </c>
      <c r="G21">
        <f t="shared" si="0"/>
        <v>0.60243407707910746</v>
      </c>
    </row>
    <row r="22" spans="1:7" x14ac:dyDescent="0.3">
      <c r="A22">
        <v>42248</v>
      </c>
      <c r="B22">
        <v>1943</v>
      </c>
      <c r="C22">
        <f t="shared" si="1"/>
        <v>464</v>
      </c>
      <c r="D22">
        <v>785</v>
      </c>
      <c r="E22">
        <v>712</v>
      </c>
      <c r="F22" t="s">
        <v>138</v>
      </c>
      <c r="G22">
        <f t="shared" si="0"/>
        <v>0.36644364384971695</v>
      </c>
    </row>
    <row r="23" spans="1:7" x14ac:dyDescent="0.3">
      <c r="A23">
        <v>42278</v>
      </c>
      <c r="B23">
        <v>1444</v>
      </c>
      <c r="C23">
        <f t="shared" si="1"/>
        <v>-499</v>
      </c>
      <c r="D23">
        <v>657</v>
      </c>
      <c r="E23">
        <f>B23-D23</f>
        <v>787</v>
      </c>
      <c r="F23" t="s">
        <v>137</v>
      </c>
      <c r="G23">
        <f t="shared" si="0"/>
        <v>0.54501385041551242</v>
      </c>
    </row>
    <row r="24" spans="1:7" x14ac:dyDescent="0.3">
      <c r="A24">
        <v>42309</v>
      </c>
      <c r="B24">
        <v>1493</v>
      </c>
      <c r="C24">
        <f t="shared" si="1"/>
        <v>49</v>
      </c>
      <c r="D24">
        <v>880</v>
      </c>
      <c r="E24">
        <f>B24-D24</f>
        <v>613</v>
      </c>
      <c r="F24" t="s">
        <v>3517</v>
      </c>
      <c r="G24">
        <f t="shared" si="0"/>
        <v>0.4105827193569993</v>
      </c>
    </row>
    <row r="25" spans="1:7" x14ac:dyDescent="0.3">
      <c r="A25">
        <v>42339</v>
      </c>
      <c r="B25">
        <v>1738</v>
      </c>
      <c r="C25">
        <f t="shared" si="1"/>
        <v>245</v>
      </c>
      <c r="D25">
        <v>580</v>
      </c>
      <c r="E25">
        <f>B25-D25</f>
        <v>1158</v>
      </c>
      <c r="F25" t="s">
        <v>138</v>
      </c>
      <c r="G25">
        <f t="shared" si="0"/>
        <v>0.66628308400460301</v>
      </c>
    </row>
  </sheetData>
  <pageMargins left="0.7" right="0.7" top="0.75" bottom="0.75" header="0.3" footer="0.3"/>
  <pageSetup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08051-FFAA-4DBC-BDED-E29BB9ED8AFE}">
  <sheetPr>
    <tabColor rgb="FFFF6699"/>
  </sheetPr>
  <dimension ref="B2:H16"/>
  <sheetViews>
    <sheetView showGridLines="0" topLeftCell="A4" workbookViewId="0">
      <selection activeCell="C21" sqref="C21"/>
    </sheetView>
  </sheetViews>
  <sheetFormatPr defaultRowHeight="14.4" x14ac:dyDescent="0.3"/>
  <cols>
    <col min="1" max="1" width="6" customWidth="1"/>
    <col min="2" max="2" width="17.77734375" customWidth="1"/>
    <col min="3" max="3" width="19" style="2" customWidth="1"/>
    <col min="4" max="4" width="12.5546875" customWidth="1"/>
    <col min="5" max="5" width="11.77734375" customWidth="1"/>
    <col min="6" max="6" width="10.109375" bestFit="1" customWidth="1"/>
    <col min="7" max="7" width="10.21875" customWidth="1"/>
    <col min="8" max="8" width="20.21875" customWidth="1"/>
    <col min="9" max="9" width="15.5546875" customWidth="1"/>
  </cols>
  <sheetData>
    <row r="2" spans="2:8" ht="15" thickBot="1" x14ac:dyDescent="0.35">
      <c r="B2" s="109" t="s">
        <v>3546</v>
      </c>
      <c r="C2" s="110"/>
    </row>
    <row r="3" spans="2:8" ht="15" thickBot="1" x14ac:dyDescent="0.35">
      <c r="B3" s="109" t="s">
        <v>3545</v>
      </c>
      <c r="C3" s="111"/>
      <c r="E3" s="109" t="s">
        <v>3544</v>
      </c>
      <c r="F3" s="110"/>
    </row>
    <row r="4" spans="2:8" ht="18.75" customHeight="1" x14ac:dyDescent="0.3">
      <c r="B4" s="109"/>
      <c r="F4" s="2"/>
    </row>
    <row r="5" spans="2:8" ht="15" thickBot="1" x14ac:dyDescent="0.35">
      <c r="B5" s="9" t="s">
        <v>3543</v>
      </c>
      <c r="C5" s="108"/>
      <c r="E5" s="9" t="s">
        <v>3542</v>
      </c>
      <c r="F5" s="108"/>
    </row>
    <row r="6" spans="2:8" ht="15" thickBot="1" x14ac:dyDescent="0.35">
      <c r="B6" s="9" t="s">
        <v>3541</v>
      </c>
      <c r="C6" s="106"/>
      <c r="E6" s="9" t="s">
        <v>3540</v>
      </c>
      <c r="F6" s="106"/>
    </row>
    <row r="7" spans="2:8" ht="15" thickBot="1" x14ac:dyDescent="0.35">
      <c r="B7" s="9" t="s">
        <v>3539</v>
      </c>
      <c r="C7" s="106"/>
      <c r="E7" s="9" t="s">
        <v>3538</v>
      </c>
      <c r="F7" s="107"/>
      <c r="H7" s="9"/>
    </row>
    <row r="8" spans="2:8" ht="15" thickBot="1" x14ac:dyDescent="0.35">
      <c r="B8" s="9" t="s">
        <v>3537</v>
      </c>
      <c r="C8" s="106"/>
    </row>
    <row r="9" spans="2:8" ht="15" thickBot="1" x14ac:dyDescent="0.35">
      <c r="B9" s="9" t="s">
        <v>3536</v>
      </c>
      <c r="C9" s="106"/>
      <c r="E9" s="9" t="s">
        <v>3535</v>
      </c>
      <c r="F9" s="106"/>
    </row>
    <row r="10" spans="2:8" x14ac:dyDescent="0.3">
      <c r="B10" s="9" t="s">
        <v>3534</v>
      </c>
      <c r="C10" s="105"/>
      <c r="E10" s="9" t="s">
        <v>3533</v>
      </c>
      <c r="F10" s="105"/>
    </row>
    <row r="11" spans="2:8" x14ac:dyDescent="0.3">
      <c r="B11" s="104"/>
    </row>
    <row r="12" spans="2:8" ht="15" thickBot="1" x14ac:dyDescent="0.35">
      <c r="B12" s="9" t="s">
        <v>3532</v>
      </c>
      <c r="C12" s="103"/>
      <c r="G12" s="102"/>
    </row>
    <row r="13" spans="2:8" ht="15" thickBot="1" x14ac:dyDescent="0.35">
      <c r="B13" s="9" t="s">
        <v>3531</v>
      </c>
      <c r="C13" s="101"/>
    </row>
    <row r="14" spans="2:8" ht="15" thickBot="1" x14ac:dyDescent="0.35">
      <c r="B14" s="9" t="s">
        <v>3530</v>
      </c>
      <c r="C14" s="101"/>
    </row>
    <row r="15" spans="2:8" ht="15" thickBot="1" x14ac:dyDescent="0.35"/>
    <row r="16" spans="2:8" ht="15" thickBot="1" x14ac:dyDescent="0.35">
      <c r="B16" s="9" t="s">
        <v>3529</v>
      </c>
      <c r="C16" s="100"/>
    </row>
  </sheetData>
  <pageMargins left="0.7" right="0.7" top="0.75" bottom="0.75" header="0.3" footer="0.3"/>
  <pageSetup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2298B0-C3E2-46DB-AEEF-43FC52BC4C0A}">
  <sheetPr>
    <tabColor rgb="FFFF6699"/>
  </sheetPr>
  <dimension ref="A1:C14"/>
  <sheetViews>
    <sheetView workbookViewId="0">
      <selection activeCell="E17" sqref="E17"/>
    </sheetView>
  </sheetViews>
  <sheetFormatPr defaultColWidth="9.21875" defaultRowHeight="14.4" x14ac:dyDescent="0.3"/>
  <cols>
    <col min="1" max="1" width="23.44140625" style="49" bestFit="1" customWidth="1"/>
    <col min="2" max="2" width="20.5546875" style="49" customWidth="1"/>
    <col min="3" max="3" width="18.77734375" style="49" customWidth="1"/>
    <col min="4" max="16384" width="9.21875" style="49"/>
  </cols>
  <sheetData>
    <row r="1" spans="1:3" x14ac:dyDescent="0.3">
      <c r="B1" s="60" t="s">
        <v>3334</v>
      </c>
      <c r="C1" s="59">
        <v>46223</v>
      </c>
    </row>
    <row r="2" spans="1:3" ht="15" thickBot="1" x14ac:dyDescent="0.35"/>
    <row r="3" spans="1:3" x14ac:dyDescent="0.3">
      <c r="B3" s="58" t="s">
        <v>3333</v>
      </c>
      <c r="C3" s="58" t="s">
        <v>3332</v>
      </c>
    </row>
    <row r="4" spans="1:3" ht="18.600000000000001" thickBot="1" x14ac:dyDescent="0.4">
      <c r="A4" s="57" t="s">
        <v>3331</v>
      </c>
      <c r="B4" s="56" t="s">
        <v>3330</v>
      </c>
      <c r="C4" s="56" t="s">
        <v>3329</v>
      </c>
    </row>
    <row r="5" spans="1:3" x14ac:dyDescent="0.3">
      <c r="A5" s="55" t="s">
        <v>3527</v>
      </c>
      <c r="B5" s="54"/>
      <c r="C5" s="53"/>
    </row>
    <row r="6" spans="1:3" x14ac:dyDescent="0.3">
      <c r="A6" s="55" t="s">
        <v>3523</v>
      </c>
      <c r="B6" s="54"/>
      <c r="C6" s="53"/>
    </row>
    <row r="7" spans="1:3" x14ac:dyDescent="0.3">
      <c r="A7" s="55" t="s">
        <v>3524</v>
      </c>
      <c r="B7" s="54"/>
      <c r="C7" s="53"/>
    </row>
    <row r="8" spans="1:3" x14ac:dyDescent="0.3">
      <c r="A8" s="55" t="s">
        <v>3525</v>
      </c>
      <c r="B8" s="54"/>
      <c r="C8" s="53"/>
    </row>
    <row r="9" spans="1:3" x14ac:dyDescent="0.3">
      <c r="A9" s="55" t="s">
        <v>3526</v>
      </c>
      <c r="B9" s="54"/>
      <c r="C9" s="53"/>
    </row>
    <row r="12" spans="1:3" ht="21" x14ac:dyDescent="0.4">
      <c r="A12" s="126" t="s">
        <v>3328</v>
      </c>
      <c r="B12" s="126"/>
      <c r="C12" s="126"/>
    </row>
    <row r="13" spans="1:3" x14ac:dyDescent="0.3">
      <c r="A13" s="52" t="s">
        <v>3327</v>
      </c>
      <c r="B13" s="52" t="s">
        <v>3326</v>
      </c>
      <c r="C13" s="52" t="s">
        <v>3325</v>
      </c>
    </row>
    <row r="14" spans="1:3" x14ac:dyDescent="0.3">
      <c r="A14" s="51">
        <v>32878</v>
      </c>
      <c r="B14" s="50"/>
      <c r="C14" s="50"/>
    </row>
  </sheetData>
  <mergeCells count="1">
    <mergeCell ref="A12:C12"/>
  </mergeCells>
  <printOptions horizontalCentered="1" headings="1" gridLines="1" gridLinesSet="0"/>
  <pageMargins left="0.75" right="0.75" top="1" bottom="1" header="0.5" footer="0.5"/>
  <pageSetup orientation="landscape" horizontalDpi="4294967292" verticalDpi="300" r:id="rId1"/>
  <headerFooter alignWithMargins="0">
    <oddHeader>&amp;A</oddHeader>
    <oddFooter>Page &amp;P</oddFooter>
  </headerFooter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A33BC-64DB-41FD-B8F4-E5501B24DD5E}">
  <sheetPr>
    <tabColor rgb="FF99FFCC"/>
  </sheetPr>
  <dimension ref="A1:E9"/>
  <sheetViews>
    <sheetView workbookViewId="0">
      <selection activeCell="E10" sqref="E10"/>
    </sheetView>
  </sheetViews>
  <sheetFormatPr defaultColWidth="8.77734375" defaultRowHeight="13.2" x14ac:dyDescent="0.25"/>
  <cols>
    <col min="1" max="1" width="11.21875" style="93" customWidth="1"/>
    <col min="2" max="16384" width="8.77734375" style="93"/>
  </cols>
  <sheetData>
    <row r="1" spans="1:5" x14ac:dyDescent="0.25">
      <c r="A1" s="127" t="s">
        <v>3513</v>
      </c>
      <c r="B1" s="127"/>
      <c r="C1" s="127"/>
      <c r="D1" s="127"/>
      <c r="E1" s="127"/>
    </row>
    <row r="3" spans="1:5" x14ac:dyDescent="0.25">
      <c r="A3" s="97" t="s">
        <v>3512</v>
      </c>
      <c r="B3" s="96" t="s">
        <v>3511</v>
      </c>
      <c r="C3" s="96" t="s">
        <v>3510</v>
      </c>
      <c r="D3" s="96" t="s">
        <v>3509</v>
      </c>
      <c r="E3" s="96" t="s">
        <v>3508</v>
      </c>
    </row>
    <row r="4" spans="1:5" x14ac:dyDescent="0.25">
      <c r="A4" s="93" t="s">
        <v>3487</v>
      </c>
      <c r="B4" s="93">
        <v>200</v>
      </c>
      <c r="C4" s="93">
        <v>800</v>
      </c>
      <c r="D4" s="93">
        <v>900</v>
      </c>
      <c r="E4" s="93">
        <v>500</v>
      </c>
    </row>
    <row r="5" spans="1:5" x14ac:dyDescent="0.25">
      <c r="A5" s="93" t="s">
        <v>3507</v>
      </c>
      <c r="B5" s="93">
        <v>400</v>
      </c>
      <c r="C5" s="93">
        <v>100</v>
      </c>
      <c r="D5" s="93">
        <v>800</v>
      </c>
      <c r="E5" s="93">
        <v>100</v>
      </c>
    </row>
    <row r="6" spans="1:5" x14ac:dyDescent="0.25">
      <c r="A6" s="93" t="s">
        <v>3489</v>
      </c>
      <c r="B6" s="93">
        <v>200</v>
      </c>
      <c r="C6" s="93">
        <v>500</v>
      </c>
      <c r="D6" s="93">
        <v>500</v>
      </c>
      <c r="E6" s="93">
        <v>200</v>
      </c>
    </row>
    <row r="7" spans="1:5" x14ac:dyDescent="0.25">
      <c r="A7" s="93" t="s">
        <v>3506</v>
      </c>
      <c r="B7" s="93">
        <v>200</v>
      </c>
      <c r="C7" s="93">
        <v>300</v>
      </c>
      <c r="D7" s="93">
        <v>500</v>
      </c>
      <c r="E7" s="93">
        <v>300</v>
      </c>
    </row>
    <row r="9" spans="1:5" x14ac:dyDescent="0.25">
      <c r="A9" s="95" t="s">
        <v>3505</v>
      </c>
      <c r="B9" s="94">
        <f>SUM(B4:B7)</f>
        <v>1000</v>
      </c>
      <c r="C9" s="94">
        <f>SUM(C4:C7)</f>
        <v>1700</v>
      </c>
      <c r="D9" s="94">
        <f>SUM(D4:D7)</f>
        <v>2700</v>
      </c>
      <c r="E9" s="94">
        <f>SUM(E4:E7)</f>
        <v>1100</v>
      </c>
    </row>
  </sheetData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817DD-07C4-425A-AE37-5A4658700814}">
  <sheetPr>
    <tabColor rgb="FF99FFCC"/>
  </sheetPr>
  <dimension ref="A1:E9"/>
  <sheetViews>
    <sheetView workbookViewId="0">
      <selection activeCell="C17" sqref="C17"/>
    </sheetView>
  </sheetViews>
  <sheetFormatPr defaultColWidth="8.77734375" defaultRowHeight="13.2" x14ac:dyDescent="0.25"/>
  <cols>
    <col min="1" max="1" width="11.21875" style="93" customWidth="1"/>
    <col min="2" max="16384" width="8.77734375" style="93"/>
  </cols>
  <sheetData>
    <row r="1" spans="1:5" x14ac:dyDescent="0.25">
      <c r="A1" s="127" t="s">
        <v>3515</v>
      </c>
      <c r="B1" s="127"/>
      <c r="C1" s="127"/>
      <c r="D1" s="127"/>
      <c r="E1" s="127"/>
    </row>
    <row r="3" spans="1:5" x14ac:dyDescent="0.25">
      <c r="A3" s="97" t="s">
        <v>3512</v>
      </c>
      <c r="B3" s="96" t="s">
        <v>3511</v>
      </c>
      <c r="C3" s="96" t="s">
        <v>3510</v>
      </c>
      <c r="D3" s="96" t="s">
        <v>3509</v>
      </c>
      <c r="E3" s="96" t="s">
        <v>3508</v>
      </c>
    </row>
    <row r="4" spans="1:5" x14ac:dyDescent="0.25">
      <c r="A4" s="93" t="s">
        <v>3487</v>
      </c>
      <c r="B4" s="93">
        <v>400</v>
      </c>
      <c r="C4" s="93">
        <v>800</v>
      </c>
      <c r="D4" s="93">
        <v>900</v>
      </c>
      <c r="E4" s="93">
        <v>300</v>
      </c>
    </row>
    <row r="5" spans="1:5" x14ac:dyDescent="0.25">
      <c r="A5" s="93" t="s">
        <v>3507</v>
      </c>
      <c r="B5" s="93">
        <v>200</v>
      </c>
      <c r="C5" s="93">
        <v>500</v>
      </c>
      <c r="D5" s="93">
        <v>1200</v>
      </c>
      <c r="E5" s="93">
        <v>100</v>
      </c>
    </row>
    <row r="6" spans="1:5" x14ac:dyDescent="0.25">
      <c r="A6" s="93" t="s">
        <v>3489</v>
      </c>
      <c r="B6" s="93">
        <v>300</v>
      </c>
      <c r="C6" s="93">
        <v>400</v>
      </c>
      <c r="D6" s="93">
        <v>1400</v>
      </c>
      <c r="E6" s="93">
        <v>300</v>
      </c>
    </row>
    <row r="7" spans="1:5" x14ac:dyDescent="0.25">
      <c r="A7" s="93" t="s">
        <v>3506</v>
      </c>
      <c r="B7" s="93">
        <v>100</v>
      </c>
      <c r="C7" s="93">
        <v>300</v>
      </c>
      <c r="D7" s="93">
        <v>500</v>
      </c>
      <c r="E7" s="93">
        <v>300</v>
      </c>
    </row>
    <row r="9" spans="1:5" x14ac:dyDescent="0.25">
      <c r="A9" s="95" t="s">
        <v>3505</v>
      </c>
      <c r="B9" s="94">
        <f>SUM(B4:B7)</f>
        <v>1000</v>
      </c>
      <c r="C9" s="94">
        <f>SUM(C4:C7)</f>
        <v>2000</v>
      </c>
      <c r="D9" s="94">
        <f>SUM(D4:D7)</f>
        <v>4000</v>
      </c>
      <c r="E9" s="94">
        <f>SUM(E4:E7)</f>
        <v>1000</v>
      </c>
    </row>
  </sheetData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641570-5C5F-4C1F-A74D-00013C5FF0DE}">
  <sheetPr>
    <tabColor rgb="FF99FFCC"/>
  </sheetPr>
  <dimension ref="A1:E9"/>
  <sheetViews>
    <sheetView topLeftCell="X1" workbookViewId="0">
      <selection activeCell="G14" sqref="G14"/>
    </sheetView>
  </sheetViews>
  <sheetFormatPr defaultColWidth="8.77734375" defaultRowHeight="13.2" x14ac:dyDescent="0.25"/>
  <cols>
    <col min="1" max="1" width="11.21875" style="93" customWidth="1"/>
    <col min="2" max="16384" width="8.77734375" style="93"/>
  </cols>
  <sheetData>
    <row r="1" spans="1:5" x14ac:dyDescent="0.25">
      <c r="A1" s="127" t="s">
        <v>3514</v>
      </c>
      <c r="B1" s="127"/>
      <c r="C1" s="127"/>
      <c r="D1" s="127"/>
      <c r="E1" s="127"/>
    </row>
    <row r="3" spans="1:5" x14ac:dyDescent="0.25">
      <c r="A3" s="97" t="s">
        <v>3512</v>
      </c>
      <c r="B3" s="96" t="s">
        <v>3511</v>
      </c>
      <c r="C3" s="96" t="s">
        <v>3510</v>
      </c>
      <c r="D3" s="96" t="s">
        <v>3509</v>
      </c>
      <c r="E3" s="96" t="s">
        <v>3508</v>
      </c>
    </row>
    <row r="4" spans="1:5" x14ac:dyDescent="0.25">
      <c r="A4" s="93" t="s">
        <v>3487</v>
      </c>
      <c r="B4" s="93">
        <v>200</v>
      </c>
      <c r="C4" s="93">
        <v>600</v>
      </c>
      <c r="D4" s="93">
        <v>700</v>
      </c>
      <c r="E4" s="93">
        <v>400</v>
      </c>
    </row>
    <row r="5" spans="1:5" x14ac:dyDescent="0.25">
      <c r="A5" s="93" t="s">
        <v>3507</v>
      </c>
      <c r="B5" s="93">
        <v>300</v>
      </c>
      <c r="C5" s="93">
        <v>200</v>
      </c>
      <c r="D5" s="93">
        <v>500</v>
      </c>
      <c r="E5" s="93">
        <v>600</v>
      </c>
    </row>
    <row r="6" spans="1:5" x14ac:dyDescent="0.25">
      <c r="A6" s="93" t="s">
        <v>3489</v>
      </c>
      <c r="B6" s="93">
        <v>200</v>
      </c>
      <c r="C6" s="93">
        <v>400</v>
      </c>
      <c r="D6" s="93">
        <v>500</v>
      </c>
      <c r="E6" s="93">
        <v>100</v>
      </c>
    </row>
    <row r="7" spans="1:5" x14ac:dyDescent="0.25">
      <c r="A7" s="93" t="s">
        <v>3506</v>
      </c>
      <c r="B7" s="93">
        <v>300</v>
      </c>
      <c r="C7" s="93">
        <v>300</v>
      </c>
      <c r="D7" s="93">
        <v>100</v>
      </c>
      <c r="E7" s="93">
        <v>200</v>
      </c>
    </row>
    <row r="9" spans="1:5" x14ac:dyDescent="0.25">
      <c r="A9" s="95" t="s">
        <v>3505</v>
      </c>
      <c r="B9" s="94">
        <f>SUM(B4:B7)</f>
        <v>1000</v>
      </c>
      <c r="C9" s="94">
        <f>SUM(C4:C7)</f>
        <v>1500</v>
      </c>
      <c r="D9" s="94">
        <f>SUM(D4:D7)</f>
        <v>1800</v>
      </c>
      <c r="E9" s="94">
        <f>SUM(E4:E7)</f>
        <v>1300</v>
      </c>
    </row>
  </sheetData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C70D6-950C-46A3-99C8-8E1407ED7C17}">
  <sheetPr>
    <tabColor rgb="FF99FFCC"/>
  </sheetPr>
  <dimension ref="A1:E9"/>
  <sheetViews>
    <sheetView workbookViewId="0">
      <selection activeCell="D16" sqref="D16"/>
    </sheetView>
  </sheetViews>
  <sheetFormatPr defaultColWidth="8.77734375" defaultRowHeight="13.2" x14ac:dyDescent="0.25"/>
  <cols>
    <col min="1" max="1" width="11.21875" style="93" customWidth="1"/>
    <col min="2" max="16384" width="8.77734375" style="93"/>
  </cols>
  <sheetData>
    <row r="1" spans="1:5" x14ac:dyDescent="0.25">
      <c r="A1" s="127"/>
      <c r="B1" s="127"/>
      <c r="C1" s="127"/>
      <c r="D1" s="127"/>
      <c r="E1" s="127"/>
    </row>
    <row r="3" spans="1:5" x14ac:dyDescent="0.25">
      <c r="A3" s="97"/>
      <c r="B3" s="96"/>
      <c r="C3" s="96"/>
      <c r="D3" s="96"/>
      <c r="E3" s="96"/>
    </row>
    <row r="9" spans="1:5" x14ac:dyDescent="0.25">
      <c r="A9" s="95"/>
      <c r="B9" s="94"/>
      <c r="C9" s="94"/>
      <c r="D9" s="94"/>
      <c r="E9" s="94"/>
    </row>
  </sheetData>
  <dataConsolidate topLabels="1">
    <dataRefs count="3">
      <dataRef ref="A3:E9" sheet="Connecticut"/>
      <dataRef ref="A3:E9" sheet="Maine"/>
      <dataRef ref="A3:E9" sheet="New Hampshire"/>
    </dataRefs>
  </dataConsolidate>
  <mergeCells count="1">
    <mergeCell ref="A1:E1"/>
  </mergeCells>
  <pageMargins left="0.75" right="0.75" top="1" bottom="1" header="0.5" footer="0.5"/>
  <headerFooter alignWithMargins="0">
    <oddHeader>&amp;A</oddHeader>
    <oddFooter>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Formulas</vt:lpstr>
      <vt:lpstr>Logical Operators</vt:lpstr>
      <vt:lpstr>Advanced Logical Operators </vt:lpstr>
      <vt:lpstr>Database Functions</vt:lpstr>
      <vt:lpstr>Stats Functions</vt:lpstr>
      <vt:lpstr>State Abbreviations</vt:lpstr>
      <vt:lpstr>State Income (2001-2004)</vt:lpstr>
      <vt:lpstr>Lookup Functions</vt:lpstr>
      <vt:lpstr>Advanced VLOOKUP</vt:lpstr>
      <vt:lpstr>VLOOKUP RANGE</vt:lpstr>
      <vt:lpstr>HLOOKUP</vt:lpstr>
      <vt:lpstr>INDEX &amp; MATCH</vt:lpstr>
      <vt:lpstr>OFFSET &amp; COUNTA</vt:lpstr>
      <vt:lpstr>Text Functions</vt:lpstr>
      <vt:lpstr>Cleaning data</vt:lpstr>
      <vt:lpstr>Formula Formatting</vt:lpstr>
      <vt:lpstr>Date_Time Functions</vt:lpstr>
      <vt:lpstr>Dates_Time</vt:lpstr>
      <vt:lpstr>Connecticut</vt:lpstr>
      <vt:lpstr>Maine</vt:lpstr>
      <vt:lpstr>New Hampshire</vt:lpstr>
      <vt:lpstr>Consolidate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CDutton</dc:creator>
  <cp:lastModifiedBy>om supare</cp:lastModifiedBy>
  <dcterms:created xsi:type="dcterms:W3CDTF">2015-08-01T18:39:33Z</dcterms:created>
  <dcterms:modified xsi:type="dcterms:W3CDTF">2026-07-21T12:05:41Z</dcterms:modified>
</cp:coreProperties>
</file>