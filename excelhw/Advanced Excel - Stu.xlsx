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omsup\Documents\Advanced Excel\excelhw\"/>
    </mc:Choice>
  </mc:AlternateContent>
  <xr:revisionPtr revIDLastSave="0" documentId="13_ncr:1_{40CE188F-A884-4553-BFFA-30C2C351CF02}" xr6:coauthVersionLast="47" xr6:coauthVersionMax="47" xr10:uidLastSave="{00000000-0000-0000-0000-000000000000}"/>
  <bookViews>
    <workbookView xWindow="-108" yWindow="-108" windowWidth="23256" windowHeight="12456" tabRatio="645" activeTab="3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Abbreviations" sheetId="12" r:id="rId6"/>
    <sheet name="State Income (2001-2004)" sheetId="13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6" i="36" l="1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5" i="36"/>
  <c r="H8" i="29"/>
  <c r="H4" i="29"/>
  <c r="H2" i="29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3" i="19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3" i="19"/>
  <c r="E4" i="19"/>
  <c r="E5" i="19"/>
  <c r="E6" i="19"/>
  <c r="E7" i="19"/>
  <c r="E8" i="19"/>
  <c r="E9" i="19"/>
  <c r="E10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" i="19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 s="1"/>
  <c r="C7" i="41"/>
  <c r="E7" i="41"/>
  <c r="G7" i="41" s="1"/>
  <c r="C8" i="41"/>
  <c r="E8" i="41"/>
  <c r="G8" i="41" s="1"/>
  <c r="C9" i="41"/>
  <c r="E9" i="41"/>
  <c r="G9" i="41" s="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 s="1"/>
  <c r="C22" i="41"/>
  <c r="G22" i="41"/>
  <c r="C23" i="41"/>
  <c r="E23" i="41"/>
  <c r="G23" i="41"/>
  <c r="C24" i="41"/>
  <c r="E24" i="41"/>
  <c r="G24" i="41"/>
  <c r="C25" i="41"/>
  <c r="E25" i="41"/>
  <c r="G25" i="41" s="1"/>
  <c r="B9" i="39" l="1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C22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<sst xmlns="http://schemas.openxmlformats.org/spreadsheetml/2006/main" count="6301" uniqueCount="3548">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</sst>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m/d;@"/>
    <numFmt numFmtId="166" formatCode=";;;"/>
    <numFmt numFmtId="167" formatCode="dddd"/>
    <numFmt numFmtId="168" formatCode="[$-F800]dddd\,\ mmmm\ dd\,\ yyyy"/>
    <numFmt numFmtId="169" formatCode="dd\-mmm\-yy"/>
    <numFmt numFmtId="170" formatCode="&quot;$&quot;#,##0.00"/>
    <numFmt numFmtId="171" formatCode="0.0%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2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4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</cellStyleXfs>
  <cellXfs count="12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3" fillId="2" borderId="0" xfId="1" applyNumberFormat="1" applyFont="1" applyFill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6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4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8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" fontId="2" fillId="13" borderId="12" xfId="12" applyNumberFormat="1" applyBorder="1" applyAlignment="1">
      <alignment horizontal="center"/>
    </xf>
    <xf numFmtId="169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44" fontId="16" fillId="0" borderId="11" xfId="19" applyFont="1" applyBorder="1"/>
    <xf numFmtId="169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0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44" fontId="2" fillId="13" borderId="11" xfId="12" applyNumberFormat="1" applyBorder="1" applyAlignment="1"/>
    <xf numFmtId="44" fontId="2" fillId="0" borderId="11" xfId="19" applyFont="1" applyFill="1" applyBorder="1" applyAlignment="1"/>
    <xf numFmtId="43" fontId="2" fillId="20" borderId="11" xfId="16" applyNumberFormat="1" applyBorder="1" applyAlignment="1">
      <alignment horizontal="left"/>
    </xf>
    <xf numFmtId="170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41" fontId="31" fillId="10" borderId="11" xfId="10" applyNumberFormat="1" applyFont="1" applyBorder="1" applyAlignment="1">
      <alignment horizontal="center"/>
    </xf>
    <xf numFmtId="44" fontId="2" fillId="20" borderId="11" xfId="16" applyNumberFormat="1" applyBorder="1" applyAlignment="1">
      <alignment horizontal="left"/>
    </xf>
    <xf numFmtId="44" fontId="20" fillId="0" borderId="0" xfId="19" applyFont="1" applyBorder="1" applyAlignment="1">
      <alignment horizontal="center"/>
    </xf>
    <xf numFmtId="4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41" fontId="32" fillId="15" borderId="11" xfId="13" applyNumberFormat="1" applyFont="1" applyBorder="1" applyAlignment="1">
      <alignment horizontal="center"/>
    </xf>
    <xf numFmtId="0" fontId="5" fillId="0" borderId="0" xfId="17"/>
    <xf numFmtId="164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1" fontId="0" fillId="0" borderId="0" xfId="0" applyNumberFormat="1"/>
    <xf numFmtId="164" fontId="0" fillId="0" borderId="0" xfId="0" applyNumberFormat="1"/>
    <xf numFmtId="9" fontId="0" fillId="2" borderId="21" xfId="2" applyFont="1" applyFill="1" applyBorder="1" applyAlignment="1">
      <alignment horizontal="center"/>
    </xf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6" fillId="0" borderId="0" xfId="0" applyFont="1" applyAlignment="1">
      <alignment horizontal="right"/>
    </xf>
    <xf numFmtId="14" fontId="14" fillId="22" borderId="22" xfId="0" applyNumberFormat="1" applyFont="1" applyFill="1" applyBorder="1" applyAlignment="1">
      <alignment horizontal="center"/>
    </xf>
    <xf numFmtId="22" fontId="14" fillId="22" borderId="0" xfId="0" applyNumberFormat="1" applyFont="1" applyFill="1" applyAlignment="1">
      <alignment horizontal="center"/>
    </xf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</cellXfs>
  <cellStyles count="22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1033780</xdr:colOff>
      <xdr:row>9</xdr:row>
      <xdr:rowOff>68581</xdr:rowOff>
    </xdr:from>
    <xdr:to>
      <xdr:col>14</xdr:col>
      <xdr:colOff>547370</xdr:colOff>
      <xdr:row>20</xdr:row>
      <xdr:rowOff>99060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4767580" y="1725931"/>
          <a:ext cx="8594090" cy="205612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8</xdr:col>
      <xdr:colOff>285750</xdr:colOff>
      <xdr:row>0</xdr:row>
      <xdr:rowOff>133350</xdr:rowOff>
    </xdr:from>
    <xdr:to>
      <xdr:col>14</xdr:col>
      <xdr:colOff>374650</xdr:colOff>
      <xdr:row>7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42450" y="133350"/>
          <a:ext cx="3746500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1</xdr:col>
      <xdr:colOff>64304</xdr:colOff>
      <xdr:row>27</xdr:row>
      <xdr:rowOff>0</xdr:rowOff>
    </xdr:from>
    <xdr:to>
      <xdr:col>8</xdr:col>
      <xdr:colOff>544895</xdr:colOff>
      <xdr:row>52</xdr:row>
      <xdr:rowOff>6349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431" y="4991582"/>
          <a:ext cx="8518565" cy="4628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349250</xdr:colOff>
      <xdr:row>1</xdr:row>
      <xdr:rowOff>38100</xdr:rowOff>
    </xdr:from>
    <xdr:to>
      <xdr:col>12</xdr:col>
      <xdr:colOff>247650</xdr:colOff>
      <xdr:row>15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222250"/>
          <a:ext cx="4387850" cy="273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</xdr:colOff>
      <xdr:row>4</xdr:row>
      <xdr:rowOff>127000</xdr:rowOff>
    </xdr:from>
    <xdr:to>
      <xdr:col>12</xdr:col>
      <xdr:colOff>234950</xdr:colOff>
      <xdr:row>13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0" y="768350"/>
          <a:ext cx="3232150" cy="144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F4" sqref="F4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>
        <f>C2/B2</f>
        <v>0.5273972602739726</v>
      </c>
      <c r="F2" s="41">
        <f>D2/B2</f>
        <v>0.12328767123287671</v>
      </c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>
        <f t="shared" ref="E3:E26" si="0">C3/B3</f>
        <v>0.42603550295857989</v>
      </c>
      <c r="F3" s="41">
        <f t="shared" ref="F3:F26" si="1">D3/B3</f>
        <v>8.8757396449704137E-2</v>
      </c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>
        <f t="shared" si="0"/>
        <v>0.35678391959798994</v>
      </c>
      <c r="F4" s="41">
        <f t="shared" si="1"/>
        <v>9.5477386934673364E-2</v>
      </c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>
        <f t="shared" si="0"/>
        <v>0.23487544483985764</v>
      </c>
      <c r="F5" s="41">
        <f t="shared" si="1"/>
        <v>3.5587188612099648E-2</v>
      </c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>
        <f t="shared" si="0"/>
        <v>0.19924812030075187</v>
      </c>
      <c r="F6" s="41">
        <f t="shared" si="1"/>
        <v>7.1428571428571425E-2</v>
      </c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>
        <f t="shared" si="0"/>
        <v>0.30324909747292417</v>
      </c>
      <c r="F7" s="41">
        <f t="shared" si="1"/>
        <v>5.4151624548736461E-2</v>
      </c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>
        <f t="shared" si="0"/>
        <v>0.50344827586206897</v>
      </c>
      <c r="F8" s="41">
        <f t="shared" si="1"/>
        <v>0.10344827586206896</v>
      </c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>
        <f t="shared" si="0"/>
        <v>0.30396475770925108</v>
      </c>
      <c r="F9" s="41">
        <f t="shared" si="1"/>
        <v>5.2863436123348019E-2</v>
      </c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>
        <f t="shared" si="0"/>
        <v>0.43888888888888888</v>
      </c>
      <c r="F10" s="41">
        <f t="shared" si="1"/>
        <v>8.8888888888888892E-2</v>
      </c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/>
      <c r="F11" s="41"/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>
        <f t="shared" si="0"/>
        <v>0.30991735537190085</v>
      </c>
      <c r="F12" s="41">
        <f t="shared" si="1"/>
        <v>4.1322314049586778E-2</v>
      </c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>
        <f t="shared" si="0"/>
        <v>0.34883720930232559</v>
      </c>
      <c r="F13" s="41">
        <f t="shared" si="1"/>
        <v>7.441860465116279E-2</v>
      </c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>
        <f t="shared" si="0"/>
        <v>0.33606557377049179</v>
      </c>
      <c r="F14" s="41">
        <f t="shared" si="1"/>
        <v>6.5573770491803282E-2</v>
      </c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>
        <f t="shared" si="0"/>
        <v>0.39664804469273746</v>
      </c>
      <c r="F15" s="41">
        <f t="shared" si="1"/>
        <v>7.2625698324022353E-2</v>
      </c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>
        <f t="shared" si="0"/>
        <v>0.2608695652173913</v>
      </c>
      <c r="F16" s="41">
        <f t="shared" si="1"/>
        <v>5.0724637681159424E-2</v>
      </c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>
        <f t="shared" si="0"/>
        <v>0.61417322834645671</v>
      </c>
      <c r="F17" s="41">
        <f t="shared" si="1"/>
        <v>0.15748031496062992</v>
      </c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>
        <f t="shared" si="0"/>
        <v>0.2756183745583039</v>
      </c>
      <c r="F18" s="41">
        <f t="shared" si="1"/>
        <v>6.3604240282685506E-2</v>
      </c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>
        <f t="shared" si="0"/>
        <v>0.60317460317460314</v>
      </c>
      <c r="F19" s="41">
        <f t="shared" si="1"/>
        <v>0.15873015873015872</v>
      </c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>
        <f t="shared" si="0"/>
        <v>0.30916030534351147</v>
      </c>
      <c r="F20" s="41">
        <f t="shared" si="1"/>
        <v>7.2519083969465645E-2</v>
      </c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>
        <f t="shared" si="0"/>
        <v>0.28222996515679444</v>
      </c>
      <c r="F21" s="41">
        <f t="shared" si="1"/>
        <v>4.878048780487805E-2</v>
      </c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>
        <f t="shared" si="0"/>
        <v>0.30483271375464682</v>
      </c>
      <c r="F22" s="41">
        <f t="shared" si="1"/>
        <v>5.204460966542751E-2</v>
      </c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>
        <f t="shared" si="0"/>
        <v>0.19852941176470587</v>
      </c>
      <c r="F23" s="41">
        <f t="shared" si="1"/>
        <v>3.6764705882352942E-2</v>
      </c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>
        <f t="shared" si="0"/>
        <v>0.33823529411764708</v>
      </c>
      <c r="F24" s="41">
        <f t="shared" si="1"/>
        <v>5.3921568627450983E-2</v>
      </c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>
        <f t="shared" si="0"/>
        <v>0.48</v>
      </c>
      <c r="F25" s="41">
        <f t="shared" si="1"/>
        <v>0.13333333333333333</v>
      </c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>
        <f t="shared" si="0"/>
        <v>0.34482758620689657</v>
      </c>
      <c r="F26" s="41">
        <f t="shared" si="1"/>
        <v>7.2796934865900387E-2</v>
      </c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workbookViewId="0">
      <selection activeCell="E20" sqref="E20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IF(C2&gt;=90,"A",IF(AND(C2&gt;=80,C2&lt;=89),"B",IF(AND(C2&gt;=70,C2&lt;=79),"C",IF(AND(C2&gt;=60,C2&lt;=69),"D","F"))))</f>
        <v>A</v>
      </c>
      <c r="F2" s="33" t="str">
        <f>IF(OR(C2&lt;60,C2&gt;90),"OUTLIER","AVG")</f>
        <v>AVG</v>
      </c>
      <c r="G2" s="33" t="str">
        <f>IF(AND(C2&gt;95,B2="M"),"Male Achiever",IF(AND(C2&gt;95,B2="F"),"Female Acheiver","None"))</f>
        <v>None</v>
      </c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IF(C3&gt;=90,"A",IF(AND(C3&gt;=80,C3&lt;=89),"B",IF(AND(C3&gt;=70,C3&lt;=79),"C",IF(AND(C3&gt;=60,C3&lt;=69),"D","F"))))</f>
        <v>B</v>
      </c>
      <c r="F3" s="33" t="str">
        <f t="shared" ref="F3:F16" si="2">IF(OR(C3&lt;60,C3&gt;90),"OUTLIER","AVG")</f>
        <v>AVG</v>
      </c>
      <c r="G3" s="33" t="str">
        <f t="shared" ref="G3:G16" si="3">IF(AND(C3&gt;95,B3="M"),"Male Achiever",IF(AND(C3&gt;95,B3="F"),"Female Acheiver","None"))</f>
        <v>None</v>
      </c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 t="str">
        <f t="shared" si="3"/>
        <v>Female Acheiver</v>
      </c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 t="str">
        <f t="shared" si="3"/>
        <v>None</v>
      </c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 t="str">
        <f t="shared" si="3"/>
        <v>None</v>
      </c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 t="str">
        <f t="shared" si="3"/>
        <v>None</v>
      </c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 t="str">
        <f t="shared" si="3"/>
        <v>Male Achiever</v>
      </c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 t="str">
        <f t="shared" si="3"/>
        <v>None</v>
      </c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 t="str">
        <f t="shared" si="3"/>
        <v>None</v>
      </c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 t="str">
        <f t="shared" si="3"/>
        <v>None</v>
      </c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 t="str">
        <f t="shared" si="3"/>
        <v>None</v>
      </c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 t="str">
        <f t="shared" si="3"/>
        <v>None</v>
      </c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 t="shared" si="1"/>
        <v>D</v>
      </c>
      <c r="F14" s="33" t="str">
        <f t="shared" si="2"/>
        <v>AVG</v>
      </c>
      <c r="G14" s="33" t="str">
        <f t="shared" si="3"/>
        <v>None</v>
      </c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 t="str">
        <f t="shared" si="3"/>
        <v>None</v>
      </c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 t="str">
        <f t="shared" si="3"/>
        <v>None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6"/>
  <sheetViews>
    <sheetView workbookViewId="0">
      <selection activeCell="H2" sqref="H2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>
        <f>_xlfn.MAXIFS(E2:E16,B2:B16,B6)</f>
        <v>25897</v>
      </c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>
        <f>_xlfn.MAXIFS(E2:E16,B2:B16,B6,C2:C16,C6)</f>
        <v>15414</v>
      </c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>
        <f>SUMIF(B2:B16,B2,E2:E16)+SUMIF(B2:B16,B2,D2:D16)</f>
        <v>140337</v>
      </c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tabSelected="1" zoomScale="85" zoomScaleNormal="85" workbookViewId="0">
      <selection activeCell="K9" sqref="K9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8" customWidth="1"/>
    <col min="4" max="4" width="14.44140625" style="68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12" t="s">
        <v>3504</v>
      </c>
      <c r="C2" s="113"/>
      <c r="D2" s="113"/>
      <c r="E2" s="113"/>
      <c r="F2" s="113"/>
      <c r="G2" s="114"/>
    </row>
    <row r="4" spans="1:12" ht="15.6" x14ac:dyDescent="0.3">
      <c r="B4" s="92" t="s">
        <v>3500</v>
      </c>
      <c r="C4" s="92" t="s">
        <v>3496</v>
      </c>
      <c r="D4" s="92" t="s">
        <v>3503</v>
      </c>
      <c r="E4" s="92" t="s">
        <v>3502</v>
      </c>
      <c r="F4" s="92" t="s">
        <v>3501</v>
      </c>
      <c r="G4" s="91" t="s">
        <v>3499</v>
      </c>
    </row>
    <row r="5" spans="1:12" x14ac:dyDescent="0.3">
      <c r="A5" s="60"/>
      <c r="B5" s="87" t="s">
        <v>3497</v>
      </c>
      <c r="C5" s="83" t="s">
        <v>3491</v>
      </c>
      <c r="D5" s="82">
        <v>800</v>
      </c>
      <c r="E5" s="82">
        <v>650</v>
      </c>
      <c r="F5" s="82">
        <v>700</v>
      </c>
      <c r="G5" s="81">
        <f>SUM(D5:F5)</f>
        <v>2150</v>
      </c>
    </row>
    <row r="6" spans="1:12" ht="13.5" customHeight="1" x14ac:dyDescent="0.3">
      <c r="A6" s="60"/>
      <c r="B6" s="87" t="s">
        <v>3497</v>
      </c>
      <c r="C6" s="83" t="s">
        <v>3312</v>
      </c>
      <c r="D6" s="82">
        <v>900</v>
      </c>
      <c r="E6" s="82">
        <v>850</v>
      </c>
      <c r="F6" s="82">
        <v>850</v>
      </c>
      <c r="G6" s="81">
        <f t="shared" ref="G6:G62" si="0">SUM(D6:F6)</f>
        <v>2600</v>
      </c>
      <c r="J6" s="90"/>
      <c r="K6" s="90"/>
      <c r="L6" s="88"/>
    </row>
    <row r="7" spans="1:12" ht="13.5" customHeight="1" x14ac:dyDescent="0.3">
      <c r="A7" s="60"/>
      <c r="B7" s="87" t="s">
        <v>3497</v>
      </c>
      <c r="C7" s="83" t="s">
        <v>3485</v>
      </c>
      <c r="D7" s="82">
        <v>4850</v>
      </c>
      <c r="E7" s="82">
        <v>3200</v>
      </c>
      <c r="F7" s="82">
        <v>1155</v>
      </c>
      <c r="G7" s="81">
        <f t="shared" si="0"/>
        <v>9205</v>
      </c>
      <c r="I7" s="86" t="s">
        <v>3500</v>
      </c>
      <c r="J7" s="86" t="s">
        <v>3496</v>
      </c>
      <c r="K7" s="86" t="s">
        <v>3499</v>
      </c>
      <c r="L7" s="88"/>
    </row>
    <row r="8" spans="1:12" ht="13.5" customHeight="1" x14ac:dyDescent="0.3">
      <c r="A8" s="60"/>
      <c r="B8" s="87" t="s">
        <v>3497</v>
      </c>
      <c r="C8" s="83" t="s">
        <v>3492</v>
      </c>
      <c r="D8" s="82">
        <v>1250</v>
      </c>
      <c r="E8" s="82">
        <v>1250</v>
      </c>
      <c r="F8" s="82">
        <v>1250</v>
      </c>
      <c r="G8" s="81">
        <f t="shared" si="0"/>
        <v>3750</v>
      </c>
      <c r="I8" s="85" t="s">
        <v>3497</v>
      </c>
      <c r="J8" s="85" t="s">
        <v>3487</v>
      </c>
      <c r="K8" s="89"/>
      <c r="L8" s="88"/>
    </row>
    <row r="9" spans="1:12" ht="13.5" customHeight="1" x14ac:dyDescent="0.3">
      <c r="A9" s="60"/>
      <c r="B9" s="87" t="s">
        <v>3497</v>
      </c>
      <c r="C9" s="83" t="s">
        <v>3487</v>
      </c>
      <c r="D9" s="82">
        <v>2025</v>
      </c>
      <c r="E9" s="82">
        <v>2200</v>
      </c>
      <c r="F9" s="82">
        <v>1650</v>
      </c>
      <c r="G9" s="81">
        <f t="shared" si="0"/>
        <v>5875</v>
      </c>
      <c r="L9" s="88"/>
    </row>
    <row r="10" spans="1:12" ht="13.5" customHeight="1" x14ac:dyDescent="0.3">
      <c r="A10" s="60"/>
      <c r="B10" s="87" t="s">
        <v>3497</v>
      </c>
      <c r="C10" s="83" t="s">
        <v>3489</v>
      </c>
      <c r="D10" s="82">
        <v>1350</v>
      </c>
      <c r="E10" s="82">
        <v>1500</v>
      </c>
      <c r="F10" s="82">
        <v>1700</v>
      </c>
      <c r="G10" s="81">
        <f t="shared" si="0"/>
        <v>4550</v>
      </c>
    </row>
    <row r="11" spans="1:12" x14ac:dyDescent="0.3">
      <c r="A11" s="60"/>
      <c r="B11" s="87" t="s">
        <v>3497</v>
      </c>
      <c r="C11" s="83" t="s">
        <v>3490</v>
      </c>
      <c r="D11" s="82">
        <v>3300</v>
      </c>
      <c r="E11" s="82">
        <v>3500</v>
      </c>
      <c r="F11" s="82">
        <v>3700</v>
      </c>
      <c r="G11" s="81">
        <f t="shared" si="0"/>
        <v>10500</v>
      </c>
    </row>
    <row r="12" spans="1:12" x14ac:dyDescent="0.3">
      <c r="A12" s="60"/>
      <c r="B12" s="87" t="s">
        <v>3497</v>
      </c>
      <c r="C12" s="83" t="s">
        <v>3486</v>
      </c>
      <c r="D12" s="82">
        <v>3825</v>
      </c>
      <c r="E12" s="82">
        <v>3725</v>
      </c>
      <c r="F12" s="82">
        <v>3750</v>
      </c>
      <c r="G12" s="81">
        <f t="shared" si="0"/>
        <v>11300</v>
      </c>
    </row>
    <row r="13" spans="1:12" ht="15.6" x14ac:dyDescent="0.3">
      <c r="A13" s="60"/>
      <c r="B13" s="87" t="s">
        <v>3497</v>
      </c>
      <c r="C13" s="83" t="s">
        <v>3488</v>
      </c>
      <c r="D13" s="82">
        <v>8900</v>
      </c>
      <c r="E13" s="82">
        <v>10315</v>
      </c>
      <c r="F13" s="82">
        <v>5250</v>
      </c>
      <c r="G13" s="81">
        <f t="shared" si="0"/>
        <v>24465</v>
      </c>
      <c r="I13" s="86" t="s">
        <v>3496</v>
      </c>
      <c r="J13" s="86" t="s">
        <v>3498</v>
      </c>
    </row>
    <row r="14" spans="1:12" x14ac:dyDescent="0.3">
      <c r="A14" s="60"/>
      <c r="B14" s="87" t="s">
        <v>3497</v>
      </c>
      <c r="C14" s="83" t="s">
        <v>3483</v>
      </c>
      <c r="D14" s="82">
        <v>6250</v>
      </c>
      <c r="E14" s="82">
        <v>6000</v>
      </c>
      <c r="F14" s="82">
        <v>6500</v>
      </c>
      <c r="G14" s="81">
        <f t="shared" si="0"/>
        <v>18750</v>
      </c>
      <c r="I14" s="85" t="s">
        <v>3487</v>
      </c>
      <c r="J14" s="84"/>
    </row>
    <row r="15" spans="1:12" x14ac:dyDescent="0.3">
      <c r="A15" s="60"/>
      <c r="B15" s="87" t="s">
        <v>3497</v>
      </c>
      <c r="C15" s="83" t="s">
        <v>3484</v>
      </c>
      <c r="D15" s="82">
        <v>8000</v>
      </c>
      <c r="E15" s="82">
        <v>8000</v>
      </c>
      <c r="F15" s="82">
        <v>8000</v>
      </c>
      <c r="G15" s="81">
        <f t="shared" si="0"/>
        <v>24000</v>
      </c>
    </row>
    <row r="16" spans="1:12" x14ac:dyDescent="0.3">
      <c r="A16" s="60"/>
      <c r="B16" s="87" t="s">
        <v>3497</v>
      </c>
      <c r="C16" s="83" t="s">
        <v>3481</v>
      </c>
      <c r="D16" s="82">
        <v>11500</v>
      </c>
      <c r="E16" s="82">
        <v>12500</v>
      </c>
      <c r="F16" s="82">
        <v>12500</v>
      </c>
      <c r="G16" s="81">
        <f t="shared" si="0"/>
        <v>36500</v>
      </c>
    </row>
    <row r="17" spans="1:10" x14ac:dyDescent="0.3">
      <c r="A17" s="60"/>
      <c r="B17" s="87" t="s">
        <v>3497</v>
      </c>
      <c r="C17" s="83" t="s">
        <v>3482</v>
      </c>
      <c r="D17" s="82">
        <v>12250</v>
      </c>
      <c r="E17" s="82">
        <v>12250</v>
      </c>
      <c r="F17" s="82">
        <v>12750</v>
      </c>
      <c r="G17" s="81">
        <f t="shared" si="0"/>
        <v>37250</v>
      </c>
    </row>
    <row r="18" spans="1:10" x14ac:dyDescent="0.3">
      <c r="A18" s="60"/>
      <c r="B18" s="87" t="s">
        <v>3497</v>
      </c>
      <c r="C18" s="83" t="s">
        <v>3478</v>
      </c>
      <c r="D18" s="82">
        <v>25000</v>
      </c>
      <c r="E18" s="82">
        <v>24000</v>
      </c>
      <c r="F18" s="82">
        <v>26390</v>
      </c>
      <c r="G18" s="81">
        <f t="shared" si="0"/>
        <v>75390</v>
      </c>
    </row>
    <row r="19" spans="1:10" ht="15.6" x14ac:dyDescent="0.3">
      <c r="A19" s="60"/>
      <c r="B19" s="83" t="s">
        <v>3494</v>
      </c>
      <c r="C19" s="83" t="s">
        <v>3491</v>
      </c>
      <c r="D19" s="82">
        <v>800</v>
      </c>
      <c r="E19" s="82">
        <v>950</v>
      </c>
      <c r="F19" s="82">
        <v>750</v>
      </c>
      <c r="G19" s="81">
        <f t="shared" si="0"/>
        <v>2500</v>
      </c>
      <c r="I19" s="86" t="s">
        <v>3496</v>
      </c>
      <c r="J19" s="86" t="s">
        <v>3495</v>
      </c>
    </row>
    <row r="20" spans="1:10" x14ac:dyDescent="0.3">
      <c r="B20" s="83" t="s">
        <v>3494</v>
      </c>
      <c r="C20" s="83" t="s">
        <v>3492</v>
      </c>
      <c r="D20" s="82">
        <v>850</v>
      </c>
      <c r="E20" s="82">
        <v>750</v>
      </c>
      <c r="F20" s="82">
        <v>800</v>
      </c>
      <c r="G20" s="81">
        <f t="shared" si="0"/>
        <v>2400</v>
      </c>
      <c r="I20" s="85" t="s">
        <v>3484</v>
      </c>
      <c r="J20" s="84"/>
    </row>
    <row r="21" spans="1:10" x14ac:dyDescent="0.3">
      <c r="B21" s="83" t="s">
        <v>3494</v>
      </c>
      <c r="C21" s="83" t="s">
        <v>3489</v>
      </c>
      <c r="D21" s="82">
        <v>940</v>
      </c>
      <c r="E21" s="82">
        <v>950</v>
      </c>
      <c r="F21" s="82">
        <v>820</v>
      </c>
      <c r="G21" s="81">
        <f t="shared" si="0"/>
        <v>2710</v>
      </c>
    </row>
    <row r="22" spans="1:10" x14ac:dyDescent="0.3">
      <c r="B22" s="83" t="s">
        <v>3494</v>
      </c>
      <c r="C22" s="83" t="s">
        <v>3312</v>
      </c>
      <c r="D22" s="82">
        <v>980</v>
      </c>
      <c r="E22" s="82">
        <v>850</v>
      </c>
      <c r="F22" s="82">
        <v>950</v>
      </c>
      <c r="G22" s="81">
        <f t="shared" si="0"/>
        <v>2780</v>
      </c>
    </row>
    <row r="23" spans="1:10" x14ac:dyDescent="0.3">
      <c r="B23" s="83" t="s">
        <v>3494</v>
      </c>
      <c r="C23" s="83" t="s">
        <v>3488</v>
      </c>
      <c r="D23" s="82">
        <v>1250</v>
      </c>
      <c r="E23" s="82">
        <v>1250</v>
      </c>
      <c r="F23" s="82">
        <v>1250</v>
      </c>
      <c r="G23" s="81">
        <f t="shared" si="0"/>
        <v>3750</v>
      </c>
    </row>
    <row r="24" spans="1:10" x14ac:dyDescent="0.3">
      <c r="B24" s="83" t="s">
        <v>3494</v>
      </c>
      <c r="C24" s="83" t="s">
        <v>3487</v>
      </c>
      <c r="D24" s="82">
        <v>1150</v>
      </c>
      <c r="E24" s="82">
        <v>1255</v>
      </c>
      <c r="F24" s="82">
        <v>1400</v>
      </c>
      <c r="G24" s="81">
        <f t="shared" si="0"/>
        <v>3805</v>
      </c>
    </row>
    <row r="25" spans="1:10" x14ac:dyDescent="0.3">
      <c r="B25" s="83" t="s">
        <v>3494</v>
      </c>
      <c r="C25" s="83" t="s">
        <v>3490</v>
      </c>
      <c r="D25" s="82">
        <v>2410</v>
      </c>
      <c r="E25" s="82">
        <v>1850</v>
      </c>
      <c r="F25" s="82">
        <v>2390</v>
      </c>
      <c r="G25" s="81">
        <f t="shared" si="0"/>
        <v>6650</v>
      </c>
    </row>
    <row r="26" spans="1:10" x14ac:dyDescent="0.3">
      <c r="B26" s="83" t="s">
        <v>3494</v>
      </c>
      <c r="C26" s="83" t="s">
        <v>3486</v>
      </c>
      <c r="D26" s="82">
        <v>3200</v>
      </c>
      <c r="E26" s="82">
        <v>3760</v>
      </c>
      <c r="F26" s="82">
        <v>3750</v>
      </c>
      <c r="G26" s="81">
        <f t="shared" si="0"/>
        <v>10710</v>
      </c>
    </row>
    <row r="27" spans="1:10" x14ac:dyDescent="0.3">
      <c r="B27" s="83" t="s">
        <v>3494</v>
      </c>
      <c r="C27" s="83" t="s">
        <v>3485</v>
      </c>
      <c r="D27" s="82">
        <v>5000</v>
      </c>
      <c r="E27" s="82">
        <v>4800</v>
      </c>
      <c r="F27" s="82">
        <v>4500</v>
      </c>
      <c r="G27" s="81">
        <f t="shared" si="0"/>
        <v>14300</v>
      </c>
    </row>
    <row r="28" spans="1:10" x14ac:dyDescent="0.3">
      <c r="B28" s="83" t="s">
        <v>3494</v>
      </c>
      <c r="C28" s="83" t="s">
        <v>3483</v>
      </c>
      <c r="D28" s="82">
        <v>5250</v>
      </c>
      <c r="E28" s="82">
        <v>8990</v>
      </c>
      <c r="F28" s="82">
        <v>5515</v>
      </c>
      <c r="G28" s="81">
        <f t="shared" si="0"/>
        <v>19755</v>
      </c>
    </row>
    <row r="29" spans="1:10" x14ac:dyDescent="0.3">
      <c r="B29" s="83" t="s">
        <v>3494</v>
      </c>
      <c r="C29" s="83" t="s">
        <v>3484</v>
      </c>
      <c r="D29" s="82">
        <v>6020</v>
      </c>
      <c r="E29" s="82">
        <v>6020</v>
      </c>
      <c r="F29" s="82">
        <v>6020</v>
      </c>
      <c r="G29" s="81">
        <f t="shared" si="0"/>
        <v>18060</v>
      </c>
    </row>
    <row r="30" spans="1:10" x14ac:dyDescent="0.3">
      <c r="B30" s="83" t="s">
        <v>3494</v>
      </c>
      <c r="C30" s="83" t="s">
        <v>3481</v>
      </c>
      <c r="D30" s="82">
        <v>12940</v>
      </c>
      <c r="E30" s="82">
        <v>11300</v>
      </c>
      <c r="F30" s="82">
        <v>11500</v>
      </c>
      <c r="G30" s="81">
        <f t="shared" si="0"/>
        <v>35740</v>
      </c>
    </row>
    <row r="31" spans="1:10" x14ac:dyDescent="0.3">
      <c r="B31" s="83" t="s">
        <v>3494</v>
      </c>
      <c r="C31" s="83" t="s">
        <v>3482</v>
      </c>
      <c r="D31" s="82">
        <v>14250</v>
      </c>
      <c r="E31" s="82">
        <v>15250</v>
      </c>
      <c r="F31" s="82">
        <v>12050</v>
      </c>
      <c r="G31" s="81">
        <f t="shared" si="0"/>
        <v>41550</v>
      </c>
    </row>
    <row r="32" spans="1:10" x14ac:dyDescent="0.3">
      <c r="B32" s="83" t="s">
        <v>3494</v>
      </c>
      <c r="C32" s="83" t="s">
        <v>3478</v>
      </c>
      <c r="D32" s="82">
        <v>25700</v>
      </c>
      <c r="E32" s="82">
        <v>24200</v>
      </c>
      <c r="F32" s="82">
        <v>26930</v>
      </c>
      <c r="G32" s="81">
        <f t="shared" si="0"/>
        <v>76830</v>
      </c>
    </row>
    <row r="33" spans="2:7" x14ac:dyDescent="0.3">
      <c r="B33" s="83" t="s">
        <v>3493</v>
      </c>
      <c r="C33" s="83" t="s">
        <v>3492</v>
      </c>
      <c r="D33" s="82">
        <v>2140</v>
      </c>
      <c r="E33" s="82">
        <v>2310</v>
      </c>
      <c r="F33" s="82">
        <v>2000</v>
      </c>
      <c r="G33" s="81">
        <f t="shared" si="0"/>
        <v>6450</v>
      </c>
    </row>
    <row r="34" spans="2:7" x14ac:dyDescent="0.3">
      <c r="B34" s="83" t="s">
        <v>3493</v>
      </c>
      <c r="C34" s="83" t="s">
        <v>3491</v>
      </c>
      <c r="D34" s="82">
        <v>730</v>
      </c>
      <c r="E34" s="82">
        <v>525</v>
      </c>
      <c r="F34" s="82">
        <v>430</v>
      </c>
      <c r="G34" s="81">
        <f t="shared" si="0"/>
        <v>1685</v>
      </c>
    </row>
    <row r="35" spans="2:7" x14ac:dyDescent="0.3">
      <c r="B35" s="83" t="s">
        <v>3493</v>
      </c>
      <c r="C35" s="83" t="s">
        <v>3312</v>
      </c>
      <c r="D35" s="82">
        <v>700</v>
      </c>
      <c r="E35" s="82">
        <v>750</v>
      </c>
      <c r="F35" s="82">
        <v>750</v>
      </c>
      <c r="G35" s="81">
        <f t="shared" si="0"/>
        <v>2200</v>
      </c>
    </row>
    <row r="36" spans="2:7" x14ac:dyDescent="0.3">
      <c r="B36" s="83" t="s">
        <v>3493</v>
      </c>
      <c r="C36" s="83" t="s">
        <v>3489</v>
      </c>
      <c r="D36" s="82">
        <v>2000</v>
      </c>
      <c r="E36" s="82">
        <v>950</v>
      </c>
      <c r="F36" s="82">
        <v>800</v>
      </c>
      <c r="G36" s="81">
        <f t="shared" si="0"/>
        <v>3750</v>
      </c>
    </row>
    <row r="37" spans="2:7" x14ac:dyDescent="0.3">
      <c r="B37" s="83" t="s">
        <v>3493</v>
      </c>
      <c r="C37" s="83" t="s">
        <v>3490</v>
      </c>
      <c r="D37" s="82">
        <v>745</v>
      </c>
      <c r="E37" s="82">
        <v>780</v>
      </c>
      <c r="F37" s="82">
        <v>900</v>
      </c>
      <c r="G37" s="81">
        <f t="shared" si="0"/>
        <v>2425</v>
      </c>
    </row>
    <row r="38" spans="2:7" x14ac:dyDescent="0.3">
      <c r="B38" s="83" t="s">
        <v>3493</v>
      </c>
      <c r="C38" s="83" t="s">
        <v>3487</v>
      </c>
      <c r="D38" s="82">
        <v>1150</v>
      </c>
      <c r="E38" s="82">
        <v>1200</v>
      </c>
      <c r="F38" s="82">
        <v>1400</v>
      </c>
      <c r="G38" s="81">
        <f t="shared" si="0"/>
        <v>3750</v>
      </c>
    </row>
    <row r="39" spans="2:7" x14ac:dyDescent="0.3">
      <c r="B39" s="83" t="s">
        <v>3493</v>
      </c>
      <c r="C39" s="83" t="s">
        <v>3485</v>
      </c>
      <c r="D39" s="82">
        <v>2780</v>
      </c>
      <c r="E39" s="82">
        <v>3590</v>
      </c>
      <c r="F39" s="82">
        <v>2300</v>
      </c>
      <c r="G39" s="81">
        <f t="shared" si="0"/>
        <v>8670</v>
      </c>
    </row>
    <row r="40" spans="2:7" x14ac:dyDescent="0.3">
      <c r="B40" s="83" t="s">
        <v>3493</v>
      </c>
      <c r="C40" s="83" t="s">
        <v>3488</v>
      </c>
      <c r="D40" s="82">
        <v>3490</v>
      </c>
      <c r="E40" s="82">
        <v>32840</v>
      </c>
      <c r="F40" s="82">
        <v>3070</v>
      </c>
      <c r="G40" s="81">
        <f t="shared" si="0"/>
        <v>39400</v>
      </c>
    </row>
    <row r="41" spans="2:7" x14ac:dyDescent="0.3">
      <c r="B41" s="83" t="s">
        <v>3493</v>
      </c>
      <c r="C41" s="83" t="s">
        <v>3484</v>
      </c>
      <c r="D41" s="82">
        <v>4700</v>
      </c>
      <c r="E41" s="82">
        <v>4700</v>
      </c>
      <c r="F41" s="82">
        <v>4700</v>
      </c>
      <c r="G41" s="81">
        <f t="shared" si="0"/>
        <v>14100</v>
      </c>
    </row>
    <row r="42" spans="2:7" x14ac:dyDescent="0.3">
      <c r="B42" s="83" t="s">
        <v>3493</v>
      </c>
      <c r="C42" s="83" t="s">
        <v>3483</v>
      </c>
      <c r="D42" s="82">
        <v>5250</v>
      </c>
      <c r="E42" s="82">
        <v>5000</v>
      </c>
      <c r="F42" s="82">
        <v>5500</v>
      </c>
      <c r="G42" s="81">
        <f t="shared" si="0"/>
        <v>15750</v>
      </c>
    </row>
    <row r="43" spans="2:7" x14ac:dyDescent="0.3">
      <c r="B43" s="83" t="s">
        <v>3493</v>
      </c>
      <c r="C43" s="83" t="s">
        <v>3486</v>
      </c>
      <c r="D43" s="82">
        <v>6980</v>
      </c>
      <c r="E43" s="82">
        <v>6310</v>
      </c>
      <c r="F43" s="82">
        <v>6375</v>
      </c>
      <c r="G43" s="81">
        <f t="shared" si="0"/>
        <v>19665</v>
      </c>
    </row>
    <row r="44" spans="2:7" x14ac:dyDescent="0.3">
      <c r="B44" s="83" t="s">
        <v>3493</v>
      </c>
      <c r="C44" s="83" t="s">
        <v>3482</v>
      </c>
      <c r="D44" s="82">
        <v>11250</v>
      </c>
      <c r="E44" s="82">
        <v>11250</v>
      </c>
      <c r="F44" s="82">
        <v>11750</v>
      </c>
      <c r="G44" s="81">
        <f t="shared" si="0"/>
        <v>34250</v>
      </c>
    </row>
    <row r="45" spans="2:7" x14ac:dyDescent="0.3">
      <c r="B45" s="83" t="s">
        <v>3493</v>
      </c>
      <c r="C45" s="83" t="s">
        <v>3481</v>
      </c>
      <c r="D45" s="82">
        <v>24500</v>
      </c>
      <c r="E45" s="82">
        <v>23500</v>
      </c>
      <c r="F45" s="82">
        <v>24500</v>
      </c>
      <c r="G45" s="81">
        <f t="shared" si="0"/>
        <v>72500</v>
      </c>
    </row>
    <row r="46" spans="2:7" x14ac:dyDescent="0.3">
      <c r="B46" s="83" t="s">
        <v>3493</v>
      </c>
      <c r="C46" s="83" t="s">
        <v>3480</v>
      </c>
      <c r="D46" s="82">
        <v>56900</v>
      </c>
      <c r="E46" s="82">
        <v>62800</v>
      </c>
      <c r="F46" s="82">
        <v>60870</v>
      </c>
      <c r="G46" s="81">
        <f t="shared" si="0"/>
        <v>180570</v>
      </c>
    </row>
    <row r="47" spans="2:7" x14ac:dyDescent="0.3">
      <c r="B47" s="83" t="s">
        <v>3493</v>
      </c>
      <c r="C47" s="83" t="s">
        <v>3478</v>
      </c>
      <c r="D47" s="82">
        <v>24290</v>
      </c>
      <c r="E47" s="82">
        <v>24050</v>
      </c>
      <c r="F47" s="82">
        <v>26600</v>
      </c>
      <c r="G47" s="81">
        <f t="shared" si="0"/>
        <v>74940</v>
      </c>
    </row>
    <row r="48" spans="2:7" x14ac:dyDescent="0.3">
      <c r="B48" s="83" t="s">
        <v>3479</v>
      </c>
      <c r="C48" s="83" t="s">
        <v>3492</v>
      </c>
      <c r="D48" s="82">
        <v>775</v>
      </c>
      <c r="E48" s="82">
        <v>750</v>
      </c>
      <c r="F48" s="82">
        <v>700</v>
      </c>
      <c r="G48" s="81">
        <f t="shared" si="0"/>
        <v>2225</v>
      </c>
    </row>
    <row r="49" spans="2:7" x14ac:dyDescent="0.3">
      <c r="B49" s="83" t="s">
        <v>3479</v>
      </c>
      <c r="C49" s="83" t="s">
        <v>3312</v>
      </c>
      <c r="D49" s="82">
        <v>700</v>
      </c>
      <c r="E49" s="82">
        <v>750</v>
      </c>
      <c r="F49" s="82">
        <v>750</v>
      </c>
      <c r="G49" s="81">
        <f t="shared" si="0"/>
        <v>2200</v>
      </c>
    </row>
    <row r="50" spans="2:7" x14ac:dyDescent="0.3">
      <c r="B50" s="83" t="s">
        <v>3479</v>
      </c>
      <c r="C50" s="83" t="s">
        <v>3491</v>
      </c>
      <c r="D50" s="82">
        <v>300</v>
      </c>
      <c r="E50" s="82">
        <v>100</v>
      </c>
      <c r="F50" s="82">
        <v>150</v>
      </c>
      <c r="G50" s="81">
        <f t="shared" si="0"/>
        <v>550</v>
      </c>
    </row>
    <row r="51" spans="2:7" x14ac:dyDescent="0.3">
      <c r="B51" s="83" t="s">
        <v>3479</v>
      </c>
      <c r="C51" s="83" t="s">
        <v>3490</v>
      </c>
      <c r="D51" s="82">
        <v>2000</v>
      </c>
      <c r="E51" s="82">
        <v>1800</v>
      </c>
      <c r="F51" s="82">
        <v>1900</v>
      </c>
      <c r="G51" s="81">
        <f t="shared" si="0"/>
        <v>5700</v>
      </c>
    </row>
    <row r="52" spans="2:7" x14ac:dyDescent="0.3">
      <c r="B52" s="83" t="s">
        <v>3479</v>
      </c>
      <c r="C52" s="83" t="s">
        <v>3489</v>
      </c>
      <c r="D52" s="82">
        <v>2000</v>
      </c>
      <c r="E52" s="82">
        <v>950</v>
      </c>
      <c r="F52" s="82">
        <v>800</v>
      </c>
      <c r="G52" s="81">
        <f t="shared" si="0"/>
        <v>3750</v>
      </c>
    </row>
    <row r="53" spans="2:7" x14ac:dyDescent="0.3">
      <c r="B53" s="83" t="s">
        <v>3479</v>
      </c>
      <c r="C53" s="83" t="s">
        <v>3488</v>
      </c>
      <c r="D53" s="82">
        <v>1250</v>
      </c>
      <c r="E53" s="82">
        <v>1250</v>
      </c>
      <c r="F53" s="82">
        <v>1250</v>
      </c>
      <c r="G53" s="81">
        <f t="shared" si="0"/>
        <v>3750</v>
      </c>
    </row>
    <row r="54" spans="2:7" x14ac:dyDescent="0.3">
      <c r="B54" s="83" t="s">
        <v>3479</v>
      </c>
      <c r="C54" s="83" t="s">
        <v>3487</v>
      </c>
      <c r="D54" s="82">
        <v>1150</v>
      </c>
      <c r="E54" s="82">
        <v>1200</v>
      </c>
      <c r="F54" s="82">
        <v>1435</v>
      </c>
      <c r="G54" s="81">
        <f t="shared" si="0"/>
        <v>3785</v>
      </c>
    </row>
    <row r="55" spans="2:7" x14ac:dyDescent="0.3">
      <c r="B55" s="83" t="s">
        <v>3479</v>
      </c>
      <c r="C55" s="83" t="s">
        <v>3486</v>
      </c>
      <c r="D55" s="82">
        <v>3800</v>
      </c>
      <c r="E55" s="82">
        <v>3700</v>
      </c>
      <c r="F55" s="82">
        <v>3750</v>
      </c>
      <c r="G55" s="81">
        <f t="shared" si="0"/>
        <v>11250</v>
      </c>
    </row>
    <row r="56" spans="2:7" x14ac:dyDescent="0.3">
      <c r="B56" s="83" t="s">
        <v>3479</v>
      </c>
      <c r="C56" s="83" t="s">
        <v>3485</v>
      </c>
      <c r="D56" s="82">
        <v>5000</v>
      </c>
      <c r="E56" s="82">
        <v>4800</v>
      </c>
      <c r="F56" s="82">
        <v>4545</v>
      </c>
      <c r="G56" s="81">
        <f t="shared" si="0"/>
        <v>14345</v>
      </c>
    </row>
    <row r="57" spans="2:7" x14ac:dyDescent="0.3">
      <c r="B57" s="83" t="s">
        <v>3479</v>
      </c>
      <c r="C57" s="83" t="s">
        <v>3484</v>
      </c>
      <c r="D57" s="82">
        <v>5000</v>
      </c>
      <c r="E57" s="82">
        <v>5000</v>
      </c>
      <c r="F57" s="82">
        <v>5000</v>
      </c>
      <c r="G57" s="81">
        <f t="shared" si="0"/>
        <v>15000</v>
      </c>
    </row>
    <row r="58" spans="2:7" x14ac:dyDescent="0.3">
      <c r="B58" s="83" t="s">
        <v>3479</v>
      </c>
      <c r="C58" s="83" t="s">
        <v>3483</v>
      </c>
      <c r="D58" s="82">
        <v>5250</v>
      </c>
      <c r="E58" s="82">
        <v>5335</v>
      </c>
      <c r="F58" s="82">
        <v>5500</v>
      </c>
      <c r="G58" s="81">
        <f t="shared" si="0"/>
        <v>16085</v>
      </c>
    </row>
    <row r="59" spans="2:7" x14ac:dyDescent="0.3">
      <c r="B59" s="83" t="s">
        <v>3479</v>
      </c>
      <c r="C59" s="83" t="s">
        <v>3482</v>
      </c>
      <c r="D59" s="82">
        <v>10250</v>
      </c>
      <c r="E59" s="82">
        <v>10250</v>
      </c>
      <c r="F59" s="82">
        <v>10750</v>
      </c>
      <c r="G59" s="81">
        <f t="shared" si="0"/>
        <v>31250</v>
      </c>
    </row>
    <row r="60" spans="2:7" x14ac:dyDescent="0.3">
      <c r="B60" s="83" t="s">
        <v>3479</v>
      </c>
      <c r="C60" s="83" t="s">
        <v>3481</v>
      </c>
      <c r="D60" s="82">
        <v>14500</v>
      </c>
      <c r="E60" s="82">
        <v>13500</v>
      </c>
      <c r="F60" s="82">
        <v>15500</v>
      </c>
      <c r="G60" s="81">
        <f t="shared" si="0"/>
        <v>43500</v>
      </c>
    </row>
    <row r="61" spans="2:7" x14ac:dyDescent="0.3">
      <c r="B61" s="83" t="s">
        <v>3479</v>
      </c>
      <c r="C61" s="83" t="s">
        <v>3480</v>
      </c>
      <c r="D61" s="82">
        <v>72000</v>
      </c>
      <c r="E61" s="82">
        <v>70000</v>
      </c>
      <c r="F61" s="82">
        <v>70000</v>
      </c>
      <c r="G61" s="81">
        <f t="shared" si="0"/>
        <v>212000</v>
      </c>
    </row>
    <row r="62" spans="2:7" x14ac:dyDescent="0.3">
      <c r="B62" s="83" t="s">
        <v>3479</v>
      </c>
      <c r="C62" s="83" t="s">
        <v>3478</v>
      </c>
      <c r="D62" s="82">
        <v>25000</v>
      </c>
      <c r="E62" s="82">
        <v>24000</v>
      </c>
      <c r="F62" s="82">
        <v>26000</v>
      </c>
      <c r="G62" s="81">
        <f t="shared" si="0"/>
        <v>75000</v>
      </c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opLeftCell="C1" workbookViewId="0">
      <selection activeCell="H2" sqref="H2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/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/>
      <c r="I8" s="35"/>
      <c r="J8" s="30"/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/>
      <c r="I9" s="35"/>
      <c r="J9" s="30"/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/>
      <c r="I10" s="35"/>
      <c r="J10" s="30"/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topLeftCell="A114"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G205"/>
  <sheetViews>
    <sheetView topLeftCell="D1" workbookViewId="0">
      <selection activeCell="G8" sqref="G8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7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7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/>
      <c r="G2" s="32"/>
    </row>
    <row r="3" spans="1:7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/>
      <c r="G3" s="32"/>
    </row>
    <row r="4" spans="1:7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/>
      <c r="G4" s="32"/>
    </row>
    <row r="5" spans="1:7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/>
      <c r="G5" s="32"/>
    </row>
    <row r="6" spans="1:7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/>
      <c r="G6" s="32"/>
    </row>
    <row r="7" spans="1:7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/>
      <c r="G7" s="32"/>
    </row>
    <row r="8" spans="1:7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/>
      <c r="G8" s="32"/>
    </row>
    <row r="9" spans="1:7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/>
      <c r="G9" s="32"/>
    </row>
    <row r="10" spans="1:7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/>
      <c r="G10" s="32"/>
    </row>
    <row r="11" spans="1:7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/>
      <c r="G11" s="32"/>
    </row>
    <row r="12" spans="1:7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/>
      <c r="G12" s="32"/>
    </row>
    <row r="13" spans="1:7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/>
      <c r="G13" s="32"/>
    </row>
    <row r="14" spans="1:7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/>
      <c r="G14" s="32"/>
    </row>
    <row r="15" spans="1:7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/>
      <c r="G15" s="32"/>
    </row>
    <row r="16" spans="1:7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/>
      <c r="G16" s="32"/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/>
      <c r="G17" s="32"/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/>
      <c r="G18" s="32"/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/>
      <c r="G19" s="32"/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/>
      <c r="G20" s="32"/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/>
      <c r="G21" s="32"/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/>
      <c r="G22" s="32"/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/>
      <c r="G23" s="32"/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/>
      <c r="G24" s="32"/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/>
      <c r="G25" s="32"/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/>
      <c r="G26" s="32"/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/>
      <c r="G27" s="32"/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/>
      <c r="G28" s="32"/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/>
      <c r="G29" s="32"/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/>
      <c r="G30" s="32"/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/>
      <c r="G31" s="32"/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/>
      <c r="G32" s="32"/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/>
      <c r="G33" s="32"/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/>
      <c r="G34" s="32"/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/>
      <c r="G35" s="32"/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/>
      <c r="G36" s="32"/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/>
      <c r="G37" s="32"/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/>
      <c r="G38" s="32"/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/>
      <c r="G39" s="32"/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/>
      <c r="G40" s="32"/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/>
      <c r="G41" s="32"/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/>
      <c r="G42" s="32"/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/>
      <c r="G43" s="32"/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/>
      <c r="G44" s="32"/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/>
      <c r="G45" s="32"/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/>
      <c r="G46" s="32"/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/>
      <c r="G47" s="32"/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/>
      <c r="G48" s="32"/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/>
      <c r="G49" s="32"/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/>
      <c r="G50" s="32"/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/>
      <c r="G51" s="32"/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/>
      <c r="G52" s="32"/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/>
      <c r="G53" s="32"/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/>
      <c r="G54" s="32"/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/>
      <c r="G55" s="32"/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/>
      <c r="G56" s="32"/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/>
      <c r="G57" s="32"/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/>
      <c r="G58" s="32"/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/>
      <c r="G59" s="32"/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/>
      <c r="G60" s="32"/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/>
      <c r="G61" s="32"/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/>
      <c r="G62" s="32"/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/>
      <c r="G63" s="32"/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/>
      <c r="G64" s="32"/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/>
      <c r="G65" s="32"/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/>
      <c r="G66" s="32"/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/>
      <c r="G67" s="32"/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/>
      <c r="G68" s="32"/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/>
      <c r="G69" s="32"/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/>
      <c r="G70" s="32"/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/>
      <c r="G71" s="32"/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/>
      <c r="G72" s="32"/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/>
      <c r="G73" s="32"/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/>
      <c r="G74" s="32"/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/>
      <c r="G75" s="32"/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/>
      <c r="G76" s="32"/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/>
      <c r="G77" s="32"/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/>
      <c r="G78" s="32"/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/>
      <c r="G79" s="32"/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/>
      <c r="G80" s="32"/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/>
      <c r="G81" s="32"/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/>
      <c r="G82" s="32"/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/>
      <c r="G83" s="32"/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/>
      <c r="G84" s="32"/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/>
      <c r="G85" s="32"/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/>
      <c r="G86" s="32"/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/>
      <c r="G87" s="32"/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/>
      <c r="G88" s="32"/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/>
      <c r="G89" s="32"/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/>
      <c r="G90" s="32"/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/>
      <c r="G91" s="32"/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/>
      <c r="G92" s="32"/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/>
      <c r="G93" s="32"/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/>
      <c r="G94" s="32"/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/>
      <c r="G95" s="32"/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/>
      <c r="G96" s="32"/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/>
      <c r="G97" s="32"/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/>
      <c r="G98" s="32"/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/>
      <c r="G99" s="32"/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/>
      <c r="G100" s="32"/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/>
      <c r="G101" s="32"/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/>
      <c r="G102" s="32"/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/>
      <c r="G103" s="32"/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/>
      <c r="G104" s="32"/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/>
      <c r="G105" s="32"/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/>
      <c r="G106" s="32"/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/>
      <c r="G107" s="32"/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/>
      <c r="G108" s="32"/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/>
      <c r="G109" s="32"/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/>
      <c r="G110" s="32"/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/>
      <c r="G111" s="32"/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/>
      <c r="G112" s="32"/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/>
      <c r="G113" s="32"/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/>
      <c r="G114" s="32"/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/>
      <c r="G115" s="32"/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/>
      <c r="G116" s="32"/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/>
      <c r="G117" s="32"/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/>
      <c r="G118" s="32"/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/>
      <c r="G119" s="32"/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/>
      <c r="G120" s="32"/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/>
      <c r="G121" s="32"/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/>
      <c r="G122" s="32"/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/>
      <c r="G123" s="32"/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/>
      <c r="G124" s="32"/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/>
      <c r="G125" s="32"/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/>
      <c r="G126" s="32"/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/>
      <c r="G127" s="32"/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/>
      <c r="G128" s="32"/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/>
      <c r="G129" s="32"/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/>
      <c r="G130" s="32"/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/>
      <c r="G131" s="32"/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/>
      <c r="G132" s="32"/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/>
      <c r="G133" s="32"/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/>
      <c r="G134" s="32"/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/>
      <c r="G135" s="32"/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/>
      <c r="G136" s="32"/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/>
      <c r="G137" s="32"/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/>
      <c r="G138" s="32"/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/>
      <c r="G139" s="32"/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/>
      <c r="G140" s="32"/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/>
      <c r="G141" s="32"/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/>
      <c r="G142" s="32"/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/>
      <c r="G143" s="32"/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/>
      <c r="G144" s="32"/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/>
      <c r="G145" s="32"/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/>
      <c r="G146" s="32"/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/>
      <c r="G147" s="32"/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/>
      <c r="G148" s="32"/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/>
      <c r="G149" s="32"/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/>
      <c r="G150" s="32"/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/>
      <c r="G151" s="32"/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/>
      <c r="G152" s="32"/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/>
      <c r="G153" s="32"/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/>
      <c r="G154" s="32"/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/>
      <c r="G155" s="32"/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/>
      <c r="G156" s="32"/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/>
      <c r="G157" s="32"/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/>
      <c r="G158" s="32"/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/>
      <c r="G159" s="32"/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/>
      <c r="G160" s="32"/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/>
      <c r="G161" s="32"/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/>
      <c r="G162" s="32"/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/>
      <c r="G163" s="32"/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/>
      <c r="G164" s="32"/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/>
      <c r="G165" s="32"/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/>
      <c r="G166" s="32"/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/>
      <c r="G167" s="32"/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/>
      <c r="G168" s="32"/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/>
      <c r="G169" s="32"/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/>
      <c r="G170" s="32"/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/>
      <c r="G171" s="32"/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/>
      <c r="G172" s="32"/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/>
      <c r="G173" s="32"/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/>
      <c r="G174" s="32"/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/>
      <c r="G175" s="32"/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/>
      <c r="G176" s="32"/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/>
      <c r="G177" s="32"/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/>
      <c r="G178" s="32"/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/>
      <c r="G179" s="32"/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/>
      <c r="G180" s="32"/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/>
      <c r="G181" s="32"/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/>
      <c r="G182" s="32"/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/>
      <c r="G183" s="32"/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/>
      <c r="G184" s="32"/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/>
      <c r="G185" s="32"/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/>
      <c r="G186" s="32"/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/>
      <c r="G187" s="32"/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/>
      <c r="G188" s="32"/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/>
      <c r="G189" s="32"/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/>
      <c r="G190" s="32"/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/>
      <c r="G191" s="32"/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/>
      <c r="G192" s="32"/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/>
      <c r="G193" s="32"/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/>
      <c r="G194" s="32"/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/>
      <c r="G195" s="32"/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/>
      <c r="G196" s="32"/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/>
      <c r="G197" s="32"/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/>
      <c r="G198" s="32"/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/>
      <c r="G199" s="32"/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/>
      <c r="G200" s="32"/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/>
      <c r="G201" s="32"/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/>
      <c r="G202" s="32"/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/>
      <c r="G203" s="32"/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/>
      <c r="G204" s="32"/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/>
      <c r="G205" s="32"/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G4" sqref="G4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4.77734375" style="49" customWidth="1"/>
    <col min="4" max="4" width="9.21875" style="49"/>
    <col min="5" max="5" width="11.2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6384" width="9.21875" style="49"/>
  </cols>
  <sheetData>
    <row r="1" spans="1:9" ht="15" thickBot="1" x14ac:dyDescent="0.35">
      <c r="A1" s="115" t="s">
        <v>3450</v>
      </c>
      <c r="B1" s="115"/>
      <c r="C1" s="115"/>
      <c r="D1" s="115"/>
      <c r="E1" s="115"/>
    </row>
    <row r="2" spans="1:9" ht="15.6" thickTop="1" thickBot="1" x14ac:dyDescent="0.35">
      <c r="A2" s="115"/>
      <c r="B2" s="115"/>
      <c r="C2" s="115"/>
      <c r="D2" s="115"/>
      <c r="E2" s="115"/>
    </row>
    <row r="3" spans="1:9" ht="15" thickTop="1" x14ac:dyDescent="0.3">
      <c r="A3" s="64" t="s">
        <v>3448</v>
      </c>
      <c r="B3" s="64" t="s">
        <v>3320</v>
      </c>
      <c r="C3" s="64" t="s">
        <v>3323</v>
      </c>
      <c r="D3" s="64" t="s">
        <v>3447</v>
      </c>
      <c r="E3" s="64" t="s">
        <v>3443</v>
      </c>
    </row>
    <row r="4" spans="1:9" x14ac:dyDescent="0.3">
      <c r="A4" s="66">
        <v>1672</v>
      </c>
      <c r="B4" s="65"/>
      <c r="C4" s="65"/>
      <c r="D4" s="65"/>
      <c r="E4" s="67"/>
    </row>
    <row r="7" spans="1:9" ht="15.75" customHeight="1" x14ac:dyDescent="0.3">
      <c r="A7" s="116" t="s">
        <v>3449</v>
      </c>
      <c r="B7" s="116"/>
      <c r="C7" s="116"/>
      <c r="D7" s="116"/>
      <c r="E7" s="116"/>
      <c r="F7" s="116"/>
      <c r="G7" s="116"/>
      <c r="H7" s="116"/>
      <c r="I7" s="116"/>
    </row>
    <row r="8" spans="1:9" ht="16.5" customHeight="1" thickBot="1" x14ac:dyDescent="0.35">
      <c r="A8" s="115"/>
      <c r="B8" s="115"/>
      <c r="C8" s="115"/>
      <c r="D8" s="115"/>
      <c r="E8" s="115"/>
      <c r="F8" s="115"/>
      <c r="G8" s="115"/>
      <c r="H8" s="115"/>
      <c r="I8" s="115"/>
    </row>
    <row r="9" spans="1:9" ht="15" thickTop="1" x14ac:dyDescent="0.3">
      <c r="A9" s="64" t="s">
        <v>3448</v>
      </c>
      <c r="B9" s="64" t="s">
        <v>3320</v>
      </c>
      <c r="C9" s="64" t="s">
        <v>3323</v>
      </c>
      <c r="D9" s="64" t="s">
        <v>3447</v>
      </c>
      <c r="E9" s="64" t="s">
        <v>3313</v>
      </c>
      <c r="F9" s="64" t="s">
        <v>3446</v>
      </c>
      <c r="G9" s="64" t="s">
        <v>3445</v>
      </c>
      <c r="H9" s="64" t="s">
        <v>3444</v>
      </c>
      <c r="I9" s="64" t="s">
        <v>3443</v>
      </c>
    </row>
    <row r="10" spans="1:9" x14ac:dyDescent="0.3">
      <c r="A10" s="63">
        <v>1054</v>
      </c>
      <c r="B10" s="63" t="s">
        <v>3356</v>
      </c>
      <c r="C10" s="63" t="s">
        <v>3442</v>
      </c>
      <c r="D10" s="63" t="s">
        <v>3342</v>
      </c>
      <c r="E10" s="63" t="s">
        <v>3441</v>
      </c>
      <c r="F10" s="63">
        <v>148</v>
      </c>
      <c r="G10" s="63" t="s">
        <v>3340</v>
      </c>
      <c r="H10" s="62">
        <v>38092.25</v>
      </c>
      <c r="I10" s="61">
        <v>11.25</v>
      </c>
    </row>
    <row r="11" spans="1:9" x14ac:dyDescent="0.3">
      <c r="A11" s="63">
        <v>1056</v>
      </c>
      <c r="B11" s="63" t="s">
        <v>3440</v>
      </c>
      <c r="C11" s="63" t="s">
        <v>3439</v>
      </c>
      <c r="D11" s="63" t="s">
        <v>3342</v>
      </c>
      <c r="E11" s="63" t="s">
        <v>3438</v>
      </c>
      <c r="F11" s="63">
        <v>121</v>
      </c>
      <c r="G11" s="63" t="s">
        <v>3340</v>
      </c>
      <c r="H11" s="62">
        <v>33901.25</v>
      </c>
      <c r="I11" s="61">
        <v>12.25</v>
      </c>
    </row>
    <row r="12" spans="1:9" x14ac:dyDescent="0.3">
      <c r="A12" s="63">
        <v>1067</v>
      </c>
      <c r="B12" s="63" t="s">
        <v>3437</v>
      </c>
      <c r="C12" s="63" t="s">
        <v>3436</v>
      </c>
      <c r="D12" s="63" t="s">
        <v>3342</v>
      </c>
      <c r="E12" s="63" t="s">
        <v>3435</v>
      </c>
      <c r="F12" s="63">
        <v>123</v>
      </c>
      <c r="G12" s="63" t="s">
        <v>3340</v>
      </c>
      <c r="H12" s="62">
        <v>36788.25</v>
      </c>
      <c r="I12" s="61">
        <v>14.55</v>
      </c>
    </row>
    <row r="13" spans="1:9" x14ac:dyDescent="0.3">
      <c r="A13" s="63">
        <v>1075</v>
      </c>
      <c r="B13" s="63" t="s">
        <v>3434</v>
      </c>
      <c r="C13" s="63" t="s">
        <v>3433</v>
      </c>
      <c r="D13" s="63" t="s">
        <v>3385</v>
      </c>
      <c r="E13" s="63" t="s">
        <v>3432</v>
      </c>
      <c r="F13" s="63">
        <v>126</v>
      </c>
      <c r="G13" s="63" t="s">
        <v>3352</v>
      </c>
      <c r="H13" s="62">
        <v>38571.25</v>
      </c>
      <c r="I13" s="61">
        <v>11.25</v>
      </c>
    </row>
    <row r="14" spans="1:9" x14ac:dyDescent="0.3">
      <c r="A14" s="63">
        <v>1078</v>
      </c>
      <c r="B14" s="63" t="s">
        <v>3431</v>
      </c>
      <c r="C14" s="63" t="s">
        <v>3430</v>
      </c>
      <c r="D14" s="63" t="s">
        <v>3354</v>
      </c>
      <c r="E14" s="63" t="s">
        <v>3429</v>
      </c>
      <c r="F14" s="63">
        <v>101</v>
      </c>
      <c r="G14" s="63" t="s">
        <v>3352</v>
      </c>
      <c r="H14" s="62">
        <v>36251.25</v>
      </c>
      <c r="I14" s="61">
        <v>10.199999999999999</v>
      </c>
    </row>
    <row r="15" spans="1:9" x14ac:dyDescent="0.3">
      <c r="A15" s="63">
        <v>1152</v>
      </c>
      <c r="B15" s="63" t="s">
        <v>3428</v>
      </c>
      <c r="C15" s="63" t="s">
        <v>215</v>
      </c>
      <c r="D15" s="63" t="s">
        <v>3385</v>
      </c>
      <c r="E15" s="63" t="s">
        <v>3427</v>
      </c>
      <c r="F15" s="63">
        <v>118</v>
      </c>
      <c r="G15" s="63" t="s">
        <v>3352</v>
      </c>
      <c r="H15" s="62">
        <v>37642.25</v>
      </c>
      <c r="I15" s="61">
        <v>12.25</v>
      </c>
    </row>
    <row r="16" spans="1:9" x14ac:dyDescent="0.3">
      <c r="A16" s="63">
        <v>1196</v>
      </c>
      <c r="B16" s="63" t="s">
        <v>3426</v>
      </c>
      <c r="C16" s="63" t="s">
        <v>3425</v>
      </c>
      <c r="D16" s="63" t="s">
        <v>3337</v>
      </c>
      <c r="E16" s="63" t="s">
        <v>3424</v>
      </c>
      <c r="F16" s="63">
        <v>289</v>
      </c>
      <c r="G16" s="63" t="s">
        <v>3335</v>
      </c>
      <c r="H16" s="62">
        <v>40634.25</v>
      </c>
      <c r="I16" s="61">
        <v>9.9499999999999993</v>
      </c>
    </row>
    <row r="17" spans="1:9" x14ac:dyDescent="0.3">
      <c r="A17" s="63">
        <v>1284</v>
      </c>
      <c r="B17" s="63" t="s">
        <v>3423</v>
      </c>
      <c r="C17" s="63" t="s">
        <v>3386</v>
      </c>
      <c r="D17" s="63" t="s">
        <v>3377</v>
      </c>
      <c r="E17" s="63" t="s">
        <v>3422</v>
      </c>
      <c r="F17" s="63">
        <v>124</v>
      </c>
      <c r="G17" s="63" t="s">
        <v>3340</v>
      </c>
      <c r="H17" s="62">
        <v>35799.25</v>
      </c>
      <c r="I17" s="61">
        <v>12.3</v>
      </c>
    </row>
    <row r="18" spans="1:9" x14ac:dyDescent="0.3">
      <c r="A18" s="63">
        <v>1290</v>
      </c>
      <c r="B18" s="63" t="s">
        <v>3421</v>
      </c>
      <c r="C18" s="63" t="s">
        <v>3420</v>
      </c>
      <c r="D18" s="63" t="s">
        <v>3385</v>
      </c>
      <c r="E18" s="63" t="s">
        <v>3419</v>
      </c>
      <c r="F18" s="63">
        <v>113</v>
      </c>
      <c r="G18" s="63" t="s">
        <v>3352</v>
      </c>
      <c r="H18" s="62">
        <v>35798.25</v>
      </c>
      <c r="I18" s="61">
        <v>13.25</v>
      </c>
    </row>
    <row r="19" spans="1:9" x14ac:dyDescent="0.3">
      <c r="A19" s="63">
        <v>1293</v>
      </c>
      <c r="B19" s="63" t="s">
        <v>3418</v>
      </c>
      <c r="C19" s="63" t="s">
        <v>3417</v>
      </c>
      <c r="D19" s="63" t="s">
        <v>3337</v>
      </c>
      <c r="E19" s="63" t="s">
        <v>3416</v>
      </c>
      <c r="F19" s="63">
        <v>205</v>
      </c>
      <c r="G19" s="63" t="s">
        <v>3335</v>
      </c>
      <c r="H19" s="62">
        <v>35687.25</v>
      </c>
      <c r="I19" s="61">
        <v>10.199999999999999</v>
      </c>
    </row>
    <row r="20" spans="1:9" x14ac:dyDescent="0.3">
      <c r="A20" s="63">
        <v>1299</v>
      </c>
      <c r="B20" s="63" t="s">
        <v>3415</v>
      </c>
      <c r="C20" s="63" t="s">
        <v>3414</v>
      </c>
      <c r="D20" s="63" t="s">
        <v>3346</v>
      </c>
      <c r="E20" s="63" t="s">
        <v>3413</v>
      </c>
      <c r="F20" s="63">
        <v>127</v>
      </c>
      <c r="G20" s="63" t="s">
        <v>3340</v>
      </c>
      <c r="H20" s="62">
        <v>37611.25</v>
      </c>
      <c r="I20" s="61">
        <v>12.2</v>
      </c>
    </row>
    <row r="21" spans="1:9" x14ac:dyDescent="0.3">
      <c r="A21" s="63">
        <v>1302</v>
      </c>
      <c r="B21" s="63" t="s">
        <v>3356</v>
      </c>
      <c r="C21" s="63" t="s">
        <v>3412</v>
      </c>
      <c r="D21" s="63" t="s">
        <v>3377</v>
      </c>
      <c r="E21" s="63" t="s">
        <v>3411</v>
      </c>
      <c r="F21" s="63">
        <v>139</v>
      </c>
      <c r="G21" s="63" t="s">
        <v>3340</v>
      </c>
      <c r="H21" s="62">
        <v>35648.25</v>
      </c>
      <c r="I21" s="61">
        <v>14.25</v>
      </c>
    </row>
    <row r="22" spans="1:9" x14ac:dyDescent="0.3">
      <c r="A22" s="63">
        <v>1310</v>
      </c>
      <c r="B22" s="63" t="s">
        <v>3356</v>
      </c>
      <c r="C22" s="63" t="s">
        <v>3410</v>
      </c>
      <c r="D22" s="63" t="s">
        <v>3346</v>
      </c>
      <c r="E22" s="63" t="s">
        <v>3409</v>
      </c>
      <c r="F22" s="63">
        <v>137</v>
      </c>
      <c r="G22" s="63" t="s">
        <v>3340</v>
      </c>
      <c r="H22" s="62">
        <v>36437.25</v>
      </c>
      <c r="I22" s="61">
        <v>11.5</v>
      </c>
    </row>
    <row r="23" spans="1:9" x14ac:dyDescent="0.3">
      <c r="A23" s="63">
        <v>1329</v>
      </c>
      <c r="B23" s="63" t="s">
        <v>3408</v>
      </c>
      <c r="C23" s="63" t="s">
        <v>3407</v>
      </c>
      <c r="D23" s="63" t="s">
        <v>3354</v>
      </c>
      <c r="E23" s="63" t="s">
        <v>3406</v>
      </c>
      <c r="F23" s="63">
        <v>151</v>
      </c>
      <c r="G23" s="63" t="s">
        <v>3352</v>
      </c>
      <c r="H23" s="62">
        <v>37309.25</v>
      </c>
      <c r="I23" s="61">
        <v>10.35</v>
      </c>
    </row>
    <row r="24" spans="1:9" x14ac:dyDescent="0.3">
      <c r="A24" s="63">
        <v>1333</v>
      </c>
      <c r="B24" s="63" t="s">
        <v>3405</v>
      </c>
      <c r="C24" s="63" t="s">
        <v>3404</v>
      </c>
      <c r="D24" s="63" t="s">
        <v>3337</v>
      </c>
      <c r="E24" s="63" t="s">
        <v>3403</v>
      </c>
      <c r="F24" s="63">
        <v>122</v>
      </c>
      <c r="G24" s="63" t="s">
        <v>3335</v>
      </c>
      <c r="H24" s="62">
        <v>37727.25</v>
      </c>
      <c r="I24" s="61">
        <v>10.15</v>
      </c>
    </row>
    <row r="25" spans="1:9" x14ac:dyDescent="0.3">
      <c r="A25" s="63">
        <v>1368</v>
      </c>
      <c r="B25" s="63" t="s">
        <v>3402</v>
      </c>
      <c r="C25" s="63" t="s">
        <v>3401</v>
      </c>
      <c r="D25" s="63" t="s">
        <v>3385</v>
      </c>
      <c r="E25" s="63" t="s">
        <v>3400</v>
      </c>
      <c r="F25" s="63">
        <v>132</v>
      </c>
      <c r="G25" s="63" t="s">
        <v>3352</v>
      </c>
      <c r="H25" s="62">
        <v>35134.25</v>
      </c>
      <c r="I25" s="61">
        <v>12.25</v>
      </c>
    </row>
    <row r="26" spans="1:9" x14ac:dyDescent="0.3">
      <c r="A26" s="63">
        <v>1509</v>
      </c>
      <c r="B26" s="63" t="s">
        <v>3344</v>
      </c>
      <c r="C26" s="63" t="s">
        <v>3399</v>
      </c>
      <c r="D26" s="63" t="s">
        <v>3342</v>
      </c>
      <c r="E26" s="63" t="s">
        <v>3398</v>
      </c>
      <c r="F26" s="63">
        <v>135</v>
      </c>
      <c r="G26" s="63" t="s">
        <v>3340</v>
      </c>
      <c r="H26" s="62">
        <v>35965.25</v>
      </c>
      <c r="I26" s="61">
        <v>13.25</v>
      </c>
    </row>
    <row r="27" spans="1:9" x14ac:dyDescent="0.3">
      <c r="A27" s="63">
        <v>1516</v>
      </c>
      <c r="B27" s="63" t="s">
        <v>3356</v>
      </c>
      <c r="C27" s="63" t="s">
        <v>150</v>
      </c>
      <c r="D27" s="63" t="s">
        <v>3354</v>
      </c>
      <c r="E27" s="63" t="s">
        <v>3397</v>
      </c>
      <c r="F27" s="63">
        <v>105</v>
      </c>
      <c r="G27" s="63" t="s">
        <v>3352</v>
      </c>
      <c r="H27" s="62">
        <v>35860.25</v>
      </c>
      <c r="I27" s="61">
        <v>9.5</v>
      </c>
    </row>
    <row r="28" spans="1:9" x14ac:dyDescent="0.3">
      <c r="A28" s="63">
        <v>1529</v>
      </c>
      <c r="B28" s="63" t="s">
        <v>3396</v>
      </c>
      <c r="C28" s="63" t="s">
        <v>3395</v>
      </c>
      <c r="D28" s="63" t="s">
        <v>3377</v>
      </c>
      <c r="E28" s="63" t="s">
        <v>3394</v>
      </c>
      <c r="F28" s="63">
        <v>129</v>
      </c>
      <c r="G28" s="63" t="s">
        <v>3340</v>
      </c>
      <c r="H28" s="62">
        <v>36553.25</v>
      </c>
      <c r="I28" s="61">
        <v>11.3</v>
      </c>
    </row>
    <row r="29" spans="1:9" x14ac:dyDescent="0.3">
      <c r="A29" s="63">
        <v>1656</v>
      </c>
      <c r="B29" s="63" t="s">
        <v>3393</v>
      </c>
      <c r="C29" s="63" t="s">
        <v>3392</v>
      </c>
      <c r="D29" s="63" t="s">
        <v>3346</v>
      </c>
      <c r="E29" s="63" t="s">
        <v>3391</v>
      </c>
      <c r="F29" s="63">
        <v>149</v>
      </c>
      <c r="G29" s="63" t="s">
        <v>3340</v>
      </c>
      <c r="H29" s="62">
        <v>36873.25</v>
      </c>
      <c r="I29" s="61">
        <v>12.35</v>
      </c>
    </row>
    <row r="30" spans="1:9" x14ac:dyDescent="0.3">
      <c r="A30" s="63">
        <v>1672</v>
      </c>
      <c r="B30" s="63" t="s">
        <v>3390</v>
      </c>
      <c r="C30" s="63" t="s">
        <v>3389</v>
      </c>
      <c r="D30" s="63" t="s">
        <v>3346</v>
      </c>
      <c r="E30" s="63" t="s">
        <v>3388</v>
      </c>
      <c r="F30" s="63">
        <v>114</v>
      </c>
      <c r="G30" s="63" t="s">
        <v>3340</v>
      </c>
      <c r="H30" s="62">
        <v>37727.25</v>
      </c>
      <c r="I30" s="61">
        <v>11.9</v>
      </c>
    </row>
    <row r="31" spans="1:9" x14ac:dyDescent="0.3">
      <c r="A31" s="63">
        <v>1673</v>
      </c>
      <c r="B31" s="63" t="s">
        <v>3387</v>
      </c>
      <c r="C31" s="63" t="s">
        <v>3386</v>
      </c>
      <c r="D31" s="63" t="s">
        <v>3385</v>
      </c>
      <c r="E31" s="63" t="s">
        <v>3384</v>
      </c>
      <c r="F31" s="63">
        <v>112</v>
      </c>
      <c r="G31" s="63" t="s">
        <v>3352</v>
      </c>
      <c r="H31" s="62">
        <v>38436.25</v>
      </c>
      <c r="I31" s="61">
        <v>11.85</v>
      </c>
    </row>
    <row r="32" spans="1:9" x14ac:dyDescent="0.3">
      <c r="A32" s="63">
        <v>1676</v>
      </c>
      <c r="B32" s="63" t="s">
        <v>3344</v>
      </c>
      <c r="C32" s="63" t="s">
        <v>3383</v>
      </c>
      <c r="D32" s="63" t="s">
        <v>3377</v>
      </c>
      <c r="E32" s="63" t="s">
        <v>3382</v>
      </c>
      <c r="F32" s="63">
        <v>115</v>
      </c>
      <c r="G32" s="63" t="s">
        <v>3340</v>
      </c>
      <c r="H32" s="62">
        <v>34633.25</v>
      </c>
      <c r="I32" s="61">
        <v>10.75</v>
      </c>
    </row>
    <row r="33" spans="1:13" x14ac:dyDescent="0.3">
      <c r="A33" s="63">
        <v>1721</v>
      </c>
      <c r="B33" s="63" t="s">
        <v>3381</v>
      </c>
      <c r="C33" s="63" t="s">
        <v>3380</v>
      </c>
      <c r="D33" s="63" t="s">
        <v>3337</v>
      </c>
      <c r="E33" s="63" t="s">
        <v>3379</v>
      </c>
      <c r="F33" s="63">
        <v>102</v>
      </c>
      <c r="G33" s="63" t="s">
        <v>3335</v>
      </c>
      <c r="H33" s="62">
        <v>37839.25</v>
      </c>
      <c r="I33" s="61">
        <v>9.75</v>
      </c>
    </row>
    <row r="34" spans="1:13" x14ac:dyDescent="0.3">
      <c r="A34" s="63">
        <v>1723</v>
      </c>
      <c r="B34" s="63" t="s">
        <v>3378</v>
      </c>
      <c r="C34" s="63" t="s">
        <v>215</v>
      </c>
      <c r="D34" s="63" t="s">
        <v>3377</v>
      </c>
      <c r="E34" s="63" t="s">
        <v>3376</v>
      </c>
      <c r="F34" s="63">
        <v>145</v>
      </c>
      <c r="G34" s="63" t="s">
        <v>3340</v>
      </c>
      <c r="H34" s="62">
        <v>33279.25</v>
      </c>
      <c r="I34" s="61">
        <v>13.95</v>
      </c>
      <c r="M34" s="49" t="s">
        <v>3375</v>
      </c>
    </row>
    <row r="35" spans="1:13" x14ac:dyDescent="0.3">
      <c r="A35" s="63">
        <v>1758</v>
      </c>
      <c r="B35" s="63" t="s">
        <v>3374</v>
      </c>
      <c r="C35" s="63" t="s">
        <v>3373</v>
      </c>
      <c r="D35" s="63" t="s">
        <v>3354</v>
      </c>
      <c r="E35" s="63" t="s">
        <v>3372</v>
      </c>
      <c r="F35" s="63">
        <v>107</v>
      </c>
      <c r="G35" s="63" t="s">
        <v>3352</v>
      </c>
      <c r="H35" s="62">
        <v>34776.25</v>
      </c>
      <c r="I35" s="61">
        <v>11.2</v>
      </c>
    </row>
    <row r="36" spans="1:13" x14ac:dyDescent="0.3">
      <c r="A36" s="63">
        <v>1792</v>
      </c>
      <c r="B36" s="63" t="s">
        <v>3371</v>
      </c>
      <c r="C36" s="63" t="s">
        <v>3370</v>
      </c>
      <c r="D36" s="63" t="s">
        <v>3342</v>
      </c>
      <c r="E36" s="63" t="s">
        <v>3369</v>
      </c>
      <c r="F36" s="63">
        <v>111</v>
      </c>
      <c r="G36" s="63" t="s">
        <v>3340</v>
      </c>
      <c r="H36" s="62">
        <v>37979.25</v>
      </c>
      <c r="I36" s="61">
        <v>10.3</v>
      </c>
    </row>
    <row r="37" spans="1:13" x14ac:dyDescent="0.3">
      <c r="A37" s="63">
        <v>1814</v>
      </c>
      <c r="B37" s="63" t="s">
        <v>3368</v>
      </c>
      <c r="C37" s="63" t="s">
        <v>3367</v>
      </c>
      <c r="D37" s="63" t="s">
        <v>3337</v>
      </c>
      <c r="E37" s="63" t="s">
        <v>3366</v>
      </c>
      <c r="F37" s="63">
        <v>103</v>
      </c>
      <c r="G37" s="63" t="s">
        <v>3335</v>
      </c>
      <c r="H37" s="62">
        <v>37319.25</v>
      </c>
      <c r="I37" s="61">
        <v>12.25</v>
      </c>
    </row>
    <row r="38" spans="1:13" x14ac:dyDescent="0.3">
      <c r="A38" s="63">
        <v>1908</v>
      </c>
      <c r="B38" s="63" t="s">
        <v>3365</v>
      </c>
      <c r="C38" s="63" t="s">
        <v>3364</v>
      </c>
      <c r="D38" s="63" t="s">
        <v>3342</v>
      </c>
      <c r="E38" s="63" t="s">
        <v>3363</v>
      </c>
      <c r="F38" s="63">
        <v>152</v>
      </c>
      <c r="G38" s="63" t="s">
        <v>3340</v>
      </c>
      <c r="H38" s="62">
        <v>35565.25</v>
      </c>
      <c r="I38" s="61">
        <v>10.25</v>
      </c>
    </row>
    <row r="39" spans="1:13" x14ac:dyDescent="0.3">
      <c r="A39" s="63">
        <v>1931</v>
      </c>
      <c r="B39" s="63" t="s">
        <v>3344</v>
      </c>
      <c r="C39" s="63" t="s">
        <v>3362</v>
      </c>
      <c r="D39" s="63" t="s">
        <v>3354</v>
      </c>
      <c r="E39" s="63" t="s">
        <v>3361</v>
      </c>
      <c r="F39" s="63">
        <v>110</v>
      </c>
      <c r="G39" s="63" t="s">
        <v>3352</v>
      </c>
      <c r="H39" s="62">
        <v>37427.25</v>
      </c>
      <c r="I39" s="61">
        <v>9.85</v>
      </c>
    </row>
    <row r="40" spans="1:13" x14ac:dyDescent="0.3">
      <c r="A40" s="63">
        <v>1960</v>
      </c>
      <c r="B40" s="63" t="s">
        <v>3360</v>
      </c>
      <c r="C40" s="63" t="s">
        <v>219</v>
      </c>
      <c r="D40" s="63" t="s">
        <v>3346</v>
      </c>
      <c r="E40" s="63" t="s">
        <v>3359</v>
      </c>
      <c r="F40" s="63">
        <v>150</v>
      </c>
      <c r="G40" s="63" t="s">
        <v>3340</v>
      </c>
      <c r="H40" s="62">
        <v>36477.25</v>
      </c>
      <c r="I40" s="61">
        <v>11.65</v>
      </c>
    </row>
    <row r="41" spans="1:13" x14ac:dyDescent="0.3">
      <c r="A41" s="63">
        <v>1964</v>
      </c>
      <c r="B41" s="63" t="s">
        <v>3351</v>
      </c>
      <c r="C41" s="63" t="s">
        <v>3358</v>
      </c>
      <c r="D41" s="63" t="s">
        <v>3354</v>
      </c>
      <c r="E41" s="63" t="s">
        <v>3357</v>
      </c>
      <c r="F41" s="63">
        <v>108</v>
      </c>
      <c r="G41" s="63" t="s">
        <v>3352</v>
      </c>
      <c r="H41" s="62">
        <v>38307.25</v>
      </c>
      <c r="I41" s="61">
        <v>9.25</v>
      </c>
    </row>
    <row r="42" spans="1:13" x14ac:dyDescent="0.3">
      <c r="A42" s="63">
        <v>1975</v>
      </c>
      <c r="B42" s="63" t="s">
        <v>3356</v>
      </c>
      <c r="C42" s="63" t="s">
        <v>3355</v>
      </c>
      <c r="D42" s="63" t="s">
        <v>3354</v>
      </c>
      <c r="E42" s="63" t="s">
        <v>3353</v>
      </c>
      <c r="F42" s="63">
        <v>125</v>
      </c>
      <c r="G42" s="63" t="s">
        <v>3352</v>
      </c>
      <c r="H42" s="62">
        <v>39873.25</v>
      </c>
      <c r="I42" s="61">
        <v>9.25</v>
      </c>
    </row>
    <row r="43" spans="1:13" x14ac:dyDescent="0.3">
      <c r="A43" s="63">
        <v>1983</v>
      </c>
      <c r="B43" s="63" t="s">
        <v>3351</v>
      </c>
      <c r="C43" s="63" t="s">
        <v>3350</v>
      </c>
      <c r="D43" s="63" t="s">
        <v>3342</v>
      </c>
      <c r="E43" s="63" t="s">
        <v>3349</v>
      </c>
      <c r="F43" s="63">
        <v>154</v>
      </c>
      <c r="G43" s="63" t="s">
        <v>3340</v>
      </c>
      <c r="H43" s="62">
        <v>40357.25</v>
      </c>
      <c r="I43" s="61">
        <v>11</v>
      </c>
    </row>
    <row r="44" spans="1:13" x14ac:dyDescent="0.3">
      <c r="A44" s="63">
        <v>1990</v>
      </c>
      <c r="B44" s="63" t="s">
        <v>3348</v>
      </c>
      <c r="C44" s="63" t="s">
        <v>3347</v>
      </c>
      <c r="D44" s="63" t="s">
        <v>3346</v>
      </c>
      <c r="E44" s="63" t="s">
        <v>3345</v>
      </c>
      <c r="F44" s="63">
        <v>198</v>
      </c>
      <c r="G44" s="63" t="s">
        <v>3340</v>
      </c>
      <c r="H44" s="62">
        <v>40588.25</v>
      </c>
      <c r="I44" s="61">
        <v>10.95</v>
      </c>
    </row>
    <row r="45" spans="1:13" x14ac:dyDescent="0.3">
      <c r="A45" s="63">
        <v>1995</v>
      </c>
      <c r="B45" s="63" t="s">
        <v>3344</v>
      </c>
      <c r="C45" s="63" t="s">
        <v>3343</v>
      </c>
      <c r="D45" s="63" t="s">
        <v>3342</v>
      </c>
      <c r="E45" s="63" t="s">
        <v>3341</v>
      </c>
      <c r="F45" s="63">
        <v>198</v>
      </c>
      <c r="G45" s="63" t="s">
        <v>3340</v>
      </c>
      <c r="H45" s="62">
        <v>40603.25</v>
      </c>
      <c r="I45" s="61">
        <v>11.75</v>
      </c>
    </row>
    <row r="46" spans="1:13" x14ac:dyDescent="0.3">
      <c r="A46" s="63">
        <v>2006</v>
      </c>
      <c r="B46" s="63" t="s">
        <v>3339</v>
      </c>
      <c r="C46" s="63" t="s">
        <v>3338</v>
      </c>
      <c r="D46" s="63" t="s">
        <v>3337</v>
      </c>
      <c r="E46" s="63" t="s">
        <v>3336</v>
      </c>
      <c r="F46" s="63">
        <v>428</v>
      </c>
      <c r="G46" s="63" t="s">
        <v>3335</v>
      </c>
      <c r="H46" s="62">
        <v>40729.25</v>
      </c>
      <c r="I46" s="61">
        <v>10.15</v>
      </c>
    </row>
  </sheetData>
  <mergeCells count="2">
    <mergeCell ref="A1:E2"/>
    <mergeCell ref="A7:I8"/>
  </mergeCell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D14" sqref="D14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22" t="s">
        <v>3463</v>
      </c>
      <c r="B1" s="122"/>
      <c r="C1" s="122"/>
      <c r="D1" s="122"/>
      <c r="E1" s="122"/>
      <c r="F1" s="122"/>
      <c r="G1" s="122"/>
    </row>
    <row r="2" spans="1:7" ht="15" thickBot="1" x14ac:dyDescent="0.35"/>
    <row r="3" spans="1:7" ht="20.399999999999999" thickBot="1" x14ac:dyDescent="0.45">
      <c r="A3" s="76" t="s">
        <v>3462</v>
      </c>
      <c r="B3" s="76" t="s">
        <v>124</v>
      </c>
      <c r="C3" s="76" t="s">
        <v>3459</v>
      </c>
      <c r="E3" s="117" t="s">
        <v>3461</v>
      </c>
      <c r="F3" s="118"/>
      <c r="G3" s="119"/>
    </row>
    <row r="4" spans="1:7" ht="15" thickBot="1" x14ac:dyDescent="0.35">
      <c r="A4" s="73" t="s">
        <v>3460</v>
      </c>
      <c r="B4" s="72">
        <v>1200</v>
      </c>
      <c r="C4" s="71"/>
      <c r="E4" s="75" t="s">
        <v>124</v>
      </c>
      <c r="F4" s="74" t="s">
        <v>3459</v>
      </c>
      <c r="G4" s="74" t="s">
        <v>3451</v>
      </c>
    </row>
    <row r="5" spans="1:7" ht="15" thickBot="1" x14ac:dyDescent="0.35">
      <c r="A5" s="73" t="s">
        <v>3458</v>
      </c>
      <c r="B5" s="72">
        <v>1300</v>
      </c>
      <c r="C5" s="71"/>
      <c r="E5" s="70">
        <v>0</v>
      </c>
      <c r="F5" s="70">
        <v>0</v>
      </c>
      <c r="G5" s="70">
        <v>0</v>
      </c>
    </row>
    <row r="6" spans="1:7" ht="15" thickBot="1" x14ac:dyDescent="0.35">
      <c r="A6" s="73" t="s">
        <v>3457</v>
      </c>
      <c r="B6" s="72">
        <v>2500</v>
      </c>
      <c r="C6" s="71"/>
      <c r="E6" s="70">
        <v>1000</v>
      </c>
      <c r="F6" s="70">
        <v>10</v>
      </c>
      <c r="G6" s="70">
        <v>20</v>
      </c>
    </row>
    <row r="7" spans="1:7" ht="15" thickBot="1" x14ac:dyDescent="0.35">
      <c r="A7" s="73" t="s">
        <v>3456</v>
      </c>
      <c r="B7" s="72">
        <v>850</v>
      </c>
      <c r="C7" s="71"/>
      <c r="E7" s="70">
        <v>1500</v>
      </c>
      <c r="F7" s="70">
        <v>30</v>
      </c>
      <c r="G7" s="70">
        <v>50</v>
      </c>
    </row>
    <row r="8" spans="1:7" ht="15" thickBot="1" x14ac:dyDescent="0.35">
      <c r="A8" s="73" t="s">
        <v>3455</v>
      </c>
      <c r="B8" s="72">
        <v>3250</v>
      </c>
      <c r="C8" s="71"/>
      <c r="E8" s="70">
        <v>2000</v>
      </c>
      <c r="F8" s="70">
        <v>85</v>
      </c>
      <c r="G8" s="70">
        <v>100</v>
      </c>
    </row>
    <row r="9" spans="1:7" ht="15" thickBot="1" x14ac:dyDescent="0.35">
      <c r="A9" s="73" t="s">
        <v>3454</v>
      </c>
      <c r="B9" s="72">
        <v>1100</v>
      </c>
      <c r="C9" s="71"/>
      <c r="E9" s="70">
        <v>2500</v>
      </c>
      <c r="F9" s="70">
        <v>125</v>
      </c>
      <c r="G9" s="70">
        <v>150</v>
      </c>
    </row>
    <row r="10" spans="1:7" ht="15" thickBot="1" x14ac:dyDescent="0.35">
      <c r="A10" s="73" t="s">
        <v>3453</v>
      </c>
      <c r="B10" s="72">
        <v>4520</v>
      </c>
      <c r="C10" s="71"/>
      <c r="E10" s="70">
        <v>3000</v>
      </c>
      <c r="F10" s="70">
        <v>200</v>
      </c>
      <c r="G10" s="70">
        <v>250</v>
      </c>
    </row>
    <row r="11" spans="1:7" ht="15" thickBot="1" x14ac:dyDescent="0.35"/>
    <row r="12" spans="1:7" ht="16.8" thickTop="1" thickBot="1" x14ac:dyDescent="0.35">
      <c r="A12" s="120" t="s">
        <v>3452</v>
      </c>
      <c r="B12" s="121"/>
      <c r="C12" s="69" t="s">
        <v>3451</v>
      </c>
    </row>
    <row r="13" spans="1:7" ht="15" customHeight="1" thickTop="1" x14ac:dyDescent="0.3">
      <c r="E13" s="68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C6" sqref="C6"/>
    </sheetView>
  </sheetViews>
  <sheetFormatPr defaultColWidth="9.21875" defaultRowHeight="13.8" x14ac:dyDescent="0.3"/>
  <cols>
    <col min="1" max="1" width="19.44140625" style="77" bestFit="1" customWidth="1"/>
    <col min="2" max="7" width="10.21875" style="77" customWidth="1"/>
    <col min="8" max="16384" width="9.21875" style="77"/>
  </cols>
  <sheetData>
    <row r="2" spans="1:7" ht="23.4" x14ac:dyDescent="0.45">
      <c r="A2" s="124" t="s">
        <v>3477</v>
      </c>
      <c r="B2" s="125"/>
      <c r="C2" s="125"/>
      <c r="D2" s="125"/>
      <c r="E2" s="125"/>
      <c r="F2" s="125"/>
      <c r="G2" s="125"/>
    </row>
    <row r="4" spans="1:7" ht="22.5" customHeight="1" thickBot="1" x14ac:dyDescent="0.35">
      <c r="A4" s="123" t="s">
        <v>3476</v>
      </c>
      <c r="B4" s="123"/>
      <c r="E4" s="77" t="s">
        <v>3547</v>
      </c>
    </row>
    <row r="5" spans="1:7" ht="15" thickTop="1" x14ac:dyDescent="0.3">
      <c r="A5" s="78" t="s">
        <v>3475</v>
      </c>
      <c r="B5" s="80" t="s">
        <v>3469</v>
      </c>
    </row>
    <row r="6" spans="1:7" ht="14.4" x14ac:dyDescent="0.3">
      <c r="A6" s="78" t="s">
        <v>3466</v>
      </c>
      <c r="B6" s="65"/>
    </row>
    <row r="7" spans="1:7" ht="14.4" x14ac:dyDescent="0.3">
      <c r="A7" s="78" t="s">
        <v>3465</v>
      </c>
      <c r="B7" s="65"/>
    </row>
    <row r="8" spans="1:7" ht="14.4" x14ac:dyDescent="0.3">
      <c r="A8" s="78" t="s">
        <v>3464</v>
      </c>
      <c r="B8" s="65"/>
    </row>
    <row r="10" spans="1:7" ht="18.600000000000001" thickBot="1" x14ac:dyDescent="0.35">
      <c r="A10" s="123" t="s">
        <v>3474</v>
      </c>
      <c r="B10" s="123"/>
      <c r="C10" s="123"/>
      <c r="D10" s="123"/>
      <c r="E10" s="123"/>
      <c r="F10" s="123"/>
      <c r="G10" s="123"/>
    </row>
    <row r="11" spans="1:7" ht="15" thickTop="1" x14ac:dyDescent="0.3">
      <c r="A11" s="78" t="s">
        <v>3473</v>
      </c>
      <c r="B11" s="65" t="s">
        <v>3472</v>
      </c>
      <c r="C11" s="79" t="s">
        <v>3471</v>
      </c>
      <c r="D11" s="65" t="s">
        <v>3470</v>
      </c>
      <c r="E11" s="79" t="s">
        <v>3469</v>
      </c>
      <c r="F11" s="65" t="s">
        <v>3468</v>
      </c>
      <c r="G11" s="79" t="s">
        <v>3467</v>
      </c>
    </row>
    <row r="12" spans="1:7" ht="14.4" x14ac:dyDescent="0.3">
      <c r="A12" s="78" t="s">
        <v>3466</v>
      </c>
      <c r="B12" s="65">
        <v>120</v>
      </c>
      <c r="C12" s="74">
        <v>150</v>
      </c>
      <c r="D12" s="65">
        <v>135</v>
      </c>
      <c r="E12" s="74">
        <v>90</v>
      </c>
      <c r="F12" s="65">
        <v>95</v>
      </c>
      <c r="G12" s="74">
        <v>140</v>
      </c>
    </row>
    <row r="13" spans="1:7" ht="14.4" x14ac:dyDescent="0.3">
      <c r="A13" s="78" t="s">
        <v>3465</v>
      </c>
      <c r="B13" s="65">
        <v>55</v>
      </c>
      <c r="C13" s="74">
        <v>110</v>
      </c>
      <c r="D13" s="65">
        <v>75</v>
      </c>
      <c r="E13" s="74">
        <v>95</v>
      </c>
      <c r="F13" s="65">
        <v>75</v>
      </c>
      <c r="G13" s="74">
        <v>55</v>
      </c>
    </row>
    <row r="14" spans="1:7" ht="14.4" x14ac:dyDescent="0.3">
      <c r="A14" s="78" t="s">
        <v>3464</v>
      </c>
      <c r="B14" s="65">
        <v>70</v>
      </c>
      <c r="C14" s="74">
        <v>115</v>
      </c>
      <c r="D14" s="65">
        <v>65</v>
      </c>
      <c r="E14" s="74">
        <v>55</v>
      </c>
      <c r="F14" s="65">
        <v>85</v>
      </c>
      <c r="G14" s="74">
        <v>65</v>
      </c>
    </row>
  </sheetData>
  <mergeCells count="3">
    <mergeCell ref="A4:B4"/>
    <mergeCell ref="A10:G10"/>
    <mergeCell ref="A2:G2"/>
  </mergeCell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J18" sqref="J18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2016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25347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/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0" priority="1">
      <formula>AND($A2=$G$2,A$1=$G$3)</formula>
    </cfRule>
  </conditionalFormatting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topLeftCell="F1" workbookViewId="0">
      <selection activeCell="D10" sqref="D10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/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/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G15"/>
  <sheetViews>
    <sheetView topLeftCell="A22" zoomScale="104" zoomScaleNormal="104" workbookViewId="0">
      <selection activeCell="I11" sqref="I11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7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7" x14ac:dyDescent="0.3">
      <c r="A2" s="24" t="s">
        <v>178</v>
      </c>
      <c r="B2" s="33"/>
      <c r="C2" s="33"/>
      <c r="D2" s="33"/>
      <c r="E2" s="33"/>
      <c r="F2" s="33"/>
      <c r="G2" s="33"/>
    </row>
    <row r="3" spans="1:7" x14ac:dyDescent="0.3">
      <c r="A3" s="24" t="s">
        <v>179</v>
      </c>
      <c r="B3" s="33"/>
      <c r="C3" s="33"/>
      <c r="D3" s="33"/>
      <c r="E3" s="33"/>
      <c r="F3" s="33"/>
      <c r="G3" s="33"/>
    </row>
    <row r="4" spans="1:7" x14ac:dyDescent="0.3">
      <c r="A4" s="24" t="s">
        <v>180</v>
      </c>
      <c r="B4" s="33"/>
      <c r="C4" s="33"/>
      <c r="D4" s="33"/>
      <c r="E4" s="33"/>
      <c r="F4" s="33"/>
      <c r="G4" s="33"/>
    </row>
    <row r="5" spans="1:7" x14ac:dyDescent="0.3">
      <c r="A5" s="24" t="s">
        <v>181</v>
      </c>
      <c r="B5" s="33"/>
      <c r="C5" s="33"/>
      <c r="D5" s="33"/>
      <c r="E5" s="33"/>
      <c r="F5" s="33"/>
      <c r="G5" s="33"/>
    </row>
    <row r="6" spans="1:7" x14ac:dyDescent="0.3">
      <c r="A6" s="24" t="s">
        <v>182</v>
      </c>
      <c r="B6" s="33"/>
      <c r="C6" s="33"/>
      <c r="D6" s="33"/>
      <c r="E6" s="33"/>
      <c r="F6" s="33"/>
      <c r="G6" s="33"/>
    </row>
    <row r="7" spans="1:7" x14ac:dyDescent="0.3">
      <c r="A7" s="24" t="s">
        <v>183</v>
      </c>
      <c r="B7" s="33"/>
      <c r="C7" s="33"/>
      <c r="D7" s="33"/>
      <c r="E7" s="33"/>
      <c r="F7" s="33"/>
      <c r="G7" s="33"/>
    </row>
    <row r="8" spans="1:7" x14ac:dyDescent="0.3">
      <c r="A8" s="24" t="s">
        <v>184</v>
      </c>
      <c r="B8" s="33"/>
      <c r="C8" s="33"/>
      <c r="D8" s="33"/>
      <c r="E8" s="33"/>
      <c r="F8" s="33"/>
      <c r="G8" s="33"/>
    </row>
    <row r="9" spans="1:7" x14ac:dyDescent="0.3">
      <c r="A9" s="24" t="s">
        <v>185</v>
      </c>
      <c r="B9" s="33"/>
      <c r="C9" s="33"/>
      <c r="D9" s="33"/>
      <c r="E9" s="33"/>
      <c r="F9" s="33"/>
      <c r="G9" s="33"/>
    </row>
    <row r="10" spans="1:7" x14ac:dyDescent="0.3">
      <c r="A10" s="24" t="s">
        <v>186</v>
      </c>
      <c r="B10" s="33"/>
      <c r="C10" s="33"/>
      <c r="D10" s="33"/>
      <c r="E10" s="33"/>
      <c r="F10" s="33"/>
      <c r="G10" s="33"/>
    </row>
    <row r="11" spans="1:7" x14ac:dyDescent="0.3">
      <c r="A11" s="24" t="s">
        <v>187</v>
      </c>
      <c r="B11" s="33"/>
      <c r="C11" s="33"/>
      <c r="D11" s="33"/>
      <c r="E11" s="33"/>
      <c r="F11" s="33"/>
      <c r="G11" s="33"/>
    </row>
    <row r="12" spans="1:7" x14ac:dyDescent="0.3">
      <c r="A12" s="24" t="s">
        <v>188</v>
      </c>
      <c r="B12" s="33"/>
      <c r="C12" s="33"/>
      <c r="D12" s="33"/>
      <c r="E12" s="33"/>
      <c r="F12" s="33"/>
      <c r="G12" s="33"/>
    </row>
    <row r="13" spans="1:7" x14ac:dyDescent="0.3">
      <c r="A13" s="24" t="s">
        <v>189</v>
      </c>
      <c r="B13" s="33"/>
      <c r="C13" s="33"/>
      <c r="D13" s="33"/>
      <c r="E13" s="33"/>
      <c r="F13" s="33"/>
      <c r="G13" s="33"/>
    </row>
    <row r="14" spans="1:7" x14ac:dyDescent="0.3">
      <c r="A14" s="24" t="s">
        <v>190</v>
      </c>
      <c r="B14" s="33"/>
      <c r="C14" s="33"/>
      <c r="D14" s="33"/>
      <c r="E14" s="33"/>
      <c r="F14" s="33"/>
      <c r="G14" s="33"/>
    </row>
    <row r="15" spans="1:7" x14ac:dyDescent="0.3">
      <c r="A15" s="24" t="s">
        <v>193</v>
      </c>
      <c r="B15" s="33"/>
      <c r="C15" s="33"/>
      <c r="D15" s="33"/>
      <c r="E15" s="33"/>
      <c r="F15" s="33"/>
      <c r="G15" s="33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zoomScale="115" zoomScaleNormal="115" workbookViewId="0">
      <selection activeCell="X19" sqref="X19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10.77734375" style="45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C2" t="s">
        <v>56</v>
      </c>
      <c r="D2" t="s">
        <v>3304</v>
      </c>
      <c r="G2" t="s">
        <v>241</v>
      </c>
      <c r="I2" t="s">
        <v>3303</v>
      </c>
      <c r="J2" t="s">
        <v>3302</v>
      </c>
      <c r="K2" t="s">
        <v>57</v>
      </c>
      <c r="L2">
        <v>62031</v>
      </c>
      <c r="O2" t="s">
        <v>3301</v>
      </c>
      <c r="Q2" t="s">
        <v>3300</v>
      </c>
      <c r="V2" s="2" t="s">
        <v>3299</v>
      </c>
    </row>
    <row r="3" spans="1:23" x14ac:dyDescent="0.3">
      <c r="A3" t="s">
        <v>1832</v>
      </c>
      <c r="C3" t="s">
        <v>266</v>
      </c>
      <c r="D3" t="s">
        <v>3298</v>
      </c>
      <c r="G3" t="s">
        <v>264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Q3" t="s">
        <v>3294</v>
      </c>
      <c r="V3" s="2" t="s">
        <v>3293</v>
      </c>
    </row>
    <row r="4" spans="1:23" x14ac:dyDescent="0.3">
      <c r="A4" t="s">
        <v>610</v>
      </c>
      <c r="C4" t="s">
        <v>266</v>
      </c>
      <c r="D4" t="s">
        <v>3053</v>
      </c>
      <c r="G4" t="s">
        <v>241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Q4" t="s">
        <v>3289</v>
      </c>
      <c r="V4" s="2" t="s">
        <v>3288</v>
      </c>
    </row>
    <row r="5" spans="1:23" x14ac:dyDescent="0.3">
      <c r="A5" t="s">
        <v>3287</v>
      </c>
      <c r="C5" t="s">
        <v>60</v>
      </c>
      <c r="D5" t="s">
        <v>3286</v>
      </c>
      <c r="G5" t="s">
        <v>264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Q5" t="s">
        <v>3283</v>
      </c>
      <c r="V5" s="2" t="s">
        <v>3282</v>
      </c>
    </row>
    <row r="6" spans="1:23" x14ac:dyDescent="0.3">
      <c r="A6" t="s">
        <v>523</v>
      </c>
      <c r="C6" t="s">
        <v>62</v>
      </c>
      <c r="D6" t="s">
        <v>3281</v>
      </c>
      <c r="G6" t="s">
        <v>264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Q6" t="s">
        <v>3277</v>
      </c>
      <c r="V6" s="2" t="s">
        <v>3276</v>
      </c>
    </row>
    <row r="7" spans="1:23" x14ac:dyDescent="0.3">
      <c r="A7" t="s">
        <v>411</v>
      </c>
      <c r="C7" t="s">
        <v>56</v>
      </c>
      <c r="D7" t="s">
        <v>887</v>
      </c>
      <c r="G7" t="s">
        <v>264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Q7" t="s">
        <v>3273</v>
      </c>
      <c r="V7" s="2" t="s">
        <v>3272</v>
      </c>
    </row>
    <row r="8" spans="1:23" x14ac:dyDescent="0.3">
      <c r="A8" t="s">
        <v>693</v>
      </c>
      <c r="C8" t="s">
        <v>65</v>
      </c>
      <c r="D8" t="s">
        <v>3271</v>
      </c>
      <c r="G8" t="s">
        <v>241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Q8" t="s">
        <v>3268</v>
      </c>
      <c r="V8" s="2" t="s">
        <v>3267</v>
      </c>
    </row>
    <row r="9" spans="1:23" x14ac:dyDescent="0.3">
      <c r="A9" t="s">
        <v>3266</v>
      </c>
      <c r="C9" t="s">
        <v>60</v>
      </c>
      <c r="D9" t="s">
        <v>3265</v>
      </c>
      <c r="G9" t="s">
        <v>241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Q9" t="s">
        <v>3261</v>
      </c>
      <c r="V9" s="2" t="s">
        <v>3260</v>
      </c>
    </row>
    <row r="10" spans="1:23" x14ac:dyDescent="0.3">
      <c r="A10" t="s">
        <v>3259</v>
      </c>
      <c r="C10" t="s">
        <v>62</v>
      </c>
      <c r="D10" t="s">
        <v>3258</v>
      </c>
      <c r="G10" t="s">
        <v>241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Q10" t="s">
        <v>3254</v>
      </c>
      <c r="V10" s="2" t="s">
        <v>3253</v>
      </c>
    </row>
    <row r="11" spans="1:23" x14ac:dyDescent="0.3">
      <c r="A11" t="s">
        <v>3252</v>
      </c>
      <c r="C11" t="s">
        <v>266</v>
      </c>
      <c r="D11" t="s">
        <v>3251</v>
      </c>
      <c r="G11" t="s">
        <v>264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Q11" t="s">
        <v>3248</v>
      </c>
      <c r="V11" s="2" t="s">
        <v>3247</v>
      </c>
    </row>
    <row r="12" spans="1:23" x14ac:dyDescent="0.3">
      <c r="A12" t="s">
        <v>1902</v>
      </c>
      <c r="C12" t="s">
        <v>69</v>
      </c>
      <c r="D12" t="s">
        <v>1183</v>
      </c>
      <c r="G12" t="s">
        <v>241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Q12" t="s">
        <v>3243</v>
      </c>
      <c r="V12" s="2" t="s">
        <v>3242</v>
      </c>
    </row>
    <row r="13" spans="1:23" x14ac:dyDescent="0.3">
      <c r="A13" t="s">
        <v>3241</v>
      </c>
      <c r="C13" t="s">
        <v>70</v>
      </c>
      <c r="D13" t="s">
        <v>3240</v>
      </c>
      <c r="G13" t="s">
        <v>241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Q13" t="s">
        <v>3237</v>
      </c>
      <c r="V13" s="2" t="s">
        <v>3236</v>
      </c>
    </row>
    <row r="14" spans="1:23" x14ac:dyDescent="0.3">
      <c r="A14" t="s">
        <v>3235</v>
      </c>
      <c r="C14" t="s">
        <v>243</v>
      </c>
      <c r="D14" t="s">
        <v>3234</v>
      </c>
      <c r="G14" t="s">
        <v>241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Q14" t="s">
        <v>3231</v>
      </c>
      <c r="V14" s="2" t="s">
        <v>3230</v>
      </c>
    </row>
    <row r="15" spans="1:23" x14ac:dyDescent="0.3">
      <c r="A15" t="s">
        <v>464</v>
      </c>
      <c r="C15" t="s">
        <v>72</v>
      </c>
      <c r="D15" t="s">
        <v>1043</v>
      </c>
      <c r="G15" t="s">
        <v>241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Q15" t="s">
        <v>3226</v>
      </c>
      <c r="V15" s="2" t="s">
        <v>3225</v>
      </c>
    </row>
    <row r="16" spans="1:23" x14ac:dyDescent="0.3">
      <c r="A16" t="s">
        <v>1283</v>
      </c>
      <c r="C16" t="s">
        <v>1051</v>
      </c>
      <c r="D16" t="s">
        <v>3224</v>
      </c>
      <c r="G16" t="s">
        <v>241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Q16" t="s">
        <v>3220</v>
      </c>
      <c r="V16" s="2" t="s">
        <v>3219</v>
      </c>
    </row>
    <row r="17" spans="1:22" x14ac:dyDescent="0.3">
      <c r="A17" t="s">
        <v>855</v>
      </c>
      <c r="C17" t="s">
        <v>266</v>
      </c>
      <c r="D17" t="s">
        <v>2417</v>
      </c>
      <c r="G17" t="s">
        <v>264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Q17" t="s">
        <v>3215</v>
      </c>
      <c r="V17" s="2" t="s">
        <v>3214</v>
      </c>
    </row>
    <row r="18" spans="1:22" x14ac:dyDescent="0.3">
      <c r="A18" t="s">
        <v>258</v>
      </c>
      <c r="C18" t="s">
        <v>75</v>
      </c>
      <c r="D18" t="s">
        <v>3213</v>
      </c>
      <c r="G18" t="s">
        <v>241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Q18" t="s">
        <v>3209</v>
      </c>
      <c r="V18" s="2" t="s">
        <v>3208</v>
      </c>
    </row>
    <row r="19" spans="1:22" x14ac:dyDescent="0.3">
      <c r="A19" t="s">
        <v>3207</v>
      </c>
      <c r="C19" t="s">
        <v>56</v>
      </c>
      <c r="D19" t="s">
        <v>3206</v>
      </c>
      <c r="G19" t="s">
        <v>241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Q19" t="s">
        <v>3202</v>
      </c>
      <c r="V19" s="2" t="s">
        <v>3201</v>
      </c>
    </row>
    <row r="20" spans="1:22" x14ac:dyDescent="0.3">
      <c r="A20" t="s">
        <v>1177</v>
      </c>
      <c r="C20" t="s">
        <v>77</v>
      </c>
      <c r="D20" t="s">
        <v>3200</v>
      </c>
      <c r="G20" t="s">
        <v>241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Q20" t="s">
        <v>3197</v>
      </c>
      <c r="V20" s="2" t="s">
        <v>3196</v>
      </c>
    </row>
    <row r="21" spans="1:22" x14ac:dyDescent="0.3">
      <c r="A21" t="s">
        <v>563</v>
      </c>
      <c r="C21" t="s">
        <v>77</v>
      </c>
      <c r="D21" t="s">
        <v>3195</v>
      </c>
      <c r="G21" t="s">
        <v>264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Q21" t="s">
        <v>3192</v>
      </c>
      <c r="V21" s="2" t="s">
        <v>3191</v>
      </c>
    </row>
    <row r="22" spans="1:22" x14ac:dyDescent="0.3">
      <c r="A22" t="s">
        <v>3190</v>
      </c>
      <c r="C22" t="s">
        <v>56</v>
      </c>
      <c r="D22" t="s">
        <v>3189</v>
      </c>
      <c r="G22" t="s">
        <v>241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Q22" t="s">
        <v>3185</v>
      </c>
      <c r="V22" s="2" t="s">
        <v>3184</v>
      </c>
    </row>
    <row r="23" spans="1:22" x14ac:dyDescent="0.3">
      <c r="A23" t="s">
        <v>430</v>
      </c>
      <c r="C23" t="s">
        <v>243</v>
      </c>
      <c r="D23" t="s">
        <v>3183</v>
      </c>
      <c r="G23" t="s">
        <v>264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Q23" t="s">
        <v>3179</v>
      </c>
      <c r="V23" s="2" t="s">
        <v>3178</v>
      </c>
    </row>
    <row r="24" spans="1:22" x14ac:dyDescent="0.3">
      <c r="A24" t="s">
        <v>1633</v>
      </c>
      <c r="C24" t="s">
        <v>81</v>
      </c>
      <c r="D24" t="s">
        <v>3177</v>
      </c>
      <c r="G24" t="s">
        <v>241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Q24" t="s">
        <v>3173</v>
      </c>
      <c r="V24" s="2" t="s">
        <v>3172</v>
      </c>
    </row>
    <row r="25" spans="1:22" x14ac:dyDescent="0.3">
      <c r="A25" t="s">
        <v>815</v>
      </c>
      <c r="C25" t="s">
        <v>60</v>
      </c>
      <c r="D25" t="s">
        <v>3171</v>
      </c>
      <c r="G25" t="s">
        <v>264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Q25" t="s">
        <v>3167</v>
      </c>
      <c r="V25" s="2" t="s">
        <v>3166</v>
      </c>
    </row>
    <row r="26" spans="1:22" x14ac:dyDescent="0.3">
      <c r="A26" t="s">
        <v>3165</v>
      </c>
      <c r="C26" t="s">
        <v>243</v>
      </c>
      <c r="D26" t="s">
        <v>3164</v>
      </c>
      <c r="G26" t="s">
        <v>241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Q26" t="s">
        <v>3161</v>
      </c>
      <c r="V26" s="2" t="s">
        <v>3160</v>
      </c>
    </row>
    <row r="27" spans="1:22" x14ac:dyDescent="0.3">
      <c r="A27" t="s">
        <v>2792</v>
      </c>
      <c r="C27" t="s">
        <v>60</v>
      </c>
      <c r="D27" t="s">
        <v>335</v>
      </c>
      <c r="G27" t="s">
        <v>241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Q27" t="s">
        <v>3156</v>
      </c>
      <c r="V27" s="2" t="s">
        <v>3155</v>
      </c>
    </row>
    <row r="28" spans="1:22" x14ac:dyDescent="0.3">
      <c r="A28" t="s">
        <v>3154</v>
      </c>
      <c r="C28" t="s">
        <v>62</v>
      </c>
      <c r="D28" t="s">
        <v>3153</v>
      </c>
      <c r="G28" t="s">
        <v>264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Q28" t="s">
        <v>3150</v>
      </c>
      <c r="V28" s="2" t="s">
        <v>3149</v>
      </c>
    </row>
    <row r="29" spans="1:22" x14ac:dyDescent="0.3">
      <c r="A29" t="s">
        <v>756</v>
      </c>
      <c r="C29" t="s">
        <v>3148</v>
      </c>
      <c r="D29" t="s">
        <v>3147</v>
      </c>
      <c r="G29" t="s">
        <v>264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Q29" t="s">
        <v>3143</v>
      </c>
      <c r="V29" s="2" t="s">
        <v>3142</v>
      </c>
    </row>
    <row r="30" spans="1:22" x14ac:dyDescent="0.3">
      <c r="A30" t="s">
        <v>449</v>
      </c>
      <c r="C30" t="s">
        <v>463</v>
      </c>
      <c r="D30" t="s">
        <v>3141</v>
      </c>
      <c r="G30" t="s">
        <v>241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Q30" t="s">
        <v>3138</v>
      </c>
      <c r="V30" s="2" t="s">
        <v>3137</v>
      </c>
    </row>
    <row r="31" spans="1:22" x14ac:dyDescent="0.3">
      <c r="A31" t="s">
        <v>2216</v>
      </c>
      <c r="C31" t="s">
        <v>1011</v>
      </c>
      <c r="D31" t="s">
        <v>3136</v>
      </c>
      <c r="G31" t="s">
        <v>241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Q31" t="s">
        <v>3133</v>
      </c>
      <c r="V31" s="2" t="s">
        <v>3132</v>
      </c>
    </row>
    <row r="32" spans="1:22" x14ac:dyDescent="0.3">
      <c r="A32" t="s">
        <v>3131</v>
      </c>
      <c r="C32" t="s">
        <v>243</v>
      </c>
      <c r="D32" t="s">
        <v>3130</v>
      </c>
      <c r="G32" t="s">
        <v>241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Q32" t="s">
        <v>3127</v>
      </c>
      <c r="V32" s="2" t="s">
        <v>3126</v>
      </c>
    </row>
    <row r="33" spans="1:22" x14ac:dyDescent="0.3">
      <c r="A33" t="s">
        <v>3125</v>
      </c>
      <c r="C33" t="s">
        <v>77</v>
      </c>
      <c r="D33" t="s">
        <v>3124</v>
      </c>
      <c r="G33" t="s">
        <v>264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Q33" t="s">
        <v>3121</v>
      </c>
      <c r="V33" s="2" t="s">
        <v>3120</v>
      </c>
    </row>
    <row r="34" spans="1:22" x14ac:dyDescent="0.3">
      <c r="A34" t="s">
        <v>3119</v>
      </c>
      <c r="C34" t="s">
        <v>77</v>
      </c>
      <c r="D34" t="s">
        <v>3118</v>
      </c>
      <c r="G34" t="s">
        <v>241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Q34" t="s">
        <v>3115</v>
      </c>
      <c r="V34" s="2" t="s">
        <v>3114</v>
      </c>
    </row>
    <row r="35" spans="1:22" x14ac:dyDescent="0.3">
      <c r="A35" t="s">
        <v>867</v>
      </c>
      <c r="C35" t="s">
        <v>361</v>
      </c>
      <c r="D35" t="s">
        <v>3113</v>
      </c>
      <c r="G35" t="s">
        <v>241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Q35" t="s">
        <v>3110</v>
      </c>
      <c r="V35" s="2" t="s">
        <v>3109</v>
      </c>
    </row>
    <row r="36" spans="1:22" x14ac:dyDescent="0.3">
      <c r="A36" t="s">
        <v>3108</v>
      </c>
      <c r="C36" t="s">
        <v>243</v>
      </c>
      <c r="D36" t="s">
        <v>3107</v>
      </c>
      <c r="G36" t="s">
        <v>241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Q36" t="s">
        <v>3104</v>
      </c>
      <c r="V36" s="2" t="s">
        <v>3103</v>
      </c>
    </row>
    <row r="37" spans="1:22" x14ac:dyDescent="0.3">
      <c r="A37" t="s">
        <v>3102</v>
      </c>
      <c r="C37" t="s">
        <v>56</v>
      </c>
      <c r="D37" t="s">
        <v>3101</v>
      </c>
      <c r="G37" t="s">
        <v>241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Q37" t="s">
        <v>3098</v>
      </c>
      <c r="V37" s="2" t="s">
        <v>3097</v>
      </c>
    </row>
    <row r="38" spans="1:22" x14ac:dyDescent="0.3">
      <c r="A38" t="s">
        <v>2058</v>
      </c>
      <c r="C38" t="s">
        <v>72</v>
      </c>
      <c r="D38" t="s">
        <v>3096</v>
      </c>
      <c r="G38" t="s">
        <v>264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Q38" t="s">
        <v>3093</v>
      </c>
      <c r="V38" s="2" t="s">
        <v>3092</v>
      </c>
    </row>
    <row r="39" spans="1:22" x14ac:dyDescent="0.3">
      <c r="A39" t="s">
        <v>3091</v>
      </c>
      <c r="C39" t="s">
        <v>81</v>
      </c>
      <c r="D39" t="s">
        <v>1725</v>
      </c>
      <c r="G39" t="s">
        <v>241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Q39" t="s">
        <v>3087</v>
      </c>
      <c r="V39" s="2" t="s">
        <v>3086</v>
      </c>
    </row>
    <row r="40" spans="1:22" x14ac:dyDescent="0.3">
      <c r="A40" t="s">
        <v>668</v>
      </c>
      <c r="C40" t="s">
        <v>62</v>
      </c>
      <c r="D40" t="s">
        <v>3085</v>
      </c>
      <c r="G40" t="s">
        <v>264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Q40" t="s">
        <v>3081</v>
      </c>
      <c r="V40" s="2" t="s">
        <v>3080</v>
      </c>
    </row>
    <row r="41" spans="1:22" x14ac:dyDescent="0.3">
      <c r="A41" t="s">
        <v>1424</v>
      </c>
      <c r="C41" t="s">
        <v>91</v>
      </c>
      <c r="D41" t="s">
        <v>1430</v>
      </c>
      <c r="G41" t="s">
        <v>264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Q41" t="s">
        <v>3077</v>
      </c>
      <c r="V41" s="2" t="s">
        <v>3076</v>
      </c>
    </row>
    <row r="42" spans="1:22" x14ac:dyDescent="0.3">
      <c r="A42" t="s">
        <v>930</v>
      </c>
      <c r="C42" t="s">
        <v>91</v>
      </c>
      <c r="D42" t="s">
        <v>3075</v>
      </c>
      <c r="G42" t="s">
        <v>264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Q42" t="s">
        <v>3072</v>
      </c>
      <c r="V42" s="2" t="s">
        <v>3071</v>
      </c>
    </row>
    <row r="43" spans="1:22" x14ac:dyDescent="0.3">
      <c r="A43" t="s">
        <v>1374</v>
      </c>
      <c r="C43" t="s">
        <v>56</v>
      </c>
      <c r="D43" t="s">
        <v>3070</v>
      </c>
      <c r="G43" t="s">
        <v>241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Q43" t="s">
        <v>3067</v>
      </c>
      <c r="V43" s="2" t="s">
        <v>3066</v>
      </c>
    </row>
    <row r="44" spans="1:22" x14ac:dyDescent="0.3">
      <c r="A44" t="s">
        <v>3065</v>
      </c>
      <c r="C44" t="s">
        <v>93</v>
      </c>
      <c r="D44" t="s">
        <v>448</v>
      </c>
      <c r="G44" t="s">
        <v>264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Q44" t="s">
        <v>3061</v>
      </c>
      <c r="V44" s="2" t="s">
        <v>3060</v>
      </c>
    </row>
    <row r="45" spans="1:22" x14ac:dyDescent="0.3">
      <c r="A45" t="s">
        <v>411</v>
      </c>
      <c r="C45" t="s">
        <v>70</v>
      </c>
      <c r="D45" t="s">
        <v>3059</v>
      </c>
      <c r="G45" t="s">
        <v>264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Q45" t="s">
        <v>3055</v>
      </c>
      <c r="V45" s="2" t="s">
        <v>3054</v>
      </c>
    </row>
    <row r="46" spans="1:22" x14ac:dyDescent="0.3">
      <c r="A46" t="s">
        <v>1595</v>
      </c>
      <c r="C46" t="s">
        <v>56</v>
      </c>
      <c r="D46" t="s">
        <v>3053</v>
      </c>
      <c r="G46" t="s">
        <v>241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Q46" t="s">
        <v>3050</v>
      </c>
      <c r="V46" s="2" t="s">
        <v>3049</v>
      </c>
    </row>
    <row r="47" spans="1:22" x14ac:dyDescent="0.3">
      <c r="A47" t="s">
        <v>2216</v>
      </c>
      <c r="C47" t="s">
        <v>77</v>
      </c>
      <c r="D47" t="s">
        <v>3048</v>
      </c>
      <c r="G47" t="s">
        <v>241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Q47" t="s">
        <v>3044</v>
      </c>
      <c r="V47" s="2" t="s">
        <v>3043</v>
      </c>
    </row>
    <row r="48" spans="1:22" x14ac:dyDescent="0.3">
      <c r="A48" t="s">
        <v>3042</v>
      </c>
      <c r="C48" t="s">
        <v>62</v>
      </c>
      <c r="D48" t="s">
        <v>2609</v>
      </c>
      <c r="G48" t="s">
        <v>241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Q48" t="s">
        <v>3039</v>
      </c>
      <c r="V48" s="2" t="s">
        <v>3038</v>
      </c>
    </row>
    <row r="49" spans="1:22" x14ac:dyDescent="0.3">
      <c r="A49" t="s">
        <v>3037</v>
      </c>
      <c r="C49" t="s">
        <v>60</v>
      </c>
      <c r="D49" t="s">
        <v>3036</v>
      </c>
      <c r="G49" t="s">
        <v>241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Q49" t="s">
        <v>3033</v>
      </c>
      <c r="V49" s="2" t="s">
        <v>3032</v>
      </c>
    </row>
    <row r="50" spans="1:22" x14ac:dyDescent="0.3">
      <c r="A50" t="s">
        <v>3031</v>
      </c>
      <c r="C50" t="s">
        <v>75</v>
      </c>
      <c r="D50" t="s">
        <v>3030</v>
      </c>
      <c r="G50" t="s">
        <v>241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Q50" t="s">
        <v>3027</v>
      </c>
      <c r="V50" s="2" t="s">
        <v>3026</v>
      </c>
    </row>
    <row r="51" spans="1:22" x14ac:dyDescent="0.3">
      <c r="A51" t="s">
        <v>3025</v>
      </c>
      <c r="C51" t="s">
        <v>81</v>
      </c>
      <c r="D51" t="s">
        <v>1677</v>
      </c>
      <c r="G51" t="s">
        <v>241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Q51" t="s">
        <v>3022</v>
      </c>
      <c r="V51" s="2" t="s">
        <v>3021</v>
      </c>
    </row>
    <row r="52" spans="1:22" x14ac:dyDescent="0.3">
      <c r="A52" t="s">
        <v>3020</v>
      </c>
      <c r="C52" t="s">
        <v>56</v>
      </c>
      <c r="D52" t="s">
        <v>1975</v>
      </c>
      <c r="G52" t="s">
        <v>241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Q52" t="s">
        <v>3016</v>
      </c>
      <c r="V52" s="2" t="s">
        <v>3015</v>
      </c>
    </row>
    <row r="53" spans="1:22" x14ac:dyDescent="0.3">
      <c r="A53" t="s">
        <v>258</v>
      </c>
      <c r="C53" t="s">
        <v>70</v>
      </c>
      <c r="D53" t="s">
        <v>3014</v>
      </c>
      <c r="G53" t="s">
        <v>241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Q53" t="s">
        <v>3010</v>
      </c>
      <c r="V53" s="2" t="s">
        <v>3009</v>
      </c>
    </row>
    <row r="54" spans="1:22" x14ac:dyDescent="0.3">
      <c r="A54" t="s">
        <v>794</v>
      </c>
      <c r="C54" t="s">
        <v>75</v>
      </c>
      <c r="D54" t="s">
        <v>368</v>
      </c>
      <c r="G54" t="s">
        <v>264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Q54" t="s">
        <v>3006</v>
      </c>
      <c r="V54" s="2" t="s">
        <v>3005</v>
      </c>
    </row>
    <row r="55" spans="1:22" x14ac:dyDescent="0.3">
      <c r="A55" t="s">
        <v>3004</v>
      </c>
      <c r="C55" t="s">
        <v>243</v>
      </c>
      <c r="D55" t="s">
        <v>3003</v>
      </c>
      <c r="G55" t="s">
        <v>241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Q55" t="s">
        <v>3000</v>
      </c>
      <c r="V55" s="2" t="s">
        <v>2999</v>
      </c>
    </row>
    <row r="56" spans="1:22" x14ac:dyDescent="0.3">
      <c r="A56" t="s">
        <v>2998</v>
      </c>
      <c r="C56" t="s">
        <v>266</v>
      </c>
      <c r="D56" t="s">
        <v>2997</v>
      </c>
      <c r="G56" t="s">
        <v>241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Q56" t="s">
        <v>2993</v>
      </c>
      <c r="V56" s="2" t="s">
        <v>2992</v>
      </c>
    </row>
    <row r="57" spans="1:22" x14ac:dyDescent="0.3">
      <c r="A57" t="s">
        <v>2991</v>
      </c>
      <c r="C57" t="s">
        <v>60</v>
      </c>
      <c r="D57" t="s">
        <v>2990</v>
      </c>
      <c r="G57" t="s">
        <v>241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Q57" t="s">
        <v>2987</v>
      </c>
      <c r="V57" s="2" t="s">
        <v>2986</v>
      </c>
    </row>
    <row r="58" spans="1:22" x14ac:dyDescent="0.3">
      <c r="A58" t="s">
        <v>649</v>
      </c>
      <c r="C58" t="s">
        <v>65</v>
      </c>
      <c r="D58" t="s">
        <v>2985</v>
      </c>
      <c r="G58" t="s">
        <v>241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Q58" t="s">
        <v>2982</v>
      </c>
      <c r="V58" s="2" t="s">
        <v>2981</v>
      </c>
    </row>
    <row r="59" spans="1:22" x14ac:dyDescent="0.3">
      <c r="A59" t="s">
        <v>2980</v>
      </c>
      <c r="C59" t="s">
        <v>81</v>
      </c>
      <c r="D59" t="s">
        <v>2979</v>
      </c>
      <c r="G59" t="s">
        <v>264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Q59" t="s">
        <v>2975</v>
      </c>
      <c r="V59" s="2" t="s">
        <v>2974</v>
      </c>
    </row>
    <row r="60" spans="1:22" x14ac:dyDescent="0.3">
      <c r="A60" t="s">
        <v>369</v>
      </c>
      <c r="C60" t="s">
        <v>77</v>
      </c>
      <c r="D60" t="s">
        <v>2973</v>
      </c>
      <c r="G60" t="s">
        <v>264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Q60" t="s">
        <v>2970</v>
      </c>
      <c r="V60" s="2" t="s">
        <v>2969</v>
      </c>
    </row>
    <row r="61" spans="1:22" x14ac:dyDescent="0.3">
      <c r="A61" t="s">
        <v>2838</v>
      </c>
      <c r="C61" t="s">
        <v>56</v>
      </c>
      <c r="D61" t="s">
        <v>354</v>
      </c>
      <c r="G61" t="s">
        <v>264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Q61" t="s">
        <v>2965</v>
      </c>
      <c r="V61" s="2" t="s">
        <v>2964</v>
      </c>
    </row>
    <row r="62" spans="1:22" x14ac:dyDescent="0.3">
      <c r="A62" t="s">
        <v>2963</v>
      </c>
      <c r="C62" t="s">
        <v>243</v>
      </c>
      <c r="D62" t="s">
        <v>2962</v>
      </c>
      <c r="G62" t="s">
        <v>264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Q62" t="s">
        <v>2958</v>
      </c>
      <c r="V62" s="2" t="s">
        <v>2957</v>
      </c>
    </row>
    <row r="63" spans="1:22" x14ac:dyDescent="0.3">
      <c r="A63" t="s">
        <v>2956</v>
      </c>
      <c r="C63" t="s">
        <v>91</v>
      </c>
      <c r="D63" t="s">
        <v>1050</v>
      </c>
      <c r="G63" t="s">
        <v>241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Q63" t="s">
        <v>2952</v>
      </c>
      <c r="V63" s="2" t="s">
        <v>2951</v>
      </c>
    </row>
    <row r="64" spans="1:22" x14ac:dyDescent="0.3">
      <c r="A64" t="s">
        <v>2950</v>
      </c>
      <c r="C64" t="s">
        <v>60</v>
      </c>
      <c r="D64" t="s">
        <v>335</v>
      </c>
      <c r="G64" t="s">
        <v>264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Q64" t="s">
        <v>2947</v>
      </c>
      <c r="V64" s="2" t="s">
        <v>2946</v>
      </c>
    </row>
    <row r="65" spans="1:22" x14ac:dyDescent="0.3">
      <c r="A65" t="s">
        <v>2216</v>
      </c>
      <c r="C65" t="s">
        <v>77</v>
      </c>
      <c r="D65" t="s">
        <v>1843</v>
      </c>
      <c r="G65" t="s">
        <v>241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Q65" t="s">
        <v>2942</v>
      </c>
      <c r="V65" s="2" t="s">
        <v>2941</v>
      </c>
    </row>
    <row r="66" spans="1:22" x14ac:dyDescent="0.3">
      <c r="A66" t="s">
        <v>756</v>
      </c>
      <c r="C66" t="s">
        <v>65</v>
      </c>
      <c r="D66" t="s">
        <v>732</v>
      </c>
      <c r="G66" t="s">
        <v>264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Q66" t="s">
        <v>2937</v>
      </c>
      <c r="V66" s="2" t="s">
        <v>2936</v>
      </c>
    </row>
    <row r="67" spans="1:22" x14ac:dyDescent="0.3">
      <c r="A67" t="s">
        <v>2935</v>
      </c>
      <c r="C67" t="s">
        <v>60</v>
      </c>
      <c r="D67" t="s">
        <v>2934</v>
      </c>
      <c r="G67" t="s">
        <v>264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Q67" t="s">
        <v>2931</v>
      </c>
      <c r="V67" s="2" t="s">
        <v>2930</v>
      </c>
    </row>
    <row r="68" spans="1:22" x14ac:dyDescent="0.3">
      <c r="A68" t="s">
        <v>523</v>
      </c>
      <c r="C68" t="s">
        <v>243</v>
      </c>
      <c r="D68" t="s">
        <v>2929</v>
      </c>
      <c r="G68" t="s">
        <v>264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Q68" t="s">
        <v>2925</v>
      </c>
      <c r="V68" s="2" t="s">
        <v>2924</v>
      </c>
    </row>
    <row r="69" spans="1:22" x14ac:dyDescent="0.3">
      <c r="A69" t="s">
        <v>2923</v>
      </c>
      <c r="C69" t="s">
        <v>361</v>
      </c>
      <c r="D69" t="s">
        <v>455</v>
      </c>
      <c r="G69" t="s">
        <v>241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Q69" t="s">
        <v>2919</v>
      </c>
      <c r="V69" s="2" t="s">
        <v>2918</v>
      </c>
    </row>
    <row r="70" spans="1:22" x14ac:dyDescent="0.3">
      <c r="A70" t="s">
        <v>2917</v>
      </c>
      <c r="C70" t="s">
        <v>243</v>
      </c>
      <c r="D70" t="s">
        <v>2916</v>
      </c>
      <c r="G70" t="s">
        <v>241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Q70" t="s">
        <v>2913</v>
      </c>
      <c r="V70" s="2" t="s">
        <v>2912</v>
      </c>
    </row>
    <row r="71" spans="1:22" x14ac:dyDescent="0.3">
      <c r="A71" t="s">
        <v>1543</v>
      </c>
      <c r="C71" t="s">
        <v>62</v>
      </c>
      <c r="D71" t="s">
        <v>2911</v>
      </c>
      <c r="G71" t="s">
        <v>241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Q71" t="s">
        <v>2907</v>
      </c>
      <c r="V71" s="2" t="s">
        <v>2906</v>
      </c>
    </row>
    <row r="72" spans="1:22" x14ac:dyDescent="0.3">
      <c r="A72" t="s">
        <v>2905</v>
      </c>
      <c r="C72" t="s">
        <v>62</v>
      </c>
      <c r="D72" t="s">
        <v>2904</v>
      </c>
      <c r="G72" t="s">
        <v>241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Q72" t="s">
        <v>2900</v>
      </c>
      <c r="V72" s="2" t="s">
        <v>2899</v>
      </c>
    </row>
    <row r="73" spans="1:22" x14ac:dyDescent="0.3">
      <c r="A73" t="s">
        <v>2898</v>
      </c>
      <c r="C73" t="s">
        <v>65</v>
      </c>
      <c r="D73" t="s">
        <v>335</v>
      </c>
      <c r="G73" t="s">
        <v>264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Q73" t="s">
        <v>2895</v>
      </c>
      <c r="V73" s="2" t="s">
        <v>2894</v>
      </c>
    </row>
    <row r="74" spans="1:22" x14ac:dyDescent="0.3">
      <c r="A74" t="s">
        <v>2117</v>
      </c>
      <c r="C74" t="s">
        <v>56</v>
      </c>
      <c r="D74" t="s">
        <v>2893</v>
      </c>
      <c r="G74" t="s">
        <v>264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Q74" t="s">
        <v>2890</v>
      </c>
      <c r="V74" s="2" t="s">
        <v>2889</v>
      </c>
    </row>
    <row r="75" spans="1:22" x14ac:dyDescent="0.3">
      <c r="A75" t="s">
        <v>2888</v>
      </c>
      <c r="C75" t="s">
        <v>243</v>
      </c>
      <c r="D75" t="s">
        <v>2887</v>
      </c>
      <c r="G75" t="s">
        <v>241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Q75" t="s">
        <v>2884</v>
      </c>
      <c r="V75" s="2" t="s">
        <v>2883</v>
      </c>
    </row>
    <row r="76" spans="1:22" x14ac:dyDescent="0.3">
      <c r="A76" t="s">
        <v>2882</v>
      </c>
      <c r="C76" t="s">
        <v>77</v>
      </c>
      <c r="D76" t="s">
        <v>2881</v>
      </c>
      <c r="G76" t="s">
        <v>241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Q76" t="s">
        <v>2878</v>
      </c>
      <c r="V76" s="2" t="s">
        <v>2877</v>
      </c>
    </row>
    <row r="77" spans="1:22" x14ac:dyDescent="0.3">
      <c r="A77" t="s">
        <v>1374</v>
      </c>
      <c r="C77" t="s">
        <v>91</v>
      </c>
      <c r="D77" t="s">
        <v>2876</v>
      </c>
      <c r="G77" t="s">
        <v>241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Q77" t="s">
        <v>2872</v>
      </c>
      <c r="V77" s="2" t="s">
        <v>2871</v>
      </c>
    </row>
    <row r="78" spans="1:22" x14ac:dyDescent="0.3">
      <c r="A78" t="s">
        <v>563</v>
      </c>
      <c r="C78" t="s">
        <v>60</v>
      </c>
      <c r="D78" t="s">
        <v>2550</v>
      </c>
      <c r="G78" t="s">
        <v>264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Q78" t="s">
        <v>2868</v>
      </c>
      <c r="V78" s="2" t="s">
        <v>2867</v>
      </c>
    </row>
    <row r="79" spans="1:22" x14ac:dyDescent="0.3">
      <c r="A79" t="s">
        <v>815</v>
      </c>
      <c r="C79" t="s">
        <v>60</v>
      </c>
      <c r="D79" t="s">
        <v>2866</v>
      </c>
      <c r="G79" t="s">
        <v>264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Q79" t="s">
        <v>2862</v>
      </c>
      <c r="V79" s="2" t="s">
        <v>2861</v>
      </c>
    </row>
    <row r="80" spans="1:22" x14ac:dyDescent="0.3">
      <c r="A80" t="s">
        <v>1354</v>
      </c>
      <c r="C80" t="s">
        <v>463</v>
      </c>
      <c r="D80" t="s">
        <v>2860</v>
      </c>
      <c r="G80" t="s">
        <v>241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Q80" t="s">
        <v>2857</v>
      </c>
      <c r="V80" s="2" t="s">
        <v>2856</v>
      </c>
    </row>
    <row r="81" spans="1:22" x14ac:dyDescent="0.3">
      <c r="A81" t="s">
        <v>498</v>
      </c>
      <c r="C81" t="s">
        <v>266</v>
      </c>
      <c r="D81" t="s">
        <v>2855</v>
      </c>
      <c r="G81" t="s">
        <v>241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Q81" t="s">
        <v>2851</v>
      </c>
      <c r="V81" s="2" t="s">
        <v>2850</v>
      </c>
    </row>
    <row r="82" spans="1:22" x14ac:dyDescent="0.3">
      <c r="A82" t="s">
        <v>1651</v>
      </c>
      <c r="C82" t="s">
        <v>65</v>
      </c>
      <c r="D82" t="s">
        <v>2849</v>
      </c>
      <c r="G82" t="s">
        <v>264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Q82" t="s">
        <v>2845</v>
      </c>
      <c r="V82" s="2" t="s">
        <v>2844</v>
      </c>
    </row>
    <row r="83" spans="1:22" x14ac:dyDescent="0.3">
      <c r="A83" t="s">
        <v>756</v>
      </c>
      <c r="C83" t="s">
        <v>77</v>
      </c>
      <c r="D83" t="s">
        <v>2843</v>
      </c>
      <c r="G83" t="s">
        <v>264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Q83" t="s">
        <v>2840</v>
      </c>
      <c r="V83" s="2" t="s">
        <v>2839</v>
      </c>
    </row>
    <row r="84" spans="1:22" x14ac:dyDescent="0.3">
      <c r="A84" t="s">
        <v>2838</v>
      </c>
      <c r="C84" t="s">
        <v>81</v>
      </c>
      <c r="D84" t="s">
        <v>2837</v>
      </c>
      <c r="G84" t="s">
        <v>264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Q84" t="s">
        <v>2833</v>
      </c>
      <c r="V84" s="2" t="s">
        <v>2832</v>
      </c>
    </row>
    <row r="85" spans="1:22" x14ac:dyDescent="0.3">
      <c r="A85" t="s">
        <v>498</v>
      </c>
      <c r="C85" t="s">
        <v>91</v>
      </c>
      <c r="D85" t="s">
        <v>410</v>
      </c>
      <c r="G85" t="s">
        <v>241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Q85" t="s">
        <v>2829</v>
      </c>
      <c r="V85" s="2" t="s">
        <v>2828</v>
      </c>
    </row>
    <row r="86" spans="1:22" x14ac:dyDescent="0.3">
      <c r="A86" t="s">
        <v>2827</v>
      </c>
      <c r="C86" t="s">
        <v>1051</v>
      </c>
      <c r="D86" t="s">
        <v>2826</v>
      </c>
      <c r="G86" t="s">
        <v>241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Q86" t="s">
        <v>2822</v>
      </c>
      <c r="V86" s="2" t="s">
        <v>2821</v>
      </c>
    </row>
    <row r="87" spans="1:22" x14ac:dyDescent="0.3">
      <c r="A87" t="s">
        <v>808</v>
      </c>
      <c r="C87" t="s">
        <v>56</v>
      </c>
      <c r="D87" t="s">
        <v>2820</v>
      </c>
      <c r="G87" t="s">
        <v>264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Q87" t="s">
        <v>2817</v>
      </c>
      <c r="V87" s="2" t="s">
        <v>2816</v>
      </c>
    </row>
    <row r="88" spans="1:22" x14ac:dyDescent="0.3">
      <c r="A88" t="s">
        <v>1120</v>
      </c>
      <c r="C88" t="s">
        <v>60</v>
      </c>
      <c r="D88" t="s">
        <v>515</v>
      </c>
      <c r="G88" t="s">
        <v>264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Q88" t="s">
        <v>2813</v>
      </c>
      <c r="V88" s="2" t="s">
        <v>2812</v>
      </c>
    </row>
    <row r="89" spans="1:22" x14ac:dyDescent="0.3">
      <c r="A89" t="s">
        <v>1665</v>
      </c>
      <c r="C89" t="s">
        <v>75</v>
      </c>
      <c r="D89" t="s">
        <v>2811</v>
      </c>
      <c r="G89" t="s">
        <v>241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Q89" t="s">
        <v>2807</v>
      </c>
      <c r="V89" s="2" t="s">
        <v>2806</v>
      </c>
    </row>
    <row r="90" spans="1:22" x14ac:dyDescent="0.3">
      <c r="A90" t="s">
        <v>1157</v>
      </c>
      <c r="C90" t="s">
        <v>243</v>
      </c>
      <c r="D90" t="s">
        <v>2805</v>
      </c>
      <c r="G90" t="s">
        <v>241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Q90" t="s">
        <v>2801</v>
      </c>
      <c r="V90" s="2" t="s">
        <v>2800</v>
      </c>
    </row>
    <row r="91" spans="1:22" x14ac:dyDescent="0.3">
      <c r="A91" t="s">
        <v>2799</v>
      </c>
      <c r="C91" t="s">
        <v>60</v>
      </c>
      <c r="D91" t="s">
        <v>2798</v>
      </c>
      <c r="G91" t="s">
        <v>241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Q91" t="s">
        <v>2794</v>
      </c>
      <c r="V91" s="2" t="s">
        <v>2793</v>
      </c>
    </row>
    <row r="92" spans="1:22" x14ac:dyDescent="0.3">
      <c r="A92" t="s">
        <v>2792</v>
      </c>
      <c r="C92" t="s">
        <v>62</v>
      </c>
      <c r="D92" t="s">
        <v>2791</v>
      </c>
      <c r="G92" t="s">
        <v>241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Q92" t="s">
        <v>2787</v>
      </c>
      <c r="V92" s="2" t="s">
        <v>2786</v>
      </c>
    </row>
    <row r="93" spans="1:22" x14ac:dyDescent="0.3">
      <c r="A93" t="s">
        <v>1424</v>
      </c>
      <c r="C93" t="s">
        <v>91</v>
      </c>
      <c r="D93" t="s">
        <v>2785</v>
      </c>
      <c r="G93" t="s">
        <v>264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Q93" t="s">
        <v>2781</v>
      </c>
      <c r="V93" s="2" t="s">
        <v>2780</v>
      </c>
    </row>
    <row r="94" spans="1:22" x14ac:dyDescent="0.3">
      <c r="A94" t="s">
        <v>2779</v>
      </c>
      <c r="C94" t="s">
        <v>266</v>
      </c>
      <c r="D94" t="s">
        <v>2778</v>
      </c>
      <c r="G94" t="s">
        <v>241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Q94" t="s">
        <v>2775</v>
      </c>
      <c r="V94" s="2" t="s">
        <v>2774</v>
      </c>
    </row>
    <row r="95" spans="1:22" x14ac:dyDescent="0.3">
      <c r="A95" t="s">
        <v>2773</v>
      </c>
      <c r="C95" t="s">
        <v>62</v>
      </c>
      <c r="D95" t="s">
        <v>2772</v>
      </c>
      <c r="G95" t="s">
        <v>241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Q95" t="s">
        <v>2769</v>
      </c>
      <c r="V95" s="2" t="s">
        <v>2768</v>
      </c>
    </row>
    <row r="96" spans="1:22" x14ac:dyDescent="0.3">
      <c r="A96" t="s">
        <v>1658</v>
      </c>
      <c r="C96" t="s">
        <v>91</v>
      </c>
      <c r="D96" t="s">
        <v>2767</v>
      </c>
      <c r="G96" t="s">
        <v>264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Q96" t="s">
        <v>2763</v>
      </c>
      <c r="V96" s="2" t="s">
        <v>2762</v>
      </c>
    </row>
    <row r="97" spans="1:22" x14ac:dyDescent="0.3">
      <c r="A97" t="s">
        <v>2761</v>
      </c>
      <c r="C97" t="s">
        <v>56</v>
      </c>
      <c r="D97" t="s">
        <v>668</v>
      </c>
      <c r="G97" t="s">
        <v>241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Q97" t="s">
        <v>2757</v>
      </c>
      <c r="V97" s="2" t="s">
        <v>2756</v>
      </c>
    </row>
    <row r="98" spans="1:22" x14ac:dyDescent="0.3">
      <c r="A98" t="s">
        <v>1329</v>
      </c>
      <c r="C98" t="s">
        <v>243</v>
      </c>
      <c r="D98" t="s">
        <v>2755</v>
      </c>
      <c r="G98" t="s">
        <v>241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Q98" t="s">
        <v>2752</v>
      </c>
      <c r="V98" s="2" t="s">
        <v>2751</v>
      </c>
    </row>
    <row r="99" spans="1:22" x14ac:dyDescent="0.3">
      <c r="A99" t="s">
        <v>762</v>
      </c>
      <c r="C99" t="s">
        <v>56</v>
      </c>
      <c r="D99" t="s">
        <v>2750</v>
      </c>
      <c r="G99" t="s">
        <v>264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Q99" t="s">
        <v>2747</v>
      </c>
      <c r="V99" s="2" t="s">
        <v>2746</v>
      </c>
    </row>
    <row r="100" spans="1:22" x14ac:dyDescent="0.3">
      <c r="A100" t="s">
        <v>523</v>
      </c>
      <c r="C100" t="s">
        <v>75</v>
      </c>
      <c r="D100" t="s">
        <v>2745</v>
      </c>
      <c r="G100" t="s">
        <v>264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Q100" t="s">
        <v>2742</v>
      </c>
      <c r="V100" s="2" t="s">
        <v>2741</v>
      </c>
    </row>
    <row r="101" spans="1:22" x14ac:dyDescent="0.3">
      <c r="A101" t="s">
        <v>2740</v>
      </c>
      <c r="C101" t="s">
        <v>77</v>
      </c>
      <c r="D101" t="s">
        <v>2739</v>
      </c>
      <c r="G101" t="s">
        <v>241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Q101" t="s">
        <v>2735</v>
      </c>
      <c r="V101" s="2" t="s">
        <v>2734</v>
      </c>
    </row>
    <row r="102" spans="1:22" x14ac:dyDescent="0.3">
      <c r="A102" t="s">
        <v>2733</v>
      </c>
      <c r="C102" t="s">
        <v>361</v>
      </c>
      <c r="D102" t="s">
        <v>334</v>
      </c>
      <c r="G102" t="s">
        <v>264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Q102" t="s">
        <v>2729</v>
      </c>
      <c r="V102" s="2" t="s">
        <v>2728</v>
      </c>
    </row>
    <row r="103" spans="1:22" x14ac:dyDescent="0.3">
      <c r="A103" t="s">
        <v>563</v>
      </c>
      <c r="C103" t="s">
        <v>70</v>
      </c>
      <c r="D103" t="s">
        <v>2727</v>
      </c>
      <c r="G103" t="s">
        <v>264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Q103" t="s">
        <v>2723</v>
      </c>
      <c r="V103" s="2" t="s">
        <v>2722</v>
      </c>
    </row>
    <row r="104" spans="1:22" x14ac:dyDescent="0.3">
      <c r="A104" t="s">
        <v>369</v>
      </c>
      <c r="C104" t="s">
        <v>62</v>
      </c>
      <c r="D104" t="s">
        <v>2721</v>
      </c>
      <c r="G104" t="s">
        <v>264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Q104" t="s">
        <v>2718</v>
      </c>
      <c r="V104" s="2" t="s">
        <v>2717</v>
      </c>
    </row>
    <row r="105" spans="1:22" x14ac:dyDescent="0.3">
      <c r="A105" t="s">
        <v>1486</v>
      </c>
      <c r="C105" t="s">
        <v>266</v>
      </c>
      <c r="D105" t="s">
        <v>2405</v>
      </c>
      <c r="G105" t="s">
        <v>241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Q105" t="s">
        <v>2713</v>
      </c>
      <c r="V105" s="2" t="s">
        <v>2712</v>
      </c>
    </row>
    <row r="106" spans="1:22" x14ac:dyDescent="0.3">
      <c r="A106" t="s">
        <v>2711</v>
      </c>
      <c r="C106" t="s">
        <v>807</v>
      </c>
      <c r="D106" t="s">
        <v>1677</v>
      </c>
      <c r="G106" t="s">
        <v>264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Q106" t="s">
        <v>2707</v>
      </c>
      <c r="V106" s="2" t="s">
        <v>2706</v>
      </c>
    </row>
    <row r="107" spans="1:22" x14ac:dyDescent="0.3">
      <c r="A107" t="s">
        <v>369</v>
      </c>
      <c r="C107" t="s">
        <v>77</v>
      </c>
      <c r="D107" t="s">
        <v>2705</v>
      </c>
      <c r="G107" t="s">
        <v>264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Q107" t="s">
        <v>2701</v>
      </c>
      <c r="V107" s="2" t="s">
        <v>2700</v>
      </c>
    </row>
    <row r="108" spans="1:22" x14ac:dyDescent="0.3">
      <c r="A108" t="s">
        <v>2699</v>
      </c>
      <c r="C108" t="s">
        <v>75</v>
      </c>
      <c r="D108" t="s">
        <v>2698</v>
      </c>
      <c r="G108" t="s">
        <v>241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Q108" t="s">
        <v>2694</v>
      </c>
      <c r="V108" s="2" t="s">
        <v>2693</v>
      </c>
    </row>
    <row r="109" spans="1:22" x14ac:dyDescent="0.3">
      <c r="A109" t="s">
        <v>2692</v>
      </c>
      <c r="C109" t="s">
        <v>77</v>
      </c>
      <c r="D109" t="s">
        <v>2691</v>
      </c>
      <c r="G109" t="s">
        <v>264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Q109" t="s">
        <v>2688</v>
      </c>
      <c r="V109" s="2" t="s">
        <v>2687</v>
      </c>
    </row>
    <row r="110" spans="1:22" x14ac:dyDescent="0.3">
      <c r="A110" t="s">
        <v>288</v>
      </c>
      <c r="C110" t="s">
        <v>60</v>
      </c>
      <c r="D110" t="s">
        <v>2686</v>
      </c>
      <c r="G110" t="s">
        <v>264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Q110" t="s">
        <v>2683</v>
      </c>
      <c r="V110" s="2" t="s">
        <v>2682</v>
      </c>
    </row>
    <row r="111" spans="1:22" x14ac:dyDescent="0.3">
      <c r="A111" t="s">
        <v>2681</v>
      </c>
      <c r="C111" t="s">
        <v>75</v>
      </c>
      <c r="D111" t="s">
        <v>2680</v>
      </c>
      <c r="G111" t="s">
        <v>241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Q111" t="s">
        <v>2676</v>
      </c>
      <c r="V111" s="2" t="s">
        <v>2675</v>
      </c>
    </row>
    <row r="112" spans="1:22" x14ac:dyDescent="0.3">
      <c r="A112" t="s">
        <v>556</v>
      </c>
      <c r="C112" t="s">
        <v>266</v>
      </c>
      <c r="D112" t="s">
        <v>2674</v>
      </c>
      <c r="G112" t="s">
        <v>264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Q112" t="s">
        <v>2670</v>
      </c>
      <c r="V112" s="2" t="s">
        <v>2669</v>
      </c>
    </row>
    <row r="113" spans="1:22" x14ac:dyDescent="0.3">
      <c r="A113" t="s">
        <v>2668</v>
      </c>
      <c r="C113" t="s">
        <v>807</v>
      </c>
      <c r="D113" t="s">
        <v>2667</v>
      </c>
      <c r="G113" t="s">
        <v>264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Q113" t="s">
        <v>2663</v>
      </c>
      <c r="V113" s="2" t="s">
        <v>2662</v>
      </c>
    </row>
    <row r="114" spans="1:22" x14ac:dyDescent="0.3">
      <c r="A114" t="s">
        <v>417</v>
      </c>
      <c r="C114" t="s">
        <v>72</v>
      </c>
      <c r="D114" t="s">
        <v>2661</v>
      </c>
      <c r="G114" t="s">
        <v>264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Q114" t="s">
        <v>2658</v>
      </c>
      <c r="V114" s="2" t="s">
        <v>2657</v>
      </c>
    </row>
    <row r="115" spans="1:22" x14ac:dyDescent="0.3">
      <c r="A115" t="s">
        <v>1671</v>
      </c>
      <c r="C115" t="s">
        <v>108</v>
      </c>
      <c r="D115" t="s">
        <v>515</v>
      </c>
      <c r="G115" t="s">
        <v>264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Q115" t="s">
        <v>2654</v>
      </c>
      <c r="V115" s="2" t="s">
        <v>2653</v>
      </c>
    </row>
    <row r="116" spans="1:22" x14ac:dyDescent="0.3">
      <c r="A116" t="s">
        <v>2652</v>
      </c>
      <c r="C116" t="s">
        <v>75</v>
      </c>
      <c r="D116" t="s">
        <v>2651</v>
      </c>
      <c r="G116" t="s">
        <v>241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Q116" t="s">
        <v>2647</v>
      </c>
      <c r="V116" s="2" t="s">
        <v>2646</v>
      </c>
    </row>
    <row r="117" spans="1:22" x14ac:dyDescent="0.3">
      <c r="A117" t="s">
        <v>2645</v>
      </c>
      <c r="C117" t="s">
        <v>77</v>
      </c>
      <c r="D117" t="s">
        <v>2644</v>
      </c>
      <c r="G117" t="s">
        <v>241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Q117" t="s">
        <v>2641</v>
      </c>
      <c r="V117" s="2" t="s">
        <v>2640</v>
      </c>
    </row>
    <row r="118" spans="1:22" x14ac:dyDescent="0.3">
      <c r="A118" t="s">
        <v>1283</v>
      </c>
      <c r="C118" t="s">
        <v>56</v>
      </c>
      <c r="D118" t="s">
        <v>2639</v>
      </c>
      <c r="G118" t="s">
        <v>241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Q118" t="s">
        <v>2636</v>
      </c>
      <c r="V118" s="2" t="s">
        <v>2635</v>
      </c>
    </row>
    <row r="119" spans="1:22" x14ac:dyDescent="0.3">
      <c r="A119" t="s">
        <v>2634</v>
      </c>
      <c r="C119" t="s">
        <v>56</v>
      </c>
      <c r="D119" t="s">
        <v>2633</v>
      </c>
      <c r="G119" t="s">
        <v>241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Q119" t="s">
        <v>2629</v>
      </c>
      <c r="V119" s="2" t="s">
        <v>2628</v>
      </c>
    </row>
    <row r="120" spans="1:22" x14ac:dyDescent="0.3">
      <c r="A120" t="s">
        <v>516</v>
      </c>
      <c r="C120" t="s">
        <v>69</v>
      </c>
      <c r="D120" t="s">
        <v>2627</v>
      </c>
      <c r="G120" t="s">
        <v>241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Q120" t="s">
        <v>2624</v>
      </c>
      <c r="V120" s="2" t="s">
        <v>2623</v>
      </c>
    </row>
    <row r="121" spans="1:22" x14ac:dyDescent="0.3">
      <c r="A121" t="s">
        <v>2622</v>
      </c>
      <c r="C121" t="s">
        <v>243</v>
      </c>
      <c r="D121" t="s">
        <v>2621</v>
      </c>
      <c r="G121" t="s">
        <v>241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Q121" t="s">
        <v>2618</v>
      </c>
      <c r="V121" s="2" t="s">
        <v>2617</v>
      </c>
    </row>
    <row r="122" spans="1:22" x14ac:dyDescent="0.3">
      <c r="A122" t="s">
        <v>2616</v>
      </c>
      <c r="C122" t="s">
        <v>77</v>
      </c>
      <c r="D122" t="s">
        <v>2615</v>
      </c>
      <c r="G122" t="s">
        <v>264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Q122" t="s">
        <v>2612</v>
      </c>
      <c r="V122" s="2" t="s">
        <v>2611</v>
      </c>
    </row>
    <row r="123" spans="1:22" x14ac:dyDescent="0.3">
      <c r="A123" t="s">
        <v>2610</v>
      </c>
      <c r="C123" t="s">
        <v>243</v>
      </c>
      <c r="D123" t="s">
        <v>2609</v>
      </c>
      <c r="G123" t="s">
        <v>264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Q123" t="s">
        <v>2605</v>
      </c>
      <c r="V123" s="2" t="s">
        <v>2604</v>
      </c>
    </row>
    <row r="124" spans="1:22" x14ac:dyDescent="0.3">
      <c r="A124" t="s">
        <v>2406</v>
      </c>
      <c r="C124" t="s">
        <v>60</v>
      </c>
      <c r="D124" t="s">
        <v>2603</v>
      </c>
      <c r="G124" t="s">
        <v>264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Q124" t="s">
        <v>2599</v>
      </c>
      <c r="V124" s="2" t="s">
        <v>2598</v>
      </c>
    </row>
    <row r="125" spans="1:22" x14ac:dyDescent="0.3">
      <c r="A125" t="s">
        <v>2597</v>
      </c>
      <c r="C125" t="s">
        <v>60</v>
      </c>
      <c r="D125" t="s">
        <v>1497</v>
      </c>
      <c r="G125" t="s">
        <v>264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Q125" t="s">
        <v>2593</v>
      </c>
      <c r="V125" s="2" t="s">
        <v>2592</v>
      </c>
    </row>
    <row r="126" spans="1:22" x14ac:dyDescent="0.3">
      <c r="A126" t="s">
        <v>442</v>
      </c>
      <c r="C126" t="s">
        <v>75</v>
      </c>
      <c r="D126" t="s">
        <v>768</v>
      </c>
      <c r="G126" t="s">
        <v>264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Q126" t="s">
        <v>2588</v>
      </c>
      <c r="V126" s="2" t="s">
        <v>2587</v>
      </c>
    </row>
    <row r="127" spans="1:22" x14ac:dyDescent="0.3">
      <c r="A127" t="s">
        <v>1492</v>
      </c>
      <c r="C127" t="s">
        <v>65</v>
      </c>
      <c r="D127" t="s">
        <v>2586</v>
      </c>
      <c r="G127" t="s">
        <v>264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Q127" t="s">
        <v>2582</v>
      </c>
      <c r="V127" s="2" t="s">
        <v>2581</v>
      </c>
    </row>
    <row r="128" spans="1:22" x14ac:dyDescent="0.3">
      <c r="A128" t="s">
        <v>2580</v>
      </c>
      <c r="C128" t="s">
        <v>56</v>
      </c>
      <c r="D128" t="s">
        <v>2579</v>
      </c>
      <c r="G128" t="s">
        <v>241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Q128" t="s">
        <v>2576</v>
      </c>
      <c r="V128" s="2" t="s">
        <v>2575</v>
      </c>
    </row>
    <row r="129" spans="1:22" x14ac:dyDescent="0.3">
      <c r="A129" t="s">
        <v>2574</v>
      </c>
      <c r="C129" t="s">
        <v>56</v>
      </c>
      <c r="D129" t="s">
        <v>2573</v>
      </c>
      <c r="G129" t="s">
        <v>264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Q129" t="s">
        <v>2569</v>
      </c>
      <c r="V129" s="2" t="s">
        <v>2568</v>
      </c>
    </row>
    <row r="130" spans="1:22" x14ac:dyDescent="0.3">
      <c r="A130" t="s">
        <v>2567</v>
      </c>
      <c r="C130" t="s">
        <v>60</v>
      </c>
      <c r="D130" t="s">
        <v>1975</v>
      </c>
      <c r="G130" t="s">
        <v>241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Q130" t="s">
        <v>2563</v>
      </c>
      <c r="V130" s="2" t="s">
        <v>2562</v>
      </c>
    </row>
    <row r="131" spans="1:22" x14ac:dyDescent="0.3">
      <c r="A131" t="s">
        <v>629</v>
      </c>
      <c r="C131" t="s">
        <v>243</v>
      </c>
      <c r="D131" t="s">
        <v>2561</v>
      </c>
      <c r="G131" t="s">
        <v>264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Q131" t="s">
        <v>2558</v>
      </c>
      <c r="V131" s="2" t="s">
        <v>2557</v>
      </c>
    </row>
    <row r="132" spans="1:22" x14ac:dyDescent="0.3">
      <c r="A132" t="s">
        <v>2085</v>
      </c>
      <c r="C132" t="s">
        <v>81</v>
      </c>
      <c r="D132" t="s">
        <v>2556</v>
      </c>
      <c r="G132" t="s">
        <v>241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Q132" t="s">
        <v>2552</v>
      </c>
      <c r="V132" s="2" t="s">
        <v>2551</v>
      </c>
    </row>
    <row r="133" spans="1:22" x14ac:dyDescent="0.3">
      <c r="A133" t="s">
        <v>1707</v>
      </c>
      <c r="C133" t="s">
        <v>1011</v>
      </c>
      <c r="D133" t="s">
        <v>2550</v>
      </c>
      <c r="G133" t="s">
        <v>264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Q133" t="s">
        <v>2547</v>
      </c>
      <c r="V133" s="2" t="s">
        <v>2546</v>
      </c>
    </row>
    <row r="134" spans="1:22" x14ac:dyDescent="0.3">
      <c r="A134" t="s">
        <v>2545</v>
      </c>
      <c r="C134" t="s">
        <v>56</v>
      </c>
      <c r="D134" t="s">
        <v>2544</v>
      </c>
      <c r="G134" t="s">
        <v>241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Q134" t="s">
        <v>2540</v>
      </c>
      <c r="V134" s="2" t="s">
        <v>2539</v>
      </c>
    </row>
    <row r="135" spans="1:22" x14ac:dyDescent="0.3">
      <c r="A135" t="s">
        <v>808</v>
      </c>
      <c r="C135" t="s">
        <v>81</v>
      </c>
      <c r="D135" t="s">
        <v>2538</v>
      </c>
      <c r="G135" t="s">
        <v>264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Q135" t="s">
        <v>2535</v>
      </c>
      <c r="V135" s="2" t="s">
        <v>2534</v>
      </c>
    </row>
    <row r="136" spans="1:22" x14ac:dyDescent="0.3">
      <c r="A136" t="s">
        <v>668</v>
      </c>
      <c r="C136" t="s">
        <v>62</v>
      </c>
      <c r="D136" t="s">
        <v>2533</v>
      </c>
      <c r="G136" t="s">
        <v>264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Q136" t="s">
        <v>2529</v>
      </c>
      <c r="V136" s="2" t="s">
        <v>2528</v>
      </c>
    </row>
    <row r="137" spans="1:22" x14ac:dyDescent="0.3">
      <c r="A137" t="s">
        <v>2527</v>
      </c>
      <c r="C137" t="s">
        <v>77</v>
      </c>
      <c r="D137" t="s">
        <v>2526</v>
      </c>
      <c r="G137" t="s">
        <v>241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Q137" t="s">
        <v>2522</v>
      </c>
      <c r="V137" s="2" t="s">
        <v>2521</v>
      </c>
    </row>
    <row r="138" spans="1:22" x14ac:dyDescent="0.3">
      <c r="A138" t="s">
        <v>2520</v>
      </c>
      <c r="C138" t="s">
        <v>75</v>
      </c>
      <c r="D138" t="s">
        <v>2519</v>
      </c>
      <c r="G138" t="s">
        <v>241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Q138" t="s">
        <v>2515</v>
      </c>
      <c r="V138" s="2" t="s">
        <v>2514</v>
      </c>
    </row>
    <row r="139" spans="1:22" x14ac:dyDescent="0.3">
      <c r="A139" t="s">
        <v>464</v>
      </c>
      <c r="C139" t="s">
        <v>243</v>
      </c>
      <c r="D139" t="s">
        <v>1163</v>
      </c>
      <c r="G139" t="s">
        <v>241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Q139" t="s">
        <v>2510</v>
      </c>
      <c r="V139" s="2" t="s">
        <v>2509</v>
      </c>
    </row>
    <row r="140" spans="1:22" x14ac:dyDescent="0.3">
      <c r="A140" t="s">
        <v>1671</v>
      </c>
      <c r="C140" t="s">
        <v>1011</v>
      </c>
      <c r="D140" t="s">
        <v>2508</v>
      </c>
      <c r="G140" t="s">
        <v>264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Q140" t="s">
        <v>2505</v>
      </c>
      <c r="V140" s="2" t="s">
        <v>2504</v>
      </c>
    </row>
    <row r="141" spans="1:22" x14ac:dyDescent="0.3">
      <c r="A141" t="s">
        <v>563</v>
      </c>
      <c r="C141" t="s">
        <v>91</v>
      </c>
      <c r="D141" t="s">
        <v>2503</v>
      </c>
      <c r="G141" t="s">
        <v>264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Q141" t="s">
        <v>2499</v>
      </c>
      <c r="V141" s="2" t="s">
        <v>2498</v>
      </c>
    </row>
    <row r="142" spans="1:22" x14ac:dyDescent="0.3">
      <c r="A142" t="s">
        <v>2497</v>
      </c>
      <c r="C142" t="s">
        <v>60</v>
      </c>
      <c r="D142" t="s">
        <v>1297</v>
      </c>
      <c r="G142" t="s">
        <v>264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Q142" t="s">
        <v>2493</v>
      </c>
      <c r="V142" s="2" t="s">
        <v>2492</v>
      </c>
    </row>
    <row r="143" spans="1:22" x14ac:dyDescent="0.3">
      <c r="A143" t="s">
        <v>411</v>
      </c>
      <c r="C143" t="s">
        <v>77</v>
      </c>
      <c r="D143" t="s">
        <v>944</v>
      </c>
      <c r="G143" t="s">
        <v>264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Q143" t="s">
        <v>2488</v>
      </c>
      <c r="V143" s="2" t="s">
        <v>2487</v>
      </c>
    </row>
    <row r="144" spans="1:22" x14ac:dyDescent="0.3">
      <c r="A144" t="s">
        <v>2250</v>
      </c>
      <c r="C144" t="s">
        <v>93</v>
      </c>
      <c r="D144" t="s">
        <v>2486</v>
      </c>
      <c r="G144" t="s">
        <v>241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Q144" t="s">
        <v>2482</v>
      </c>
      <c r="V144" s="2" t="s">
        <v>2481</v>
      </c>
    </row>
    <row r="145" spans="1:22" x14ac:dyDescent="0.3">
      <c r="A145" t="s">
        <v>383</v>
      </c>
      <c r="C145" t="s">
        <v>65</v>
      </c>
      <c r="D145" t="s">
        <v>1087</v>
      </c>
      <c r="G145" t="s">
        <v>264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Q145" t="s">
        <v>2477</v>
      </c>
      <c r="V145" s="2" t="s">
        <v>2476</v>
      </c>
    </row>
    <row r="146" spans="1:22" x14ac:dyDescent="0.3">
      <c r="A146" t="s">
        <v>2469</v>
      </c>
      <c r="C146" t="s">
        <v>361</v>
      </c>
      <c r="D146" t="s">
        <v>1677</v>
      </c>
      <c r="G146" t="s">
        <v>264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Q146" t="s">
        <v>2472</v>
      </c>
      <c r="V146" s="2" t="s">
        <v>2471</v>
      </c>
    </row>
    <row r="147" spans="1:22" x14ac:dyDescent="0.3">
      <c r="A147" t="s">
        <v>2470</v>
      </c>
      <c r="C147" t="s">
        <v>60</v>
      </c>
      <c r="D147" t="s">
        <v>2469</v>
      </c>
      <c r="G147" t="s">
        <v>241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Q147" t="s">
        <v>2465</v>
      </c>
      <c r="V147" s="2" t="s">
        <v>2464</v>
      </c>
    </row>
    <row r="148" spans="1:22" x14ac:dyDescent="0.3">
      <c r="A148" t="s">
        <v>2463</v>
      </c>
      <c r="C148" t="s">
        <v>56</v>
      </c>
      <c r="D148" t="s">
        <v>2462</v>
      </c>
      <c r="G148" t="s">
        <v>241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Q148" t="s">
        <v>2458</v>
      </c>
      <c r="V148" s="2" t="s">
        <v>2457</v>
      </c>
    </row>
    <row r="149" spans="1:22" x14ac:dyDescent="0.3">
      <c r="A149" t="s">
        <v>2456</v>
      </c>
      <c r="C149" t="s">
        <v>77</v>
      </c>
      <c r="D149" t="s">
        <v>2455</v>
      </c>
      <c r="G149" t="s">
        <v>241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Q149" t="s">
        <v>2451</v>
      </c>
      <c r="V149" s="2" t="s">
        <v>2450</v>
      </c>
    </row>
    <row r="150" spans="1:22" x14ac:dyDescent="0.3">
      <c r="A150" t="s">
        <v>2449</v>
      </c>
      <c r="C150" t="s">
        <v>108</v>
      </c>
      <c r="D150" t="s">
        <v>2448</v>
      </c>
      <c r="G150" t="s">
        <v>241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Q150" t="s">
        <v>2444</v>
      </c>
      <c r="V150" s="2" t="s">
        <v>2443</v>
      </c>
    </row>
    <row r="151" spans="1:22" x14ac:dyDescent="0.3">
      <c r="A151" t="s">
        <v>756</v>
      </c>
      <c r="C151" t="s">
        <v>266</v>
      </c>
      <c r="D151" t="s">
        <v>2442</v>
      </c>
      <c r="G151" t="s">
        <v>264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Q151" t="s">
        <v>2439</v>
      </c>
      <c r="V151" s="2" t="s">
        <v>2438</v>
      </c>
    </row>
    <row r="152" spans="1:22" x14ac:dyDescent="0.3">
      <c r="A152" t="s">
        <v>2437</v>
      </c>
      <c r="C152" t="s">
        <v>56</v>
      </c>
      <c r="D152" t="s">
        <v>2436</v>
      </c>
      <c r="G152" t="s">
        <v>241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Q152" t="s">
        <v>2432</v>
      </c>
      <c r="V152" s="2" t="s">
        <v>2431</v>
      </c>
    </row>
    <row r="153" spans="1:22" x14ac:dyDescent="0.3">
      <c r="A153" t="s">
        <v>2270</v>
      </c>
      <c r="C153" t="s">
        <v>70</v>
      </c>
      <c r="D153" t="s">
        <v>2430</v>
      </c>
      <c r="G153" t="s">
        <v>241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Q153" t="s">
        <v>2426</v>
      </c>
      <c r="V153" s="2" t="s">
        <v>2425</v>
      </c>
    </row>
    <row r="154" spans="1:22" x14ac:dyDescent="0.3">
      <c r="A154" t="s">
        <v>2424</v>
      </c>
      <c r="C154" t="s">
        <v>56</v>
      </c>
      <c r="D154" t="s">
        <v>2423</v>
      </c>
      <c r="G154" t="s">
        <v>264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Q154" t="s">
        <v>2419</v>
      </c>
      <c r="V154" s="2" t="s">
        <v>2418</v>
      </c>
    </row>
    <row r="155" spans="1:22" x14ac:dyDescent="0.3">
      <c r="A155" t="s">
        <v>1595</v>
      </c>
      <c r="C155" t="s">
        <v>56</v>
      </c>
      <c r="D155" t="s">
        <v>2417</v>
      </c>
      <c r="G155" t="s">
        <v>241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Q155" t="s">
        <v>2413</v>
      </c>
      <c r="V155" s="2" t="s">
        <v>2412</v>
      </c>
    </row>
    <row r="156" spans="1:22" x14ac:dyDescent="0.3">
      <c r="A156" t="s">
        <v>756</v>
      </c>
      <c r="C156" t="s">
        <v>75</v>
      </c>
      <c r="D156" t="s">
        <v>873</v>
      </c>
      <c r="G156" t="s">
        <v>264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Q156" t="s">
        <v>2408</v>
      </c>
      <c r="V156" s="2" t="s">
        <v>2407</v>
      </c>
    </row>
    <row r="157" spans="1:22" x14ac:dyDescent="0.3">
      <c r="A157" t="s">
        <v>2406</v>
      </c>
      <c r="C157" t="s">
        <v>266</v>
      </c>
      <c r="D157" t="s">
        <v>2405</v>
      </c>
      <c r="G157" t="s">
        <v>264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Q157" t="s">
        <v>2401</v>
      </c>
      <c r="V157" s="2" t="s">
        <v>2400</v>
      </c>
    </row>
    <row r="158" spans="1:22" x14ac:dyDescent="0.3">
      <c r="A158" t="s">
        <v>2399</v>
      </c>
      <c r="C158" t="s">
        <v>807</v>
      </c>
      <c r="D158" t="s">
        <v>2398</v>
      </c>
      <c r="G158" t="s">
        <v>241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Q158" t="s">
        <v>2394</v>
      </c>
      <c r="V158" s="2" t="s">
        <v>2393</v>
      </c>
    </row>
    <row r="159" spans="1:22" x14ac:dyDescent="0.3">
      <c r="A159" t="s">
        <v>2286</v>
      </c>
      <c r="C159" t="s">
        <v>56</v>
      </c>
      <c r="D159" t="s">
        <v>2392</v>
      </c>
      <c r="G159" t="s">
        <v>241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Q159" t="s">
        <v>2389</v>
      </c>
      <c r="V159" s="2" t="s">
        <v>2388</v>
      </c>
    </row>
    <row r="160" spans="1:22" x14ac:dyDescent="0.3">
      <c r="A160" t="s">
        <v>2387</v>
      </c>
      <c r="C160" t="s">
        <v>65</v>
      </c>
      <c r="D160" t="s">
        <v>2386</v>
      </c>
      <c r="G160" t="s">
        <v>241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Q160" t="s">
        <v>2382</v>
      </c>
      <c r="V160" s="2" t="s">
        <v>2381</v>
      </c>
    </row>
    <row r="161" spans="1:22" x14ac:dyDescent="0.3">
      <c r="A161" t="s">
        <v>563</v>
      </c>
      <c r="C161" t="s">
        <v>243</v>
      </c>
      <c r="D161" t="s">
        <v>2380</v>
      </c>
      <c r="G161" t="s">
        <v>264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Q161" t="s">
        <v>2377</v>
      </c>
      <c r="V161" s="2" t="s">
        <v>2376</v>
      </c>
    </row>
    <row r="162" spans="1:22" x14ac:dyDescent="0.3">
      <c r="A162" t="s">
        <v>835</v>
      </c>
      <c r="C162" t="s">
        <v>463</v>
      </c>
      <c r="D162" t="s">
        <v>2375</v>
      </c>
      <c r="G162" t="s">
        <v>264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Q162" t="s">
        <v>2371</v>
      </c>
      <c r="V162" s="2" t="s">
        <v>2370</v>
      </c>
    </row>
    <row r="163" spans="1:22" x14ac:dyDescent="0.3">
      <c r="A163" t="s">
        <v>2369</v>
      </c>
      <c r="C163" t="s">
        <v>75</v>
      </c>
      <c r="D163" t="s">
        <v>1437</v>
      </c>
      <c r="G163" t="s">
        <v>241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Q163" t="s">
        <v>2366</v>
      </c>
      <c r="V163" s="2" t="s">
        <v>2365</v>
      </c>
    </row>
    <row r="164" spans="1:22" x14ac:dyDescent="0.3">
      <c r="A164" t="s">
        <v>2364</v>
      </c>
      <c r="C164" t="s">
        <v>60</v>
      </c>
      <c r="D164" t="s">
        <v>2363</v>
      </c>
      <c r="G164" t="s">
        <v>241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Q164" t="s">
        <v>2360</v>
      </c>
      <c r="V164" s="2" t="s">
        <v>2359</v>
      </c>
    </row>
    <row r="165" spans="1:22" x14ac:dyDescent="0.3">
      <c r="A165" t="s">
        <v>2358</v>
      </c>
      <c r="C165" t="s">
        <v>56</v>
      </c>
      <c r="D165" t="s">
        <v>2357</v>
      </c>
      <c r="G165" t="s">
        <v>264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Q165" t="s">
        <v>2353</v>
      </c>
      <c r="V165" s="2" t="s">
        <v>2352</v>
      </c>
    </row>
    <row r="166" spans="1:22" x14ac:dyDescent="0.3">
      <c r="A166" t="s">
        <v>2351</v>
      </c>
      <c r="C166" t="s">
        <v>75</v>
      </c>
      <c r="D166" t="s">
        <v>2350</v>
      </c>
      <c r="G166" t="s">
        <v>241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Q166" t="s">
        <v>2346</v>
      </c>
      <c r="V166" s="2" t="s">
        <v>2345</v>
      </c>
    </row>
    <row r="167" spans="1:22" x14ac:dyDescent="0.3">
      <c r="A167" t="s">
        <v>2344</v>
      </c>
      <c r="C167" t="s">
        <v>243</v>
      </c>
      <c r="D167" t="s">
        <v>2343</v>
      </c>
      <c r="G167" t="s">
        <v>241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Q167" t="s">
        <v>2340</v>
      </c>
      <c r="V167" s="2" t="s">
        <v>2339</v>
      </c>
    </row>
    <row r="168" spans="1:22" x14ac:dyDescent="0.3">
      <c r="A168" t="s">
        <v>369</v>
      </c>
      <c r="C168" t="s">
        <v>69</v>
      </c>
      <c r="D168" t="s">
        <v>2338</v>
      </c>
      <c r="G168" t="s">
        <v>264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Q168" t="s">
        <v>2334</v>
      </c>
      <c r="V168" s="2" t="s">
        <v>2333</v>
      </c>
    </row>
    <row r="169" spans="1:22" x14ac:dyDescent="0.3">
      <c r="A169" t="s">
        <v>1127</v>
      </c>
      <c r="C169" t="s">
        <v>56</v>
      </c>
      <c r="D169" t="s">
        <v>2332</v>
      </c>
      <c r="G169" t="s">
        <v>241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Q169" t="s">
        <v>2328</v>
      </c>
      <c r="V169" s="2" t="s">
        <v>2327</v>
      </c>
    </row>
    <row r="170" spans="1:22" x14ac:dyDescent="0.3">
      <c r="A170" t="s">
        <v>2326</v>
      </c>
      <c r="C170" t="s">
        <v>60</v>
      </c>
      <c r="D170" t="s">
        <v>1677</v>
      </c>
      <c r="G170" t="s">
        <v>264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Q170" t="s">
        <v>2322</v>
      </c>
      <c r="V170" s="2" t="s">
        <v>2321</v>
      </c>
    </row>
    <row r="171" spans="1:22" x14ac:dyDescent="0.3">
      <c r="A171" t="s">
        <v>603</v>
      </c>
      <c r="C171" t="s">
        <v>243</v>
      </c>
      <c r="D171" t="s">
        <v>2320</v>
      </c>
      <c r="G171" t="s">
        <v>241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Q171" t="s">
        <v>2317</v>
      </c>
      <c r="V171" s="2" t="s">
        <v>2316</v>
      </c>
    </row>
    <row r="172" spans="1:22" x14ac:dyDescent="0.3">
      <c r="A172" t="s">
        <v>2315</v>
      </c>
      <c r="C172" t="s">
        <v>72</v>
      </c>
      <c r="D172" t="s">
        <v>368</v>
      </c>
      <c r="G172" t="s">
        <v>241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Q172" t="s">
        <v>2312</v>
      </c>
      <c r="V172" s="2" t="s">
        <v>2311</v>
      </c>
    </row>
    <row r="173" spans="1:22" x14ac:dyDescent="0.3">
      <c r="A173" t="s">
        <v>369</v>
      </c>
      <c r="C173" t="s">
        <v>60</v>
      </c>
      <c r="D173" t="s">
        <v>1207</v>
      </c>
      <c r="G173" t="s">
        <v>264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Q173" t="s">
        <v>2307</v>
      </c>
      <c r="V173" s="2" t="s">
        <v>2306</v>
      </c>
    </row>
    <row r="174" spans="1:22" x14ac:dyDescent="0.3">
      <c r="A174" t="s">
        <v>2305</v>
      </c>
      <c r="C174" t="s">
        <v>56</v>
      </c>
      <c r="D174" t="s">
        <v>2304</v>
      </c>
      <c r="G174" t="s">
        <v>241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Q174" t="s">
        <v>2301</v>
      </c>
      <c r="V174" s="2" t="s">
        <v>2300</v>
      </c>
    </row>
    <row r="175" spans="1:22" x14ac:dyDescent="0.3">
      <c r="A175" t="s">
        <v>2299</v>
      </c>
      <c r="C175" t="s">
        <v>65</v>
      </c>
      <c r="D175" t="s">
        <v>2298</v>
      </c>
      <c r="G175" t="s">
        <v>241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Q175" t="s">
        <v>2294</v>
      </c>
      <c r="V175" s="2" t="s">
        <v>2293</v>
      </c>
    </row>
    <row r="176" spans="1:22" x14ac:dyDescent="0.3">
      <c r="A176" t="s">
        <v>2257</v>
      </c>
      <c r="C176" t="s">
        <v>361</v>
      </c>
      <c r="D176" t="s">
        <v>2292</v>
      </c>
      <c r="G176" t="s">
        <v>241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Q176" t="s">
        <v>2288</v>
      </c>
      <c r="V176" s="2" t="s">
        <v>2287</v>
      </c>
    </row>
    <row r="177" spans="1:22" x14ac:dyDescent="0.3">
      <c r="A177" t="s">
        <v>2286</v>
      </c>
      <c r="C177" t="s">
        <v>1051</v>
      </c>
      <c r="D177" t="s">
        <v>1956</v>
      </c>
      <c r="G177" t="s">
        <v>241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Q177" t="s">
        <v>2282</v>
      </c>
      <c r="V177" s="2" t="s">
        <v>2281</v>
      </c>
    </row>
    <row r="178" spans="1:22" x14ac:dyDescent="0.3">
      <c r="A178" t="s">
        <v>2280</v>
      </c>
      <c r="C178" t="s">
        <v>1011</v>
      </c>
      <c r="D178" t="s">
        <v>455</v>
      </c>
      <c r="G178" t="s">
        <v>264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Q178" t="s">
        <v>2277</v>
      </c>
      <c r="V178" s="2" t="s">
        <v>2276</v>
      </c>
    </row>
    <row r="179" spans="1:22" x14ac:dyDescent="0.3">
      <c r="A179" t="s">
        <v>662</v>
      </c>
      <c r="C179" t="s">
        <v>56</v>
      </c>
      <c r="D179" t="s">
        <v>2275</v>
      </c>
      <c r="G179" t="s">
        <v>264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Q179" t="s">
        <v>2272</v>
      </c>
      <c r="V179" s="2" t="s">
        <v>2271</v>
      </c>
    </row>
    <row r="180" spans="1:22" x14ac:dyDescent="0.3">
      <c r="A180" t="s">
        <v>2270</v>
      </c>
      <c r="C180" t="s">
        <v>81</v>
      </c>
      <c r="D180" t="s">
        <v>2269</v>
      </c>
      <c r="G180" t="s">
        <v>241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Q180" t="s">
        <v>2265</v>
      </c>
      <c r="V180" s="2" t="s">
        <v>2264</v>
      </c>
    </row>
    <row r="181" spans="1:22" x14ac:dyDescent="0.3">
      <c r="A181" t="s">
        <v>295</v>
      </c>
      <c r="C181" t="s">
        <v>75</v>
      </c>
      <c r="D181" t="s">
        <v>2263</v>
      </c>
      <c r="G181" t="s">
        <v>264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Q181" t="s">
        <v>2259</v>
      </c>
      <c r="V181" s="2" t="s">
        <v>2258</v>
      </c>
    </row>
    <row r="182" spans="1:22" x14ac:dyDescent="0.3">
      <c r="A182" t="s">
        <v>2257</v>
      </c>
      <c r="C182" t="s">
        <v>69</v>
      </c>
      <c r="D182" t="s">
        <v>2256</v>
      </c>
      <c r="G182" t="s">
        <v>241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Q182" t="s">
        <v>2252</v>
      </c>
      <c r="V182" s="2" t="s">
        <v>2251</v>
      </c>
    </row>
    <row r="183" spans="1:22" x14ac:dyDescent="0.3">
      <c r="A183" t="s">
        <v>2250</v>
      </c>
      <c r="C183" t="s">
        <v>243</v>
      </c>
      <c r="D183" t="s">
        <v>2249</v>
      </c>
      <c r="G183" t="s">
        <v>241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Q183" t="s">
        <v>2245</v>
      </c>
      <c r="V183" s="2" t="s">
        <v>2244</v>
      </c>
    </row>
    <row r="184" spans="1:22" x14ac:dyDescent="0.3">
      <c r="A184" t="s">
        <v>1424</v>
      </c>
      <c r="C184" t="s">
        <v>81</v>
      </c>
      <c r="D184" t="s">
        <v>2243</v>
      </c>
      <c r="G184" t="s">
        <v>264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Q184" t="s">
        <v>2239</v>
      </c>
      <c r="V184" s="2" t="s">
        <v>2238</v>
      </c>
    </row>
    <row r="185" spans="1:22" x14ac:dyDescent="0.3">
      <c r="A185" t="s">
        <v>2237</v>
      </c>
      <c r="C185" t="s">
        <v>70</v>
      </c>
      <c r="D185" t="s">
        <v>2236</v>
      </c>
      <c r="G185" t="s">
        <v>264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Q185" t="s">
        <v>2233</v>
      </c>
      <c r="V185" s="2" t="s">
        <v>2232</v>
      </c>
    </row>
    <row r="186" spans="1:22" x14ac:dyDescent="0.3">
      <c r="A186" t="s">
        <v>328</v>
      </c>
      <c r="C186" t="s">
        <v>463</v>
      </c>
      <c r="D186" t="s">
        <v>550</v>
      </c>
      <c r="G186" t="s">
        <v>241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Q186" t="s">
        <v>2229</v>
      </c>
      <c r="V186" s="2" t="s">
        <v>2228</v>
      </c>
    </row>
    <row r="187" spans="1:22" x14ac:dyDescent="0.3">
      <c r="A187" t="s">
        <v>855</v>
      </c>
      <c r="C187" t="s">
        <v>60</v>
      </c>
      <c r="D187" t="s">
        <v>2227</v>
      </c>
      <c r="G187" t="s">
        <v>264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Q187" t="s">
        <v>2224</v>
      </c>
      <c r="V187" s="2" t="s">
        <v>2223</v>
      </c>
    </row>
    <row r="188" spans="1:22" x14ac:dyDescent="0.3">
      <c r="A188" t="s">
        <v>2222</v>
      </c>
      <c r="C188" t="s">
        <v>91</v>
      </c>
      <c r="D188" t="s">
        <v>2221</v>
      </c>
      <c r="G188" t="s">
        <v>264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Q188" t="s">
        <v>2218</v>
      </c>
      <c r="V188" s="2" t="s">
        <v>2217</v>
      </c>
    </row>
    <row r="189" spans="1:22" x14ac:dyDescent="0.3">
      <c r="A189" t="s">
        <v>2216</v>
      </c>
      <c r="C189" t="s">
        <v>81</v>
      </c>
      <c r="D189" t="s">
        <v>2215</v>
      </c>
      <c r="G189" t="s">
        <v>241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Q189" t="s">
        <v>2212</v>
      </c>
      <c r="V189" s="2" t="s">
        <v>2211</v>
      </c>
    </row>
    <row r="190" spans="1:22" x14ac:dyDescent="0.3">
      <c r="A190" t="s">
        <v>2210</v>
      </c>
      <c r="C190" t="s">
        <v>56</v>
      </c>
      <c r="D190" t="s">
        <v>2209</v>
      </c>
      <c r="G190" t="s">
        <v>241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Q190" t="s">
        <v>2205</v>
      </c>
      <c r="V190" s="2" t="s">
        <v>2204</v>
      </c>
    </row>
    <row r="191" spans="1:22" x14ac:dyDescent="0.3">
      <c r="A191" t="s">
        <v>498</v>
      </c>
      <c r="C191" t="s">
        <v>60</v>
      </c>
      <c r="D191" t="s">
        <v>2203</v>
      </c>
      <c r="G191" t="s">
        <v>241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Q191" t="s">
        <v>2200</v>
      </c>
      <c r="V191" s="2" t="s">
        <v>2199</v>
      </c>
    </row>
    <row r="192" spans="1:22" x14ac:dyDescent="0.3">
      <c r="A192" t="s">
        <v>1132</v>
      </c>
      <c r="C192" t="s">
        <v>361</v>
      </c>
      <c r="D192" t="s">
        <v>2198</v>
      </c>
      <c r="G192" t="s">
        <v>264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Q192" t="s">
        <v>2195</v>
      </c>
      <c r="V192" s="2" t="s">
        <v>2194</v>
      </c>
    </row>
    <row r="193" spans="1:22" x14ac:dyDescent="0.3">
      <c r="A193" t="s">
        <v>523</v>
      </c>
      <c r="C193" t="s">
        <v>77</v>
      </c>
      <c r="D193" t="s">
        <v>2193</v>
      </c>
      <c r="G193" t="s">
        <v>264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Q193" t="s">
        <v>2189</v>
      </c>
      <c r="V193" s="2" t="s">
        <v>2188</v>
      </c>
    </row>
    <row r="194" spans="1:22" x14ac:dyDescent="0.3">
      <c r="A194" t="s">
        <v>1479</v>
      </c>
      <c r="C194" t="s">
        <v>56</v>
      </c>
      <c r="D194" t="s">
        <v>2187</v>
      </c>
      <c r="G194" t="s">
        <v>241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Q194" t="s">
        <v>2183</v>
      </c>
      <c r="V194" s="2" t="s">
        <v>2182</v>
      </c>
    </row>
    <row r="195" spans="1:22" x14ac:dyDescent="0.3">
      <c r="A195" t="s">
        <v>464</v>
      </c>
      <c r="C195" t="s">
        <v>91</v>
      </c>
      <c r="D195" t="s">
        <v>2181</v>
      </c>
      <c r="G195" t="s">
        <v>241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Q195" t="s">
        <v>2177</v>
      </c>
      <c r="V195" s="2" t="s">
        <v>2176</v>
      </c>
    </row>
    <row r="196" spans="1:22" x14ac:dyDescent="0.3">
      <c r="A196" t="s">
        <v>369</v>
      </c>
      <c r="C196" t="s">
        <v>807</v>
      </c>
      <c r="D196" t="s">
        <v>2175</v>
      </c>
      <c r="G196" t="s">
        <v>264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Q196" t="s">
        <v>2171</v>
      </c>
      <c r="V196" s="2" t="s">
        <v>2170</v>
      </c>
    </row>
    <row r="197" spans="1:22" x14ac:dyDescent="0.3">
      <c r="A197" t="s">
        <v>417</v>
      </c>
      <c r="C197" t="s">
        <v>81</v>
      </c>
      <c r="D197" t="s">
        <v>2169</v>
      </c>
      <c r="G197" t="s">
        <v>264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Q197" t="s">
        <v>2165</v>
      </c>
      <c r="V197" s="2" t="s">
        <v>2164</v>
      </c>
    </row>
    <row r="198" spans="1:22" x14ac:dyDescent="0.3">
      <c r="A198" t="s">
        <v>1976</v>
      </c>
      <c r="C198" t="s">
        <v>243</v>
      </c>
      <c r="D198" t="s">
        <v>2163</v>
      </c>
      <c r="G198" t="s">
        <v>241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Q198" t="s">
        <v>2160</v>
      </c>
      <c r="V198" s="2" t="s">
        <v>2159</v>
      </c>
    </row>
    <row r="199" spans="1:22" x14ac:dyDescent="0.3">
      <c r="A199" t="s">
        <v>1081</v>
      </c>
      <c r="C199" t="s">
        <v>72</v>
      </c>
      <c r="D199" t="s">
        <v>1170</v>
      </c>
      <c r="G199" t="s">
        <v>264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Q199" t="s">
        <v>2156</v>
      </c>
      <c r="V199" s="2" t="s">
        <v>2155</v>
      </c>
    </row>
    <row r="200" spans="1:22" x14ac:dyDescent="0.3">
      <c r="A200" t="s">
        <v>2154</v>
      </c>
      <c r="C200" t="s">
        <v>62</v>
      </c>
      <c r="D200" t="s">
        <v>2153</v>
      </c>
      <c r="G200" t="s">
        <v>241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Q200" t="s">
        <v>2150</v>
      </c>
      <c r="V200" s="2" t="s">
        <v>2149</v>
      </c>
    </row>
    <row r="201" spans="1:22" x14ac:dyDescent="0.3">
      <c r="A201" t="s">
        <v>2148</v>
      </c>
      <c r="C201" t="s">
        <v>91</v>
      </c>
      <c r="D201" t="s">
        <v>2147</v>
      </c>
      <c r="G201" t="s">
        <v>264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Q201" t="s">
        <v>2144</v>
      </c>
      <c r="V201" s="2" t="s">
        <v>2143</v>
      </c>
    </row>
    <row r="202" spans="1:22" x14ac:dyDescent="0.3">
      <c r="A202" t="s">
        <v>2142</v>
      </c>
      <c r="C202" t="s">
        <v>77</v>
      </c>
      <c r="D202" t="s">
        <v>2141</v>
      </c>
      <c r="G202" t="s">
        <v>241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Q202" t="s">
        <v>2137</v>
      </c>
      <c r="V202" s="2" t="s">
        <v>2136</v>
      </c>
    </row>
    <row r="203" spans="1:22" x14ac:dyDescent="0.3">
      <c r="A203" t="s">
        <v>1944</v>
      </c>
      <c r="C203" t="s">
        <v>62</v>
      </c>
      <c r="D203" t="s">
        <v>2135</v>
      </c>
      <c r="G203" t="s">
        <v>264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Q203" t="s">
        <v>2131</v>
      </c>
      <c r="V203" s="2" t="s">
        <v>2130</v>
      </c>
    </row>
    <row r="204" spans="1:22" x14ac:dyDescent="0.3">
      <c r="A204" t="s">
        <v>1785</v>
      </c>
      <c r="C204" t="s">
        <v>93</v>
      </c>
      <c r="D204" t="s">
        <v>2129</v>
      </c>
      <c r="G204" t="s">
        <v>241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Q204" t="s">
        <v>2126</v>
      </c>
      <c r="V204" s="2" t="s">
        <v>2125</v>
      </c>
    </row>
    <row r="205" spans="1:22" x14ac:dyDescent="0.3">
      <c r="A205" t="s">
        <v>2124</v>
      </c>
      <c r="C205" t="s">
        <v>463</v>
      </c>
      <c r="D205" t="s">
        <v>2123</v>
      </c>
      <c r="G205" t="s">
        <v>241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Q205" t="s">
        <v>2119</v>
      </c>
      <c r="V205" s="2" t="s">
        <v>2118</v>
      </c>
    </row>
    <row r="206" spans="1:22" x14ac:dyDescent="0.3">
      <c r="A206" t="s">
        <v>2117</v>
      </c>
      <c r="C206" t="s">
        <v>72</v>
      </c>
      <c r="D206" t="s">
        <v>2116</v>
      </c>
      <c r="G206" t="s">
        <v>264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Q206" t="s">
        <v>2112</v>
      </c>
      <c r="V206" s="2" t="s">
        <v>2111</v>
      </c>
    </row>
    <row r="207" spans="1:22" x14ac:dyDescent="0.3">
      <c r="A207" t="s">
        <v>693</v>
      </c>
      <c r="C207" t="s">
        <v>56</v>
      </c>
      <c r="D207" t="s">
        <v>2110</v>
      </c>
      <c r="G207" t="s">
        <v>241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Q207" t="s">
        <v>2106</v>
      </c>
      <c r="V207" s="2" t="s">
        <v>2105</v>
      </c>
    </row>
    <row r="208" spans="1:22" x14ac:dyDescent="0.3">
      <c r="A208" t="s">
        <v>2104</v>
      </c>
      <c r="C208" t="s">
        <v>77</v>
      </c>
      <c r="D208" t="s">
        <v>1677</v>
      </c>
      <c r="G208" t="s">
        <v>241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Q208" t="s">
        <v>2101</v>
      </c>
      <c r="V208" s="2" t="s">
        <v>2100</v>
      </c>
    </row>
    <row r="209" spans="1:22" x14ac:dyDescent="0.3">
      <c r="A209" t="s">
        <v>2099</v>
      </c>
      <c r="C209" t="s">
        <v>91</v>
      </c>
      <c r="D209" t="s">
        <v>2098</v>
      </c>
      <c r="G209" t="s">
        <v>264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Q209" t="s">
        <v>2094</v>
      </c>
      <c r="V209" s="2" t="s">
        <v>2093</v>
      </c>
    </row>
    <row r="210" spans="1:22" x14ac:dyDescent="0.3">
      <c r="A210" t="s">
        <v>2092</v>
      </c>
      <c r="C210" t="s">
        <v>361</v>
      </c>
      <c r="D210" t="s">
        <v>2091</v>
      </c>
      <c r="G210" t="s">
        <v>241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Q210" t="s">
        <v>2087</v>
      </c>
      <c r="V210" s="2" t="s">
        <v>2086</v>
      </c>
    </row>
    <row r="211" spans="1:22" x14ac:dyDescent="0.3">
      <c r="A211" t="s">
        <v>2085</v>
      </c>
      <c r="C211" t="s">
        <v>361</v>
      </c>
      <c r="D211" t="s">
        <v>2084</v>
      </c>
      <c r="G211" t="s">
        <v>241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Q211" t="s">
        <v>2080</v>
      </c>
      <c r="V211" s="2" t="s">
        <v>2079</v>
      </c>
    </row>
    <row r="212" spans="1:22" x14ac:dyDescent="0.3">
      <c r="A212" t="s">
        <v>2078</v>
      </c>
      <c r="C212" t="s">
        <v>60</v>
      </c>
      <c r="D212" t="s">
        <v>2077</v>
      </c>
      <c r="G212" t="s">
        <v>264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Q212" t="s">
        <v>2073</v>
      </c>
      <c r="V212" s="2" t="s">
        <v>2072</v>
      </c>
    </row>
    <row r="213" spans="1:22" x14ac:dyDescent="0.3">
      <c r="A213" t="s">
        <v>2071</v>
      </c>
      <c r="C213" t="s">
        <v>1011</v>
      </c>
      <c r="D213" t="s">
        <v>2070</v>
      </c>
      <c r="G213" t="s">
        <v>264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Q213" t="s">
        <v>2066</v>
      </c>
      <c r="V213" s="2" t="s">
        <v>2065</v>
      </c>
    </row>
    <row r="214" spans="1:22" x14ac:dyDescent="0.3">
      <c r="A214" t="s">
        <v>2064</v>
      </c>
      <c r="C214" t="s">
        <v>60</v>
      </c>
      <c r="D214" t="s">
        <v>2063</v>
      </c>
      <c r="G214" t="s">
        <v>241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Q214" t="s">
        <v>2060</v>
      </c>
      <c r="V214" s="2" t="s">
        <v>2059</v>
      </c>
    </row>
    <row r="215" spans="1:22" x14ac:dyDescent="0.3">
      <c r="A215" t="s">
        <v>2058</v>
      </c>
      <c r="C215" t="s">
        <v>361</v>
      </c>
      <c r="D215" t="s">
        <v>2057</v>
      </c>
      <c r="G215" t="s">
        <v>264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Q215" t="s">
        <v>2053</v>
      </c>
      <c r="V215" s="2" t="s">
        <v>2052</v>
      </c>
    </row>
    <row r="216" spans="1:22" x14ac:dyDescent="0.3">
      <c r="A216" t="s">
        <v>1902</v>
      </c>
      <c r="C216" t="s">
        <v>93</v>
      </c>
      <c r="D216" t="s">
        <v>2051</v>
      </c>
      <c r="G216" t="s">
        <v>241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Q216" t="s">
        <v>2047</v>
      </c>
      <c r="V216" s="2" t="s">
        <v>2046</v>
      </c>
    </row>
    <row r="217" spans="1:22" x14ac:dyDescent="0.3">
      <c r="A217" t="s">
        <v>563</v>
      </c>
      <c r="C217" t="s">
        <v>62</v>
      </c>
      <c r="D217" t="s">
        <v>2045</v>
      </c>
      <c r="G217" t="s">
        <v>264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Q217" t="s">
        <v>2041</v>
      </c>
      <c r="V217" s="2" t="s">
        <v>2040</v>
      </c>
    </row>
    <row r="218" spans="1:22" x14ac:dyDescent="0.3">
      <c r="A218" t="s">
        <v>2039</v>
      </c>
      <c r="C218" t="s">
        <v>56</v>
      </c>
      <c r="D218" t="s">
        <v>2038</v>
      </c>
      <c r="G218" t="s">
        <v>264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Q218" t="s">
        <v>2034</v>
      </c>
      <c r="V218" s="2" t="s">
        <v>2033</v>
      </c>
    </row>
    <row r="219" spans="1:22" x14ac:dyDescent="0.3">
      <c r="A219" t="s">
        <v>2032</v>
      </c>
      <c r="C219" t="s">
        <v>56</v>
      </c>
      <c r="D219" t="s">
        <v>2031</v>
      </c>
      <c r="G219" t="s">
        <v>241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Q219" t="s">
        <v>2028</v>
      </c>
      <c r="V219" s="2" t="s">
        <v>2027</v>
      </c>
    </row>
    <row r="220" spans="1:22" x14ac:dyDescent="0.3">
      <c r="A220" t="s">
        <v>2026</v>
      </c>
      <c r="C220" t="s">
        <v>1051</v>
      </c>
      <c r="D220" t="s">
        <v>368</v>
      </c>
      <c r="G220" t="s">
        <v>264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Q220" t="s">
        <v>2023</v>
      </c>
      <c r="V220" s="2" t="s">
        <v>2022</v>
      </c>
    </row>
    <row r="221" spans="1:22" x14ac:dyDescent="0.3">
      <c r="A221" t="s">
        <v>925</v>
      </c>
      <c r="C221" t="s">
        <v>266</v>
      </c>
      <c r="D221" t="s">
        <v>455</v>
      </c>
      <c r="G221" t="s">
        <v>264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Q221" t="s">
        <v>2018</v>
      </c>
      <c r="V221" s="2" t="s">
        <v>2017</v>
      </c>
    </row>
    <row r="222" spans="1:22" x14ac:dyDescent="0.3">
      <c r="A222" t="s">
        <v>2016</v>
      </c>
      <c r="C222" t="s">
        <v>56</v>
      </c>
      <c r="D222" t="s">
        <v>2015</v>
      </c>
      <c r="G222" t="s">
        <v>264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Q222" t="s">
        <v>2011</v>
      </c>
      <c r="V222" s="2" t="s">
        <v>2010</v>
      </c>
    </row>
    <row r="223" spans="1:22" x14ac:dyDescent="0.3">
      <c r="A223" t="s">
        <v>2009</v>
      </c>
      <c r="C223" t="s">
        <v>60</v>
      </c>
      <c r="D223" t="s">
        <v>2008</v>
      </c>
      <c r="G223" t="s">
        <v>264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Q223" t="s">
        <v>2005</v>
      </c>
      <c r="V223" s="2" t="s">
        <v>2004</v>
      </c>
    </row>
    <row r="224" spans="1:22" x14ac:dyDescent="0.3">
      <c r="A224" t="s">
        <v>430</v>
      </c>
      <c r="C224" t="s">
        <v>77</v>
      </c>
      <c r="D224" t="s">
        <v>455</v>
      </c>
      <c r="G224" t="s">
        <v>264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Q224" t="s">
        <v>2001</v>
      </c>
      <c r="V224" s="2" t="s">
        <v>2000</v>
      </c>
    </row>
    <row r="225" spans="1:22" x14ac:dyDescent="0.3">
      <c r="A225" t="s">
        <v>442</v>
      </c>
      <c r="C225" t="s">
        <v>56</v>
      </c>
      <c r="D225" t="s">
        <v>1010</v>
      </c>
      <c r="G225" t="s">
        <v>264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Q225" t="s">
        <v>1996</v>
      </c>
      <c r="V225" s="2" t="s">
        <v>1995</v>
      </c>
    </row>
    <row r="226" spans="1:22" x14ac:dyDescent="0.3">
      <c r="A226" t="s">
        <v>563</v>
      </c>
      <c r="C226" t="s">
        <v>65</v>
      </c>
      <c r="D226" t="s">
        <v>1994</v>
      </c>
      <c r="G226" t="s">
        <v>264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Q226" t="s">
        <v>1990</v>
      </c>
      <c r="V226" s="2" t="s">
        <v>1989</v>
      </c>
    </row>
    <row r="227" spans="1:22" x14ac:dyDescent="0.3">
      <c r="A227" t="s">
        <v>1354</v>
      </c>
      <c r="C227" t="s">
        <v>361</v>
      </c>
      <c r="D227" t="s">
        <v>1988</v>
      </c>
      <c r="G227" t="s">
        <v>241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Q227" t="s">
        <v>1984</v>
      </c>
      <c r="V227" s="2" t="s">
        <v>1983</v>
      </c>
    </row>
    <row r="228" spans="1:22" x14ac:dyDescent="0.3">
      <c r="A228" t="s">
        <v>1982</v>
      </c>
      <c r="C228" t="s">
        <v>62</v>
      </c>
      <c r="D228" t="s">
        <v>368</v>
      </c>
      <c r="G228" t="s">
        <v>241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Q228" t="s">
        <v>1978</v>
      </c>
      <c r="V228" s="2" t="s">
        <v>1977</v>
      </c>
    </row>
    <row r="229" spans="1:22" x14ac:dyDescent="0.3">
      <c r="A229" t="s">
        <v>1976</v>
      </c>
      <c r="C229" t="s">
        <v>81</v>
      </c>
      <c r="D229" t="s">
        <v>1975</v>
      </c>
      <c r="G229" t="s">
        <v>241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Q229" t="s">
        <v>1971</v>
      </c>
      <c r="V229" s="2" t="s">
        <v>1970</v>
      </c>
    </row>
    <row r="230" spans="1:22" x14ac:dyDescent="0.3">
      <c r="A230" t="s">
        <v>1969</v>
      </c>
      <c r="C230" t="s">
        <v>266</v>
      </c>
      <c r="D230" t="s">
        <v>437</v>
      </c>
      <c r="G230" t="s">
        <v>264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Q230" t="s">
        <v>1965</v>
      </c>
      <c r="V230" s="2" t="s">
        <v>1964</v>
      </c>
    </row>
    <row r="231" spans="1:22" x14ac:dyDescent="0.3">
      <c r="A231" t="s">
        <v>855</v>
      </c>
      <c r="C231" t="s">
        <v>1051</v>
      </c>
      <c r="D231" t="s">
        <v>1963</v>
      </c>
      <c r="G231" t="s">
        <v>264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Q231" t="s">
        <v>1959</v>
      </c>
      <c r="V231" s="2" t="s">
        <v>1958</v>
      </c>
    </row>
    <row r="232" spans="1:22" x14ac:dyDescent="0.3">
      <c r="A232" t="s">
        <v>1957</v>
      </c>
      <c r="C232" t="s">
        <v>81</v>
      </c>
      <c r="D232" t="s">
        <v>1956</v>
      </c>
      <c r="G232" t="s">
        <v>264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Q232" t="s">
        <v>1952</v>
      </c>
      <c r="V232" s="2" t="s">
        <v>1951</v>
      </c>
    </row>
    <row r="233" spans="1:22" x14ac:dyDescent="0.3">
      <c r="A233" t="s">
        <v>1517</v>
      </c>
      <c r="C233" t="s">
        <v>60</v>
      </c>
      <c r="D233" t="s">
        <v>1950</v>
      </c>
      <c r="G233" t="s">
        <v>264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Q233" t="s">
        <v>1946</v>
      </c>
      <c r="V233" s="2" t="s">
        <v>1945</v>
      </c>
    </row>
    <row r="234" spans="1:22" x14ac:dyDescent="0.3">
      <c r="A234" t="s">
        <v>1944</v>
      </c>
      <c r="C234" t="s">
        <v>91</v>
      </c>
      <c r="D234" t="s">
        <v>1943</v>
      </c>
      <c r="G234" t="s">
        <v>264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Q234" t="s">
        <v>1939</v>
      </c>
      <c r="V234" s="2" t="s">
        <v>1938</v>
      </c>
    </row>
    <row r="235" spans="1:22" x14ac:dyDescent="0.3">
      <c r="A235" t="s">
        <v>1725</v>
      </c>
      <c r="C235" t="s">
        <v>807</v>
      </c>
      <c r="D235" t="s">
        <v>1937</v>
      </c>
      <c r="G235" t="s">
        <v>264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Q235" t="s">
        <v>1933</v>
      </c>
      <c r="V235" s="2" t="s">
        <v>1932</v>
      </c>
    </row>
    <row r="236" spans="1:22" x14ac:dyDescent="0.3">
      <c r="A236" t="s">
        <v>931</v>
      </c>
      <c r="C236" t="s">
        <v>93</v>
      </c>
      <c r="D236" t="s">
        <v>1931</v>
      </c>
      <c r="G236" t="s">
        <v>241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Q236" t="s">
        <v>1927</v>
      </c>
      <c r="V236" s="2" t="s">
        <v>1926</v>
      </c>
    </row>
    <row r="237" spans="1:22" x14ac:dyDescent="0.3">
      <c r="A237" t="s">
        <v>1424</v>
      </c>
      <c r="C237" t="s">
        <v>463</v>
      </c>
      <c r="D237" t="s">
        <v>1925</v>
      </c>
      <c r="G237" t="s">
        <v>264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Q237" t="s">
        <v>1922</v>
      </c>
      <c r="V237" s="2" t="s">
        <v>1921</v>
      </c>
    </row>
    <row r="238" spans="1:22" x14ac:dyDescent="0.3">
      <c r="A238" t="s">
        <v>1920</v>
      </c>
      <c r="C238" t="s">
        <v>62</v>
      </c>
      <c r="D238" t="s">
        <v>1677</v>
      </c>
      <c r="G238" t="s">
        <v>241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Q238" t="s">
        <v>1916</v>
      </c>
      <c r="V238" s="2" t="s">
        <v>1915</v>
      </c>
    </row>
    <row r="239" spans="1:22" x14ac:dyDescent="0.3">
      <c r="A239" t="s">
        <v>1914</v>
      </c>
      <c r="C239" t="s">
        <v>93</v>
      </c>
      <c r="D239" t="s">
        <v>1913</v>
      </c>
      <c r="G239" t="s">
        <v>264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Q239" t="s">
        <v>1909</v>
      </c>
      <c r="V239" s="2" t="s">
        <v>1908</v>
      </c>
    </row>
    <row r="240" spans="1:22" x14ac:dyDescent="0.3">
      <c r="A240" t="s">
        <v>369</v>
      </c>
      <c r="C240" t="s">
        <v>62</v>
      </c>
      <c r="D240" t="s">
        <v>1907</v>
      </c>
      <c r="G240" t="s">
        <v>264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Q240" t="s">
        <v>1904</v>
      </c>
      <c r="V240" s="2" t="s">
        <v>1903</v>
      </c>
    </row>
    <row r="241" spans="1:22" x14ac:dyDescent="0.3">
      <c r="A241" t="s">
        <v>1902</v>
      </c>
      <c r="C241" t="s">
        <v>56</v>
      </c>
      <c r="D241" t="s">
        <v>1297</v>
      </c>
      <c r="G241" t="s">
        <v>241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Q241" t="s">
        <v>1898</v>
      </c>
      <c r="V241" s="2" t="s">
        <v>1897</v>
      </c>
    </row>
    <row r="242" spans="1:22" x14ac:dyDescent="0.3">
      <c r="A242" t="s">
        <v>1896</v>
      </c>
      <c r="C242" t="s">
        <v>75</v>
      </c>
      <c r="D242" t="s">
        <v>1895</v>
      </c>
      <c r="G242" t="s">
        <v>264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Q242" t="s">
        <v>1891</v>
      </c>
      <c r="V242" s="2" t="s">
        <v>1890</v>
      </c>
    </row>
    <row r="243" spans="1:22" x14ac:dyDescent="0.3">
      <c r="A243" t="s">
        <v>369</v>
      </c>
      <c r="C243" t="s">
        <v>56</v>
      </c>
      <c r="D243" t="s">
        <v>1889</v>
      </c>
      <c r="G243" t="s">
        <v>264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Q243" t="s">
        <v>1886</v>
      </c>
      <c r="V243" s="2" t="s">
        <v>1885</v>
      </c>
    </row>
    <row r="244" spans="1:22" x14ac:dyDescent="0.3">
      <c r="A244" t="s">
        <v>815</v>
      </c>
      <c r="C244" t="s">
        <v>69</v>
      </c>
      <c r="D244" t="s">
        <v>1884</v>
      </c>
      <c r="G244" t="s">
        <v>264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Q244" t="s">
        <v>1880</v>
      </c>
      <c r="V244" s="2" t="s">
        <v>1879</v>
      </c>
    </row>
    <row r="245" spans="1:22" x14ac:dyDescent="0.3">
      <c r="A245" t="s">
        <v>1878</v>
      </c>
      <c r="C245" t="s">
        <v>62</v>
      </c>
      <c r="D245" t="s">
        <v>1712</v>
      </c>
      <c r="G245" t="s">
        <v>241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Q245" t="s">
        <v>1874</v>
      </c>
      <c r="V245" s="2" t="s">
        <v>1873</v>
      </c>
    </row>
    <row r="246" spans="1:22" x14ac:dyDescent="0.3">
      <c r="A246" t="s">
        <v>1872</v>
      </c>
      <c r="C246" t="s">
        <v>243</v>
      </c>
      <c r="D246" t="s">
        <v>1871</v>
      </c>
      <c r="G246" t="s">
        <v>264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Q246" t="s">
        <v>1867</v>
      </c>
      <c r="V246" s="2" t="s">
        <v>1866</v>
      </c>
    </row>
    <row r="247" spans="1:22" x14ac:dyDescent="0.3">
      <c r="A247" t="s">
        <v>498</v>
      </c>
      <c r="C247" t="s">
        <v>62</v>
      </c>
      <c r="D247" t="s">
        <v>1865</v>
      </c>
      <c r="G247" t="s">
        <v>241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Q247" t="s">
        <v>1862</v>
      </c>
      <c r="V247" s="2" t="s">
        <v>1861</v>
      </c>
    </row>
    <row r="248" spans="1:22" x14ac:dyDescent="0.3">
      <c r="A248" t="s">
        <v>314</v>
      </c>
      <c r="C248" t="s">
        <v>56</v>
      </c>
      <c r="D248" t="s">
        <v>1860</v>
      </c>
      <c r="G248" t="s">
        <v>264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Q248" t="s">
        <v>1856</v>
      </c>
      <c r="V248" s="2" t="s">
        <v>1855</v>
      </c>
    </row>
    <row r="249" spans="1:22" x14ac:dyDescent="0.3">
      <c r="A249" t="s">
        <v>288</v>
      </c>
      <c r="C249" t="s">
        <v>266</v>
      </c>
      <c r="D249" t="s">
        <v>1854</v>
      </c>
      <c r="G249" t="s">
        <v>264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Q249" t="s">
        <v>1850</v>
      </c>
      <c r="V249" s="2" t="s">
        <v>1849</v>
      </c>
    </row>
    <row r="250" spans="1:22" x14ac:dyDescent="0.3">
      <c r="A250" t="s">
        <v>563</v>
      </c>
      <c r="C250" t="s">
        <v>65</v>
      </c>
      <c r="D250" t="s">
        <v>1848</v>
      </c>
      <c r="G250" t="s">
        <v>264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Q250" t="s">
        <v>1845</v>
      </c>
      <c r="V250" s="2" t="s">
        <v>1844</v>
      </c>
    </row>
    <row r="251" spans="1:22" x14ac:dyDescent="0.3">
      <c r="A251" t="s">
        <v>1394</v>
      </c>
      <c r="C251" t="s">
        <v>807</v>
      </c>
      <c r="D251" t="s">
        <v>1843</v>
      </c>
      <c r="G251" t="s">
        <v>264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Q251" t="s">
        <v>1839</v>
      </c>
      <c r="V251" s="2" t="s">
        <v>1838</v>
      </c>
    </row>
    <row r="252" spans="1:22" x14ac:dyDescent="0.3">
      <c r="A252" t="s">
        <v>464</v>
      </c>
      <c r="C252" t="s">
        <v>243</v>
      </c>
      <c r="D252" t="s">
        <v>1837</v>
      </c>
      <c r="G252" t="s">
        <v>241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Q252" t="s">
        <v>1834</v>
      </c>
      <c r="V252" s="2" t="s">
        <v>1833</v>
      </c>
    </row>
    <row r="253" spans="1:22" x14ac:dyDescent="0.3">
      <c r="A253" t="s">
        <v>1832</v>
      </c>
      <c r="C253" t="s">
        <v>60</v>
      </c>
      <c r="D253" t="s">
        <v>1831</v>
      </c>
      <c r="G253" t="s">
        <v>264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Q253" t="s">
        <v>1828</v>
      </c>
      <c r="V253" s="2" t="s">
        <v>1827</v>
      </c>
    </row>
    <row r="254" spans="1:22" x14ac:dyDescent="0.3">
      <c r="A254" t="s">
        <v>1826</v>
      </c>
      <c r="C254" t="s">
        <v>56</v>
      </c>
      <c r="D254" t="s">
        <v>1825</v>
      </c>
      <c r="G254" t="s">
        <v>241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Q254" t="s">
        <v>1821</v>
      </c>
      <c r="V254" s="2" t="s">
        <v>1820</v>
      </c>
    </row>
    <row r="255" spans="1:22" x14ac:dyDescent="0.3">
      <c r="A255" t="s">
        <v>498</v>
      </c>
      <c r="C255" t="s">
        <v>77</v>
      </c>
      <c r="D255" t="s">
        <v>1737</v>
      </c>
      <c r="G255" t="s">
        <v>241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Q255" t="s">
        <v>1816</v>
      </c>
      <c r="V255" s="2" t="s">
        <v>1815</v>
      </c>
    </row>
    <row r="256" spans="1:22" x14ac:dyDescent="0.3">
      <c r="A256" t="s">
        <v>794</v>
      </c>
      <c r="C256" t="s">
        <v>69</v>
      </c>
      <c r="D256" t="s">
        <v>1814</v>
      </c>
      <c r="G256" t="s">
        <v>264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Q256" t="s">
        <v>1811</v>
      </c>
      <c r="V256" s="2" t="s">
        <v>1810</v>
      </c>
    </row>
    <row r="257" spans="1:22" x14ac:dyDescent="0.3">
      <c r="A257" t="s">
        <v>1809</v>
      </c>
      <c r="C257" t="s">
        <v>56</v>
      </c>
      <c r="D257" t="s">
        <v>1808</v>
      </c>
      <c r="G257" t="s">
        <v>241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Q257" t="s">
        <v>1804</v>
      </c>
      <c r="V257" s="2" t="s">
        <v>1803</v>
      </c>
    </row>
    <row r="258" spans="1:22" x14ac:dyDescent="0.3">
      <c r="A258" t="s">
        <v>642</v>
      </c>
      <c r="C258" t="s">
        <v>361</v>
      </c>
      <c r="D258" t="s">
        <v>1276</v>
      </c>
      <c r="G258" t="s">
        <v>264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Q258" t="s">
        <v>1799</v>
      </c>
      <c r="V258" s="2" t="s">
        <v>1798</v>
      </c>
    </row>
    <row r="259" spans="1:22" x14ac:dyDescent="0.3">
      <c r="A259" t="s">
        <v>1019</v>
      </c>
      <c r="C259" t="s">
        <v>1051</v>
      </c>
      <c r="D259" t="s">
        <v>1797</v>
      </c>
      <c r="G259" t="s">
        <v>264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Q259" t="s">
        <v>1794</v>
      </c>
      <c r="V259" s="2" t="s">
        <v>1793</v>
      </c>
    </row>
    <row r="260" spans="1:22" x14ac:dyDescent="0.3">
      <c r="A260" t="s">
        <v>1792</v>
      </c>
      <c r="C260" t="s">
        <v>62</v>
      </c>
      <c r="D260" t="s">
        <v>1791</v>
      </c>
      <c r="G260" t="s">
        <v>241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Q260" t="s">
        <v>1787</v>
      </c>
      <c r="V260" s="2" t="s">
        <v>1786</v>
      </c>
    </row>
    <row r="261" spans="1:22" x14ac:dyDescent="0.3">
      <c r="A261" t="s">
        <v>1785</v>
      </c>
      <c r="C261" t="s">
        <v>60</v>
      </c>
      <c r="D261" t="s">
        <v>1784</v>
      </c>
      <c r="G261" t="s">
        <v>241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Q261" t="s">
        <v>1781</v>
      </c>
      <c r="V261" s="2" t="s">
        <v>1780</v>
      </c>
    </row>
    <row r="262" spans="1:22" x14ac:dyDescent="0.3">
      <c r="A262" t="s">
        <v>523</v>
      </c>
      <c r="C262" t="s">
        <v>72</v>
      </c>
      <c r="D262" t="s">
        <v>1779</v>
      </c>
      <c r="G262" t="s">
        <v>264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Q262" t="s">
        <v>1775</v>
      </c>
      <c r="V262" s="2" t="s">
        <v>1774</v>
      </c>
    </row>
    <row r="263" spans="1:22" x14ac:dyDescent="0.3">
      <c r="A263" t="s">
        <v>808</v>
      </c>
      <c r="C263" t="s">
        <v>75</v>
      </c>
      <c r="D263" t="s">
        <v>1773</v>
      </c>
      <c r="G263" t="s">
        <v>264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Q263" t="s">
        <v>1769</v>
      </c>
      <c r="V263" s="2" t="s">
        <v>1768</v>
      </c>
    </row>
    <row r="264" spans="1:22" x14ac:dyDescent="0.3">
      <c r="A264" t="s">
        <v>925</v>
      </c>
      <c r="C264" t="s">
        <v>77</v>
      </c>
      <c r="D264" t="s">
        <v>1767</v>
      </c>
      <c r="G264" t="s">
        <v>264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Q264" t="s">
        <v>1763</v>
      </c>
      <c r="V264" s="2" t="s">
        <v>1762</v>
      </c>
    </row>
    <row r="265" spans="1:22" x14ac:dyDescent="0.3">
      <c r="A265" t="s">
        <v>756</v>
      </c>
      <c r="C265" t="s">
        <v>62</v>
      </c>
      <c r="D265" t="s">
        <v>1761</v>
      </c>
      <c r="G265" t="s">
        <v>264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Q265" t="s">
        <v>1758</v>
      </c>
      <c r="V265" s="2" t="s">
        <v>1757</v>
      </c>
    </row>
    <row r="266" spans="1:22" x14ac:dyDescent="0.3">
      <c r="A266" t="s">
        <v>1044</v>
      </c>
      <c r="C266" t="s">
        <v>266</v>
      </c>
      <c r="D266" t="s">
        <v>436</v>
      </c>
      <c r="G266" t="s">
        <v>264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Q266" t="s">
        <v>1753</v>
      </c>
      <c r="V266" s="2" t="s">
        <v>1752</v>
      </c>
    </row>
    <row r="267" spans="1:22" x14ac:dyDescent="0.3">
      <c r="A267" t="s">
        <v>1751</v>
      </c>
      <c r="C267" t="s">
        <v>1011</v>
      </c>
      <c r="D267" t="s">
        <v>1750</v>
      </c>
      <c r="G267" t="s">
        <v>264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Q267" t="s">
        <v>1746</v>
      </c>
      <c r="V267" s="2" t="s">
        <v>1745</v>
      </c>
    </row>
    <row r="268" spans="1:22" x14ac:dyDescent="0.3">
      <c r="A268" t="s">
        <v>1744</v>
      </c>
      <c r="C268" t="s">
        <v>62</v>
      </c>
      <c r="D268" t="s">
        <v>1743</v>
      </c>
      <c r="G268" t="s">
        <v>264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Q268" t="s">
        <v>1739</v>
      </c>
      <c r="V268" s="2" t="s">
        <v>1738</v>
      </c>
    </row>
    <row r="269" spans="1:22" x14ac:dyDescent="0.3">
      <c r="A269" t="s">
        <v>516</v>
      </c>
      <c r="C269" t="s">
        <v>243</v>
      </c>
      <c r="D269" t="s">
        <v>1737</v>
      </c>
      <c r="G269" t="s">
        <v>241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Q269" t="s">
        <v>1733</v>
      </c>
      <c r="V269" s="2" t="s">
        <v>1732</v>
      </c>
    </row>
    <row r="270" spans="1:22" x14ac:dyDescent="0.3">
      <c r="A270" t="s">
        <v>1731</v>
      </c>
      <c r="C270" t="s">
        <v>91</v>
      </c>
      <c r="D270" t="s">
        <v>382</v>
      </c>
      <c r="G270" t="s">
        <v>264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Q270" t="s">
        <v>1727</v>
      </c>
      <c r="V270" s="2" t="s">
        <v>1726</v>
      </c>
    </row>
    <row r="271" spans="1:22" x14ac:dyDescent="0.3">
      <c r="A271" t="s">
        <v>1725</v>
      </c>
      <c r="C271" t="s">
        <v>60</v>
      </c>
      <c r="D271" t="s">
        <v>1724</v>
      </c>
      <c r="G271" t="s">
        <v>264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Q271" t="s">
        <v>1720</v>
      </c>
      <c r="V271" s="2" t="s">
        <v>1719</v>
      </c>
    </row>
    <row r="272" spans="1:22" x14ac:dyDescent="0.3">
      <c r="A272" t="s">
        <v>1387</v>
      </c>
      <c r="C272" t="s">
        <v>62</v>
      </c>
      <c r="D272" t="s">
        <v>313</v>
      </c>
      <c r="G272" t="s">
        <v>241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Q272" t="s">
        <v>1715</v>
      </c>
      <c r="V272" s="2" t="s">
        <v>1714</v>
      </c>
    </row>
    <row r="273" spans="1:22" x14ac:dyDescent="0.3">
      <c r="A273" t="s">
        <v>1713</v>
      </c>
      <c r="C273" t="s">
        <v>93</v>
      </c>
      <c r="D273" t="s">
        <v>1712</v>
      </c>
      <c r="G273" t="s">
        <v>241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Q273" t="s">
        <v>1709</v>
      </c>
      <c r="V273" s="2" t="s">
        <v>1708</v>
      </c>
    </row>
    <row r="274" spans="1:22" x14ac:dyDescent="0.3">
      <c r="A274" t="s">
        <v>1707</v>
      </c>
      <c r="C274" t="s">
        <v>56</v>
      </c>
      <c r="D274" t="s">
        <v>1706</v>
      </c>
      <c r="G274" t="s">
        <v>264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Q274" t="s">
        <v>1703</v>
      </c>
      <c r="V274" s="2" t="s">
        <v>1702</v>
      </c>
    </row>
    <row r="275" spans="1:22" x14ac:dyDescent="0.3">
      <c r="A275" t="s">
        <v>808</v>
      </c>
      <c r="C275" t="s">
        <v>60</v>
      </c>
      <c r="D275" t="s">
        <v>1701</v>
      </c>
      <c r="G275" t="s">
        <v>264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Q275" t="s">
        <v>1698</v>
      </c>
      <c r="V275" s="2" t="s">
        <v>1697</v>
      </c>
    </row>
    <row r="276" spans="1:22" x14ac:dyDescent="0.3">
      <c r="A276" t="s">
        <v>1696</v>
      </c>
      <c r="C276" t="s">
        <v>81</v>
      </c>
      <c r="D276" t="s">
        <v>1695</v>
      </c>
      <c r="G276" t="s">
        <v>241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Q276" t="s">
        <v>1691</v>
      </c>
      <c r="V276" s="2" t="s">
        <v>1690</v>
      </c>
    </row>
    <row r="277" spans="1:22" x14ac:dyDescent="0.3">
      <c r="A277" t="s">
        <v>808</v>
      </c>
      <c r="C277" t="s">
        <v>62</v>
      </c>
      <c r="D277" t="s">
        <v>1689</v>
      </c>
      <c r="G277" t="s">
        <v>264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Q277" t="s">
        <v>1686</v>
      </c>
      <c r="V277" s="2" t="s">
        <v>1685</v>
      </c>
    </row>
    <row r="278" spans="1:22" x14ac:dyDescent="0.3">
      <c r="A278" t="s">
        <v>1684</v>
      </c>
      <c r="C278" t="s">
        <v>75</v>
      </c>
      <c r="D278" t="s">
        <v>1683</v>
      </c>
      <c r="G278" t="s">
        <v>241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Q278" t="s">
        <v>1680</v>
      </c>
      <c r="V278" s="2" t="s">
        <v>1679</v>
      </c>
    </row>
    <row r="279" spans="1:22" x14ac:dyDescent="0.3">
      <c r="A279" t="s">
        <v>1678</v>
      </c>
      <c r="C279" t="s">
        <v>65</v>
      </c>
      <c r="D279" t="s">
        <v>1677</v>
      </c>
      <c r="G279" t="s">
        <v>241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Q279" t="s">
        <v>1673</v>
      </c>
      <c r="V279" s="2" t="s">
        <v>1672</v>
      </c>
    </row>
    <row r="280" spans="1:22" x14ac:dyDescent="0.3">
      <c r="A280" t="s">
        <v>1671</v>
      </c>
      <c r="C280" t="s">
        <v>75</v>
      </c>
      <c r="D280" t="s">
        <v>1087</v>
      </c>
      <c r="G280" t="s">
        <v>264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Q280" t="s">
        <v>1667</v>
      </c>
      <c r="V280" s="2" t="s">
        <v>1666</v>
      </c>
    </row>
    <row r="281" spans="1:22" x14ac:dyDescent="0.3">
      <c r="A281" t="s">
        <v>1665</v>
      </c>
      <c r="C281" t="s">
        <v>75</v>
      </c>
      <c r="D281" t="s">
        <v>1664</v>
      </c>
      <c r="G281" t="s">
        <v>241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Q281" t="s">
        <v>1660</v>
      </c>
      <c r="V281" s="2" t="s">
        <v>1659</v>
      </c>
    </row>
    <row r="282" spans="1:22" x14ac:dyDescent="0.3">
      <c r="A282" t="s">
        <v>1658</v>
      </c>
      <c r="C282" t="s">
        <v>1011</v>
      </c>
      <c r="D282" t="s">
        <v>1657</v>
      </c>
      <c r="G282" t="s">
        <v>264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Q282" t="s">
        <v>1653</v>
      </c>
      <c r="V282" s="2" t="s">
        <v>1652</v>
      </c>
    </row>
    <row r="283" spans="1:22" x14ac:dyDescent="0.3">
      <c r="A283" t="s">
        <v>1651</v>
      </c>
      <c r="C283" t="s">
        <v>60</v>
      </c>
      <c r="D283" t="s">
        <v>1650</v>
      </c>
      <c r="G283" t="s">
        <v>264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Q283" t="s">
        <v>1646</v>
      </c>
      <c r="V283" s="2" t="s">
        <v>1645</v>
      </c>
    </row>
    <row r="284" spans="1:22" x14ac:dyDescent="0.3">
      <c r="A284" t="s">
        <v>1479</v>
      </c>
      <c r="C284" t="s">
        <v>75</v>
      </c>
      <c r="D284" t="s">
        <v>1644</v>
      </c>
      <c r="G284" t="s">
        <v>241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Q284" t="s">
        <v>1640</v>
      </c>
      <c r="V284" s="2" t="s">
        <v>1639</v>
      </c>
    </row>
    <row r="285" spans="1:22" x14ac:dyDescent="0.3">
      <c r="A285" t="s">
        <v>523</v>
      </c>
      <c r="C285" t="s">
        <v>60</v>
      </c>
      <c r="D285" t="s">
        <v>1638</v>
      </c>
      <c r="G285" t="s">
        <v>264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Q285" t="s">
        <v>1635</v>
      </c>
      <c r="V285" s="2" t="s">
        <v>1634</v>
      </c>
    </row>
    <row r="286" spans="1:22" x14ac:dyDescent="0.3">
      <c r="A286" t="s">
        <v>1633</v>
      </c>
      <c r="C286" t="s">
        <v>62</v>
      </c>
      <c r="D286" t="s">
        <v>1632</v>
      </c>
      <c r="G286" t="s">
        <v>241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Q286" t="s">
        <v>1628</v>
      </c>
      <c r="V286" s="2" t="s">
        <v>1627</v>
      </c>
    </row>
    <row r="287" spans="1:22" x14ac:dyDescent="0.3">
      <c r="A287" t="s">
        <v>1626</v>
      </c>
      <c r="C287" t="s">
        <v>72</v>
      </c>
      <c r="D287" t="s">
        <v>1625</v>
      </c>
      <c r="G287" t="s">
        <v>241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Q287" t="s">
        <v>1621</v>
      </c>
      <c r="V287" s="2" t="s">
        <v>1620</v>
      </c>
    </row>
    <row r="288" spans="1:22" x14ac:dyDescent="0.3">
      <c r="A288" t="s">
        <v>1619</v>
      </c>
      <c r="C288" t="s">
        <v>56</v>
      </c>
      <c r="D288" t="s">
        <v>1618</v>
      </c>
      <c r="G288" t="s">
        <v>241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Q288" t="s">
        <v>1614</v>
      </c>
      <c r="V288" s="2" t="s">
        <v>1613</v>
      </c>
    </row>
    <row r="289" spans="1:22" x14ac:dyDescent="0.3">
      <c r="A289" t="s">
        <v>1612</v>
      </c>
      <c r="C289" t="s">
        <v>56</v>
      </c>
      <c r="D289" t="s">
        <v>642</v>
      </c>
      <c r="G289" t="s">
        <v>241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Q289" t="s">
        <v>1609</v>
      </c>
      <c r="V289" s="2" t="s">
        <v>1608</v>
      </c>
    </row>
    <row r="290" spans="1:22" x14ac:dyDescent="0.3">
      <c r="A290" t="s">
        <v>1374</v>
      </c>
      <c r="C290" t="s">
        <v>91</v>
      </c>
      <c r="D290" t="s">
        <v>1607</v>
      </c>
      <c r="G290" t="s">
        <v>241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Q290" t="s">
        <v>1603</v>
      </c>
      <c r="V290" s="2" t="s">
        <v>1602</v>
      </c>
    </row>
    <row r="291" spans="1:22" x14ac:dyDescent="0.3">
      <c r="A291" t="s">
        <v>1601</v>
      </c>
      <c r="C291" t="s">
        <v>62</v>
      </c>
      <c r="D291" t="s">
        <v>1600</v>
      </c>
      <c r="G291" t="s">
        <v>264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Q291" t="s">
        <v>1597</v>
      </c>
      <c r="V291" s="2" t="s">
        <v>1596</v>
      </c>
    </row>
    <row r="292" spans="1:22" x14ac:dyDescent="0.3">
      <c r="A292" t="s">
        <v>1595</v>
      </c>
      <c r="C292" t="s">
        <v>807</v>
      </c>
      <c r="D292" t="s">
        <v>1594</v>
      </c>
      <c r="G292" t="s">
        <v>241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Q292" t="s">
        <v>1590</v>
      </c>
      <c r="V292" s="2" t="s">
        <v>1589</v>
      </c>
    </row>
    <row r="293" spans="1:22" x14ac:dyDescent="0.3">
      <c r="A293" t="s">
        <v>1588</v>
      </c>
      <c r="C293" t="s">
        <v>72</v>
      </c>
      <c r="D293" t="s">
        <v>1587</v>
      </c>
      <c r="G293" t="s">
        <v>264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Q293" t="s">
        <v>1583</v>
      </c>
      <c r="V293" s="2" t="s">
        <v>1582</v>
      </c>
    </row>
    <row r="294" spans="1:22" x14ac:dyDescent="0.3">
      <c r="A294" t="s">
        <v>1581</v>
      </c>
      <c r="C294" t="s">
        <v>75</v>
      </c>
      <c r="D294" t="s">
        <v>1580</v>
      </c>
      <c r="G294" t="s">
        <v>241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Q294" t="s">
        <v>1576</v>
      </c>
      <c r="V294" s="2" t="s">
        <v>1575</v>
      </c>
    </row>
    <row r="295" spans="1:22" x14ac:dyDescent="0.3">
      <c r="A295" t="s">
        <v>1574</v>
      </c>
      <c r="C295" t="s">
        <v>62</v>
      </c>
      <c r="D295" t="s">
        <v>1573</v>
      </c>
      <c r="G295" t="s">
        <v>241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Q295" t="s">
        <v>1569</v>
      </c>
      <c r="V295" s="2" t="s">
        <v>1568</v>
      </c>
    </row>
    <row r="296" spans="1:22" x14ac:dyDescent="0.3">
      <c r="A296" t="s">
        <v>1567</v>
      </c>
      <c r="C296" t="s">
        <v>62</v>
      </c>
      <c r="D296" t="s">
        <v>1566</v>
      </c>
      <c r="G296" t="s">
        <v>241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Q296" t="s">
        <v>1563</v>
      </c>
      <c r="V296" s="2" t="s">
        <v>1562</v>
      </c>
    </row>
    <row r="297" spans="1:22" x14ac:dyDescent="0.3">
      <c r="A297" t="s">
        <v>1561</v>
      </c>
      <c r="C297" t="s">
        <v>60</v>
      </c>
      <c r="D297" t="s">
        <v>1560</v>
      </c>
      <c r="G297" t="s">
        <v>241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Q297" t="s">
        <v>1556</v>
      </c>
      <c r="V297" s="2" t="s">
        <v>1555</v>
      </c>
    </row>
    <row r="298" spans="1:22" x14ac:dyDescent="0.3">
      <c r="A298" t="s">
        <v>693</v>
      </c>
      <c r="C298" t="s">
        <v>69</v>
      </c>
      <c r="D298" t="s">
        <v>699</v>
      </c>
      <c r="G298" t="s">
        <v>241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Q298" t="s">
        <v>1551</v>
      </c>
      <c r="V298" s="2" t="s">
        <v>1550</v>
      </c>
    </row>
    <row r="299" spans="1:22" x14ac:dyDescent="0.3">
      <c r="A299" t="s">
        <v>1549</v>
      </c>
      <c r="C299" t="s">
        <v>361</v>
      </c>
      <c r="D299" t="s">
        <v>294</v>
      </c>
      <c r="G299" t="s">
        <v>241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Q299" t="s">
        <v>1545</v>
      </c>
      <c r="V299" s="2" t="s">
        <v>1544</v>
      </c>
    </row>
    <row r="300" spans="1:22" x14ac:dyDescent="0.3">
      <c r="A300" t="s">
        <v>1543</v>
      </c>
      <c r="C300" t="s">
        <v>56</v>
      </c>
      <c r="D300" t="s">
        <v>1542</v>
      </c>
      <c r="G300" t="s">
        <v>241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Q300" t="s">
        <v>1538</v>
      </c>
      <c r="V300" s="2" t="s">
        <v>1537</v>
      </c>
    </row>
    <row r="301" spans="1:22" x14ac:dyDescent="0.3">
      <c r="A301" t="s">
        <v>417</v>
      </c>
      <c r="C301" t="s">
        <v>65</v>
      </c>
      <c r="D301" t="s">
        <v>1536</v>
      </c>
      <c r="G301" t="s">
        <v>264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Q301" t="s">
        <v>1532</v>
      </c>
      <c r="V301" s="2" t="s">
        <v>1531</v>
      </c>
    </row>
    <row r="302" spans="1:22" x14ac:dyDescent="0.3">
      <c r="A302" t="s">
        <v>1530</v>
      </c>
      <c r="C302" t="s">
        <v>62</v>
      </c>
      <c r="D302" t="s">
        <v>1529</v>
      </c>
      <c r="G302" t="s">
        <v>241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Q302" t="s">
        <v>1525</v>
      </c>
      <c r="V302" s="2" t="s">
        <v>1524</v>
      </c>
    </row>
    <row r="303" spans="1:22" x14ac:dyDescent="0.3">
      <c r="A303" t="s">
        <v>1523</v>
      </c>
      <c r="C303" t="s">
        <v>361</v>
      </c>
      <c r="D303" t="s">
        <v>1522</v>
      </c>
      <c r="G303" t="s">
        <v>264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Q303" t="s">
        <v>1519</v>
      </c>
      <c r="V303" s="2" t="s">
        <v>1518</v>
      </c>
    </row>
    <row r="304" spans="1:22" x14ac:dyDescent="0.3">
      <c r="A304" t="s">
        <v>1517</v>
      </c>
      <c r="C304" t="s">
        <v>75</v>
      </c>
      <c r="D304" t="s">
        <v>1516</v>
      </c>
      <c r="G304" t="s">
        <v>264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Q304" t="s">
        <v>1512</v>
      </c>
      <c r="V304" s="2" t="s">
        <v>1511</v>
      </c>
    </row>
    <row r="305" spans="1:22" x14ac:dyDescent="0.3">
      <c r="A305" t="s">
        <v>570</v>
      </c>
      <c r="C305" t="s">
        <v>60</v>
      </c>
      <c r="D305" t="s">
        <v>1510</v>
      </c>
      <c r="G305" t="s">
        <v>264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Q305" t="s">
        <v>1506</v>
      </c>
      <c r="V305" s="2" t="s">
        <v>551</v>
      </c>
    </row>
    <row r="306" spans="1:22" x14ac:dyDescent="0.3">
      <c r="A306" t="s">
        <v>1505</v>
      </c>
      <c r="C306" t="s">
        <v>60</v>
      </c>
      <c r="D306" t="s">
        <v>1504</v>
      </c>
      <c r="G306" t="s">
        <v>241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Q306" t="s">
        <v>1500</v>
      </c>
      <c r="V306" s="2" t="s">
        <v>1499</v>
      </c>
    </row>
    <row r="307" spans="1:22" x14ac:dyDescent="0.3">
      <c r="A307" t="s">
        <v>1498</v>
      </c>
      <c r="C307" t="s">
        <v>60</v>
      </c>
      <c r="D307" t="s">
        <v>1497</v>
      </c>
      <c r="G307" t="s">
        <v>264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Q307" t="s">
        <v>1494</v>
      </c>
      <c r="V307" s="2" t="s">
        <v>1493</v>
      </c>
    </row>
    <row r="308" spans="1:22" x14ac:dyDescent="0.3">
      <c r="A308" t="s">
        <v>1492</v>
      </c>
      <c r="C308" t="s">
        <v>266</v>
      </c>
      <c r="D308" t="s">
        <v>1043</v>
      </c>
      <c r="G308" t="s">
        <v>264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Q308" t="s">
        <v>1488</v>
      </c>
      <c r="V308" s="2" t="s">
        <v>1487</v>
      </c>
    </row>
    <row r="309" spans="1:22" x14ac:dyDescent="0.3">
      <c r="A309" t="s">
        <v>1486</v>
      </c>
      <c r="C309" t="s">
        <v>56</v>
      </c>
      <c r="D309" t="s">
        <v>1485</v>
      </c>
      <c r="G309" t="s">
        <v>241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Q309" t="s">
        <v>1481</v>
      </c>
      <c r="V309" s="2" t="s">
        <v>1480</v>
      </c>
    </row>
    <row r="310" spans="1:22" x14ac:dyDescent="0.3">
      <c r="A310" t="s">
        <v>1479</v>
      </c>
      <c r="C310" t="s">
        <v>361</v>
      </c>
      <c r="D310" t="s">
        <v>368</v>
      </c>
      <c r="G310" t="s">
        <v>241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Q310" t="s">
        <v>1476</v>
      </c>
      <c r="V310" s="2" t="s">
        <v>1475</v>
      </c>
    </row>
    <row r="311" spans="1:22" x14ac:dyDescent="0.3">
      <c r="A311" t="s">
        <v>1474</v>
      </c>
      <c r="C311" t="s">
        <v>56</v>
      </c>
      <c r="D311" t="s">
        <v>515</v>
      </c>
      <c r="G311" t="s">
        <v>264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Q311" t="s">
        <v>1471</v>
      </c>
      <c r="V311" s="2" t="s">
        <v>1470</v>
      </c>
    </row>
    <row r="312" spans="1:22" x14ac:dyDescent="0.3">
      <c r="A312" t="s">
        <v>1469</v>
      </c>
      <c r="C312" t="s">
        <v>56</v>
      </c>
      <c r="D312" t="s">
        <v>1468</v>
      </c>
      <c r="G312" t="s">
        <v>241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Q312" t="s">
        <v>1464</v>
      </c>
      <c r="V312" s="2" t="s">
        <v>1463</v>
      </c>
    </row>
    <row r="313" spans="1:22" x14ac:dyDescent="0.3">
      <c r="A313" t="s">
        <v>442</v>
      </c>
      <c r="C313" t="s">
        <v>243</v>
      </c>
      <c r="D313" t="s">
        <v>1462</v>
      </c>
      <c r="G313" t="s">
        <v>264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Q313" t="s">
        <v>1459</v>
      </c>
      <c r="V313" s="2" t="s">
        <v>1458</v>
      </c>
    </row>
    <row r="314" spans="1:22" x14ac:dyDescent="0.3">
      <c r="A314" t="s">
        <v>404</v>
      </c>
      <c r="C314" t="s">
        <v>77</v>
      </c>
      <c r="D314" t="s">
        <v>1297</v>
      </c>
      <c r="G314" t="s">
        <v>264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Q314" t="s">
        <v>1454</v>
      </c>
      <c r="V314" s="2" t="s">
        <v>1453</v>
      </c>
    </row>
    <row r="315" spans="1:22" x14ac:dyDescent="0.3">
      <c r="A315" t="s">
        <v>1452</v>
      </c>
      <c r="C315" t="s">
        <v>56</v>
      </c>
      <c r="D315" t="s">
        <v>1451</v>
      </c>
      <c r="G315" t="s">
        <v>264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Q315" t="s">
        <v>1447</v>
      </c>
      <c r="V315" s="2" t="s">
        <v>1446</v>
      </c>
    </row>
    <row r="316" spans="1:22" x14ac:dyDescent="0.3">
      <c r="A316" t="s">
        <v>1445</v>
      </c>
      <c r="C316" t="s">
        <v>266</v>
      </c>
      <c r="D316" t="s">
        <v>1444</v>
      </c>
      <c r="G316" t="s">
        <v>264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Q316" t="s">
        <v>1440</v>
      </c>
      <c r="V316" s="2" t="s">
        <v>1439</v>
      </c>
    </row>
    <row r="317" spans="1:22" x14ac:dyDescent="0.3">
      <c r="A317" t="s">
        <v>1438</v>
      </c>
      <c r="C317" t="s">
        <v>65</v>
      </c>
      <c r="D317" t="s">
        <v>1437</v>
      </c>
      <c r="G317" t="s">
        <v>264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Q317" t="s">
        <v>1433</v>
      </c>
      <c r="V317" s="2" t="s">
        <v>1432</v>
      </c>
    </row>
    <row r="318" spans="1:22" x14ac:dyDescent="0.3">
      <c r="A318" t="s">
        <v>1431</v>
      </c>
      <c r="C318" t="s">
        <v>72</v>
      </c>
      <c r="D318" t="s">
        <v>1430</v>
      </c>
      <c r="G318" t="s">
        <v>264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Q318" t="s">
        <v>1426</v>
      </c>
      <c r="V318" s="2" t="s">
        <v>1425</v>
      </c>
    </row>
    <row r="319" spans="1:22" x14ac:dyDescent="0.3">
      <c r="A319" t="s">
        <v>1424</v>
      </c>
      <c r="C319" t="s">
        <v>60</v>
      </c>
      <c r="D319" t="s">
        <v>1423</v>
      </c>
      <c r="G319" t="s">
        <v>264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Q319" t="s">
        <v>1419</v>
      </c>
      <c r="V319" s="2" t="s">
        <v>1418</v>
      </c>
    </row>
    <row r="320" spans="1:22" x14ac:dyDescent="0.3">
      <c r="A320" t="s">
        <v>341</v>
      </c>
      <c r="C320" t="s">
        <v>77</v>
      </c>
      <c r="D320" t="s">
        <v>1417</v>
      </c>
      <c r="G320" t="s">
        <v>264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Q320" t="s">
        <v>1413</v>
      </c>
      <c r="V320" s="2" t="s">
        <v>1412</v>
      </c>
    </row>
    <row r="321" spans="1:22" x14ac:dyDescent="0.3">
      <c r="A321" t="s">
        <v>302</v>
      </c>
      <c r="C321" t="s">
        <v>266</v>
      </c>
      <c r="D321" t="s">
        <v>1411</v>
      </c>
      <c r="G321" t="s">
        <v>241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Q321" t="s">
        <v>1408</v>
      </c>
      <c r="V321" s="2" t="s">
        <v>1407</v>
      </c>
    </row>
    <row r="322" spans="1:22" x14ac:dyDescent="0.3">
      <c r="A322" t="s">
        <v>1406</v>
      </c>
      <c r="C322" t="s">
        <v>243</v>
      </c>
      <c r="D322" t="s">
        <v>555</v>
      </c>
      <c r="G322" t="s">
        <v>241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Q322" t="s">
        <v>1403</v>
      </c>
      <c r="V322" s="2" t="s">
        <v>1402</v>
      </c>
    </row>
    <row r="323" spans="1:22" x14ac:dyDescent="0.3">
      <c r="A323" t="s">
        <v>1401</v>
      </c>
      <c r="C323" t="s">
        <v>65</v>
      </c>
      <c r="D323" t="s">
        <v>1400</v>
      </c>
      <c r="G323" t="s">
        <v>241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Q323" t="s">
        <v>1396</v>
      </c>
      <c r="V323" s="2" t="s">
        <v>1395</v>
      </c>
    </row>
    <row r="324" spans="1:22" x14ac:dyDescent="0.3">
      <c r="A324" t="s">
        <v>1394</v>
      </c>
      <c r="C324" t="s">
        <v>70</v>
      </c>
      <c r="D324" t="s">
        <v>1393</v>
      </c>
      <c r="G324" t="s">
        <v>264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Q324" t="s">
        <v>1389</v>
      </c>
      <c r="V324" s="2" t="s">
        <v>1388</v>
      </c>
    </row>
    <row r="325" spans="1:22" x14ac:dyDescent="0.3">
      <c r="A325" t="s">
        <v>1387</v>
      </c>
      <c r="C325" t="s">
        <v>62</v>
      </c>
      <c r="D325" t="s">
        <v>1386</v>
      </c>
      <c r="G325" t="s">
        <v>241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Q325" t="s">
        <v>1382</v>
      </c>
      <c r="V325" s="2" t="s">
        <v>1381</v>
      </c>
    </row>
    <row r="326" spans="1:22" x14ac:dyDescent="0.3">
      <c r="A326" t="s">
        <v>808</v>
      </c>
      <c r="C326" t="s">
        <v>56</v>
      </c>
      <c r="D326" t="s">
        <v>1380</v>
      </c>
      <c r="G326" t="s">
        <v>264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Q326" t="s">
        <v>1376</v>
      </c>
      <c r="V326" s="2" t="s">
        <v>1375</v>
      </c>
    </row>
    <row r="327" spans="1:22" x14ac:dyDescent="0.3">
      <c r="A327" t="s">
        <v>1374</v>
      </c>
      <c r="C327" t="s">
        <v>60</v>
      </c>
      <c r="D327" t="s">
        <v>1373</v>
      </c>
      <c r="G327" t="s">
        <v>241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Q327" t="s">
        <v>1369</v>
      </c>
      <c r="V327" s="2" t="s">
        <v>1368</v>
      </c>
    </row>
    <row r="328" spans="1:22" x14ac:dyDescent="0.3">
      <c r="A328" t="s">
        <v>1367</v>
      </c>
      <c r="C328" t="s">
        <v>91</v>
      </c>
      <c r="D328" t="s">
        <v>1366</v>
      </c>
      <c r="G328" t="s">
        <v>241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Q328" t="s">
        <v>1362</v>
      </c>
      <c r="V328" s="2" t="s">
        <v>1361</v>
      </c>
    </row>
    <row r="329" spans="1:22" x14ac:dyDescent="0.3">
      <c r="A329" t="s">
        <v>556</v>
      </c>
      <c r="C329" t="s">
        <v>91</v>
      </c>
      <c r="D329" t="s">
        <v>1360</v>
      </c>
      <c r="G329" t="s">
        <v>264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Q329" t="s">
        <v>1356</v>
      </c>
      <c r="V329" s="2" t="s">
        <v>1355</v>
      </c>
    </row>
    <row r="330" spans="1:22" x14ac:dyDescent="0.3">
      <c r="A330" t="s">
        <v>1354</v>
      </c>
      <c r="C330" t="s">
        <v>463</v>
      </c>
      <c r="D330" t="s">
        <v>1353</v>
      </c>
      <c r="G330" t="s">
        <v>241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Q330" t="s">
        <v>1349</v>
      </c>
      <c r="V330" s="2" t="s">
        <v>1348</v>
      </c>
    </row>
    <row r="331" spans="1:22" x14ac:dyDescent="0.3">
      <c r="A331" t="s">
        <v>1347</v>
      </c>
      <c r="C331" t="s">
        <v>72</v>
      </c>
      <c r="D331" t="s">
        <v>335</v>
      </c>
      <c r="G331" t="s">
        <v>264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Q331" t="s">
        <v>1344</v>
      </c>
      <c r="V331" s="2" t="s">
        <v>1343</v>
      </c>
    </row>
    <row r="332" spans="1:22" x14ac:dyDescent="0.3">
      <c r="A332" t="s">
        <v>1342</v>
      </c>
      <c r="C332" t="s">
        <v>62</v>
      </c>
      <c r="D332" t="s">
        <v>1341</v>
      </c>
      <c r="G332" t="s">
        <v>241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Q332" t="s">
        <v>1337</v>
      </c>
      <c r="V332" s="2" t="s">
        <v>1336</v>
      </c>
    </row>
    <row r="333" spans="1:22" x14ac:dyDescent="0.3">
      <c r="A333" t="s">
        <v>498</v>
      </c>
      <c r="C333" t="s">
        <v>69</v>
      </c>
      <c r="D333" t="s">
        <v>1335</v>
      </c>
      <c r="G333" t="s">
        <v>241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Q333" t="s">
        <v>1331</v>
      </c>
      <c r="V333" s="2" t="s">
        <v>1330</v>
      </c>
    </row>
    <row r="334" spans="1:22" x14ac:dyDescent="0.3">
      <c r="A334" t="s">
        <v>1329</v>
      </c>
      <c r="C334" t="s">
        <v>77</v>
      </c>
      <c r="D334" t="s">
        <v>1170</v>
      </c>
      <c r="G334" t="s">
        <v>241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Q334" t="s">
        <v>1325</v>
      </c>
      <c r="V334" s="2" t="s">
        <v>1324</v>
      </c>
    </row>
    <row r="335" spans="1:22" x14ac:dyDescent="0.3">
      <c r="A335" t="s">
        <v>1323</v>
      </c>
      <c r="C335" t="s">
        <v>60</v>
      </c>
      <c r="D335" t="s">
        <v>1322</v>
      </c>
      <c r="G335" t="s">
        <v>241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Q335" t="s">
        <v>1318</v>
      </c>
      <c r="V335" s="2" t="s">
        <v>1317</v>
      </c>
    </row>
    <row r="336" spans="1:22" x14ac:dyDescent="0.3">
      <c r="A336" t="s">
        <v>847</v>
      </c>
      <c r="C336" t="s">
        <v>91</v>
      </c>
      <c r="D336" t="s">
        <v>1316</v>
      </c>
      <c r="G336" t="s">
        <v>264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Q336" t="s">
        <v>1312</v>
      </c>
      <c r="V336" s="2" t="s">
        <v>1311</v>
      </c>
    </row>
    <row r="337" spans="1:22" x14ac:dyDescent="0.3">
      <c r="A337" t="s">
        <v>1310</v>
      </c>
      <c r="C337" t="s">
        <v>91</v>
      </c>
      <c r="D337" t="s">
        <v>522</v>
      </c>
      <c r="G337" t="s">
        <v>264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Q337" t="s">
        <v>1307</v>
      </c>
      <c r="V337" s="2" t="s">
        <v>1306</v>
      </c>
    </row>
    <row r="338" spans="1:22" x14ac:dyDescent="0.3">
      <c r="A338" t="s">
        <v>1305</v>
      </c>
      <c r="C338" t="s">
        <v>243</v>
      </c>
      <c r="D338" t="s">
        <v>1304</v>
      </c>
      <c r="G338" t="s">
        <v>241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Q338" t="s">
        <v>1300</v>
      </c>
      <c r="V338" s="2" t="s">
        <v>1299</v>
      </c>
    </row>
    <row r="339" spans="1:22" x14ac:dyDescent="0.3">
      <c r="A339" t="s">
        <v>1298</v>
      </c>
      <c r="C339" t="s">
        <v>93</v>
      </c>
      <c r="D339" t="s">
        <v>1297</v>
      </c>
      <c r="G339" t="s">
        <v>241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Q339" t="s">
        <v>1293</v>
      </c>
      <c r="V339" s="2" t="s">
        <v>1292</v>
      </c>
    </row>
    <row r="340" spans="1:22" x14ac:dyDescent="0.3">
      <c r="A340" t="s">
        <v>1291</v>
      </c>
      <c r="C340" t="s">
        <v>1290</v>
      </c>
      <c r="D340" t="s">
        <v>1289</v>
      </c>
      <c r="G340" t="s">
        <v>264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Q340" t="s">
        <v>1285</v>
      </c>
      <c r="V340" s="2" t="s">
        <v>1284</v>
      </c>
    </row>
    <row r="341" spans="1:22" x14ac:dyDescent="0.3">
      <c r="A341" t="s">
        <v>1283</v>
      </c>
      <c r="C341" t="s">
        <v>56</v>
      </c>
      <c r="D341" t="s">
        <v>1282</v>
      </c>
      <c r="G341" t="s">
        <v>241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Q341" t="s">
        <v>1279</v>
      </c>
      <c r="V341" s="2" t="s">
        <v>1278</v>
      </c>
    </row>
    <row r="342" spans="1:22" x14ac:dyDescent="0.3">
      <c r="A342" t="s">
        <v>1277</v>
      </c>
      <c r="C342" t="s">
        <v>243</v>
      </c>
      <c r="D342" t="s">
        <v>1276</v>
      </c>
      <c r="G342" t="s">
        <v>241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Q342" t="s">
        <v>1273</v>
      </c>
      <c r="V342" s="2" t="s">
        <v>1272</v>
      </c>
    </row>
    <row r="343" spans="1:22" x14ac:dyDescent="0.3">
      <c r="A343" t="s">
        <v>1271</v>
      </c>
      <c r="C343" t="s">
        <v>81</v>
      </c>
      <c r="D343" t="s">
        <v>1270</v>
      </c>
      <c r="G343" t="s">
        <v>241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Q343" t="s">
        <v>1266</v>
      </c>
      <c r="V343" s="2" t="s">
        <v>1265</v>
      </c>
    </row>
    <row r="344" spans="1:22" x14ac:dyDescent="0.3">
      <c r="A344" t="s">
        <v>1264</v>
      </c>
      <c r="C344" t="s">
        <v>1011</v>
      </c>
      <c r="D344" t="s">
        <v>455</v>
      </c>
      <c r="G344" t="s">
        <v>241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Q344" t="s">
        <v>1260</v>
      </c>
      <c r="V344" s="2" t="s">
        <v>1259</v>
      </c>
    </row>
    <row r="345" spans="1:22" x14ac:dyDescent="0.3">
      <c r="A345" t="s">
        <v>756</v>
      </c>
      <c r="C345" t="s">
        <v>65</v>
      </c>
      <c r="D345" t="s">
        <v>1258</v>
      </c>
      <c r="G345" t="s">
        <v>264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Q345" t="s">
        <v>1254</v>
      </c>
      <c r="V345" s="2" t="s">
        <v>1253</v>
      </c>
    </row>
    <row r="346" spans="1:22" x14ac:dyDescent="0.3">
      <c r="A346" t="s">
        <v>1252</v>
      </c>
      <c r="C346" t="s">
        <v>56</v>
      </c>
      <c r="D346" t="s">
        <v>1251</v>
      </c>
      <c r="G346" t="s">
        <v>241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Q346" t="s">
        <v>1247</v>
      </c>
      <c r="V346" s="2" t="s">
        <v>1246</v>
      </c>
    </row>
    <row r="347" spans="1:22" x14ac:dyDescent="0.3">
      <c r="A347" t="s">
        <v>1245</v>
      </c>
      <c r="C347" t="s">
        <v>62</v>
      </c>
      <c r="D347" t="s">
        <v>1244</v>
      </c>
      <c r="G347" t="s">
        <v>241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Q347" t="s">
        <v>1241</v>
      </c>
      <c r="V347" s="2" t="s">
        <v>1240</v>
      </c>
    </row>
    <row r="348" spans="1:22" x14ac:dyDescent="0.3">
      <c r="A348" t="s">
        <v>1239</v>
      </c>
      <c r="C348" t="s">
        <v>65</v>
      </c>
      <c r="D348" t="s">
        <v>1238</v>
      </c>
      <c r="G348" t="s">
        <v>264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Q348" t="s">
        <v>1235</v>
      </c>
      <c r="V348" s="2" t="s">
        <v>1234</v>
      </c>
    </row>
    <row r="349" spans="1:22" x14ac:dyDescent="0.3">
      <c r="A349" t="s">
        <v>1233</v>
      </c>
      <c r="C349" t="s">
        <v>93</v>
      </c>
      <c r="D349" t="s">
        <v>1232</v>
      </c>
      <c r="G349" t="s">
        <v>264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Q349" t="s">
        <v>1229</v>
      </c>
      <c r="V349" s="2" t="s">
        <v>1228</v>
      </c>
    </row>
    <row r="350" spans="1:22" x14ac:dyDescent="0.3">
      <c r="A350" t="s">
        <v>1227</v>
      </c>
      <c r="C350" t="s">
        <v>77</v>
      </c>
      <c r="D350" t="s">
        <v>1226</v>
      </c>
      <c r="G350" t="s">
        <v>241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Q350" t="s">
        <v>1222</v>
      </c>
      <c r="V350" s="2" t="s">
        <v>1221</v>
      </c>
    </row>
    <row r="351" spans="1:22" x14ac:dyDescent="0.3">
      <c r="A351" t="s">
        <v>1220</v>
      </c>
      <c r="C351" t="s">
        <v>81</v>
      </c>
      <c r="D351" t="s">
        <v>1219</v>
      </c>
      <c r="G351" t="s">
        <v>264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Q351" t="s">
        <v>1216</v>
      </c>
      <c r="V351" s="2" t="s">
        <v>1215</v>
      </c>
    </row>
    <row r="352" spans="1:22" x14ac:dyDescent="0.3">
      <c r="A352" t="s">
        <v>1214</v>
      </c>
      <c r="C352" t="s">
        <v>93</v>
      </c>
      <c r="D352" t="s">
        <v>1213</v>
      </c>
      <c r="G352" t="s">
        <v>264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Q352" t="s">
        <v>1210</v>
      </c>
      <c r="V352" s="2" t="s">
        <v>1209</v>
      </c>
    </row>
    <row r="353" spans="1:22" x14ac:dyDescent="0.3">
      <c r="A353" t="s">
        <v>1208</v>
      </c>
      <c r="C353" t="s">
        <v>69</v>
      </c>
      <c r="D353" t="s">
        <v>1207</v>
      </c>
      <c r="G353" t="s">
        <v>241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Q353" t="s">
        <v>1204</v>
      </c>
      <c r="V353" s="2" t="s">
        <v>1203</v>
      </c>
    </row>
    <row r="354" spans="1:22" x14ac:dyDescent="0.3">
      <c r="A354" t="s">
        <v>756</v>
      </c>
      <c r="C354" t="s">
        <v>77</v>
      </c>
      <c r="D354" t="s">
        <v>1202</v>
      </c>
      <c r="G354" t="s">
        <v>264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Q354" t="s">
        <v>1198</v>
      </c>
      <c r="V354" s="2" t="s">
        <v>1197</v>
      </c>
    </row>
    <row r="355" spans="1:22" x14ac:dyDescent="0.3">
      <c r="A355" t="s">
        <v>750</v>
      </c>
      <c r="C355" t="s">
        <v>65</v>
      </c>
      <c r="D355" t="s">
        <v>1196</v>
      </c>
      <c r="G355" t="s">
        <v>241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Q355" t="s">
        <v>1192</v>
      </c>
      <c r="V355" s="2" t="s">
        <v>1191</v>
      </c>
    </row>
    <row r="356" spans="1:22" x14ac:dyDescent="0.3">
      <c r="A356" t="s">
        <v>1190</v>
      </c>
      <c r="C356" t="s">
        <v>266</v>
      </c>
      <c r="D356" t="s">
        <v>1189</v>
      </c>
      <c r="G356" t="s">
        <v>241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Q356" t="s">
        <v>1185</v>
      </c>
      <c r="V356" s="2" t="s">
        <v>1184</v>
      </c>
    </row>
    <row r="357" spans="1:22" x14ac:dyDescent="0.3">
      <c r="A357" t="s">
        <v>563</v>
      </c>
      <c r="C357" t="s">
        <v>77</v>
      </c>
      <c r="D357" t="s">
        <v>1183</v>
      </c>
      <c r="G357" t="s">
        <v>264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Q357" t="s">
        <v>1179</v>
      </c>
      <c r="V357" s="2" t="s">
        <v>1178</v>
      </c>
    </row>
    <row r="358" spans="1:22" x14ac:dyDescent="0.3">
      <c r="A358" t="s">
        <v>1177</v>
      </c>
      <c r="C358" t="s">
        <v>75</v>
      </c>
      <c r="D358" t="s">
        <v>1176</v>
      </c>
      <c r="G358" t="s">
        <v>241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Q358" t="s">
        <v>1172</v>
      </c>
      <c r="V358" s="2" t="s">
        <v>1171</v>
      </c>
    </row>
    <row r="359" spans="1:22" x14ac:dyDescent="0.3">
      <c r="A359" t="s">
        <v>769</v>
      </c>
      <c r="C359" t="s">
        <v>62</v>
      </c>
      <c r="D359" t="s">
        <v>1170</v>
      </c>
      <c r="G359" t="s">
        <v>241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Q359" t="s">
        <v>1166</v>
      </c>
      <c r="V359" s="2" t="s">
        <v>1165</v>
      </c>
    </row>
    <row r="360" spans="1:22" x14ac:dyDescent="0.3">
      <c r="A360" t="s">
        <v>1164</v>
      </c>
      <c r="C360" t="s">
        <v>463</v>
      </c>
      <c r="D360" t="s">
        <v>1163</v>
      </c>
      <c r="G360" t="s">
        <v>241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Q360" t="s">
        <v>1159</v>
      </c>
      <c r="V360" s="2" t="s">
        <v>1158</v>
      </c>
    </row>
    <row r="361" spans="1:22" x14ac:dyDescent="0.3">
      <c r="A361" t="s">
        <v>1157</v>
      </c>
      <c r="C361" t="s">
        <v>75</v>
      </c>
      <c r="D361" t="s">
        <v>1156</v>
      </c>
      <c r="G361" t="s">
        <v>241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Q361" t="s">
        <v>1153</v>
      </c>
      <c r="V361" s="2" t="s">
        <v>1152</v>
      </c>
    </row>
    <row r="362" spans="1:22" x14ac:dyDescent="0.3">
      <c r="A362" t="s">
        <v>1151</v>
      </c>
      <c r="C362" t="s">
        <v>60</v>
      </c>
      <c r="D362" t="s">
        <v>1150</v>
      </c>
      <c r="G362" t="s">
        <v>264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Q362" t="s">
        <v>1146</v>
      </c>
      <c r="V362" s="2" t="s">
        <v>1145</v>
      </c>
    </row>
    <row r="363" spans="1:22" x14ac:dyDescent="0.3">
      <c r="A363" t="s">
        <v>1144</v>
      </c>
      <c r="C363" t="s">
        <v>93</v>
      </c>
      <c r="D363" t="s">
        <v>1143</v>
      </c>
      <c r="G363" t="s">
        <v>241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Q363" t="s">
        <v>1139</v>
      </c>
      <c r="V363" s="2" t="s">
        <v>1138</v>
      </c>
    </row>
    <row r="364" spans="1:22" x14ac:dyDescent="0.3">
      <c r="A364" t="s">
        <v>369</v>
      </c>
      <c r="C364" t="s">
        <v>91</v>
      </c>
      <c r="D364" t="s">
        <v>1137</v>
      </c>
      <c r="G364" t="s">
        <v>264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Q364" t="s">
        <v>1134</v>
      </c>
      <c r="V364" s="2" t="s">
        <v>1133</v>
      </c>
    </row>
    <row r="365" spans="1:22" x14ac:dyDescent="0.3">
      <c r="A365" t="s">
        <v>756</v>
      </c>
      <c r="C365" t="s">
        <v>56</v>
      </c>
      <c r="D365" t="s">
        <v>1132</v>
      </c>
      <c r="G365" t="s">
        <v>264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Q365" t="s">
        <v>1129</v>
      </c>
      <c r="V365" s="2" t="s">
        <v>1128</v>
      </c>
    </row>
    <row r="366" spans="1:22" x14ac:dyDescent="0.3">
      <c r="A366" t="s">
        <v>1127</v>
      </c>
      <c r="C366" t="s">
        <v>56</v>
      </c>
      <c r="D366" t="s">
        <v>1126</v>
      </c>
      <c r="G366" t="s">
        <v>241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Q366" t="s">
        <v>1122</v>
      </c>
      <c r="V366" s="2" t="s">
        <v>1121</v>
      </c>
    </row>
    <row r="367" spans="1:22" x14ac:dyDescent="0.3">
      <c r="A367" t="s">
        <v>1120</v>
      </c>
      <c r="C367" t="s">
        <v>361</v>
      </c>
      <c r="D367" t="s">
        <v>1119</v>
      </c>
      <c r="G367" t="s">
        <v>264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Q367" t="s">
        <v>1115</v>
      </c>
      <c r="V367" s="2" t="s">
        <v>1114</v>
      </c>
    </row>
    <row r="368" spans="1:22" x14ac:dyDescent="0.3">
      <c r="A368" t="s">
        <v>1113</v>
      </c>
      <c r="C368" t="s">
        <v>361</v>
      </c>
      <c r="D368" t="s">
        <v>1112</v>
      </c>
      <c r="G368" t="s">
        <v>264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Q368" t="s">
        <v>1108</v>
      </c>
      <c r="V368" s="2" t="s">
        <v>1107</v>
      </c>
    </row>
    <row r="369" spans="1:22" x14ac:dyDescent="0.3">
      <c r="A369" t="s">
        <v>848</v>
      </c>
      <c r="C369" t="s">
        <v>62</v>
      </c>
      <c r="D369" t="s">
        <v>1106</v>
      </c>
      <c r="G369" t="s">
        <v>241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Q369" t="s">
        <v>1102</v>
      </c>
      <c r="V369" s="2" t="s">
        <v>1101</v>
      </c>
    </row>
    <row r="370" spans="1:22" x14ac:dyDescent="0.3">
      <c r="A370" t="s">
        <v>442</v>
      </c>
      <c r="C370" t="s">
        <v>75</v>
      </c>
      <c r="D370" t="s">
        <v>1100</v>
      </c>
      <c r="G370" t="s">
        <v>264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Q370" t="s">
        <v>1096</v>
      </c>
      <c r="V370" s="2" t="s">
        <v>1095</v>
      </c>
    </row>
    <row r="371" spans="1:22" x14ac:dyDescent="0.3">
      <c r="A371" t="s">
        <v>1094</v>
      </c>
      <c r="C371" t="s">
        <v>266</v>
      </c>
      <c r="D371" t="s">
        <v>1093</v>
      </c>
      <c r="G371" t="s">
        <v>264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Q371" t="s">
        <v>1089</v>
      </c>
      <c r="V371" s="2" t="s">
        <v>1088</v>
      </c>
    </row>
    <row r="372" spans="1:22" x14ac:dyDescent="0.3">
      <c r="A372" t="s">
        <v>808</v>
      </c>
      <c r="C372" t="s">
        <v>266</v>
      </c>
      <c r="D372" t="s">
        <v>1087</v>
      </c>
      <c r="G372" t="s">
        <v>264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Q372" t="s">
        <v>1083</v>
      </c>
      <c r="V372" s="2" t="s">
        <v>1082</v>
      </c>
    </row>
    <row r="373" spans="1:22" x14ac:dyDescent="0.3">
      <c r="A373" t="s">
        <v>1081</v>
      </c>
      <c r="C373" t="s">
        <v>60</v>
      </c>
      <c r="D373" t="s">
        <v>962</v>
      </c>
      <c r="G373" t="s">
        <v>264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Q373" t="s">
        <v>1077</v>
      </c>
      <c r="V373" s="2" t="s">
        <v>1076</v>
      </c>
    </row>
    <row r="374" spans="1:22" x14ac:dyDescent="0.3">
      <c r="A374" t="s">
        <v>341</v>
      </c>
      <c r="C374" t="s">
        <v>56</v>
      </c>
      <c r="D374" t="s">
        <v>1075</v>
      </c>
      <c r="G374" t="s">
        <v>264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Q374" t="s">
        <v>1071</v>
      </c>
      <c r="V374" s="2" t="s">
        <v>1070</v>
      </c>
    </row>
    <row r="375" spans="1:22" x14ac:dyDescent="0.3">
      <c r="A375" t="s">
        <v>1069</v>
      </c>
      <c r="C375" t="s">
        <v>62</v>
      </c>
      <c r="D375" t="s">
        <v>1068</v>
      </c>
      <c r="G375" t="s">
        <v>241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Q375" t="s">
        <v>1065</v>
      </c>
      <c r="V375" s="2" t="s">
        <v>1064</v>
      </c>
    </row>
    <row r="376" spans="1:22" x14ac:dyDescent="0.3">
      <c r="A376" t="s">
        <v>369</v>
      </c>
      <c r="C376" t="s">
        <v>60</v>
      </c>
      <c r="D376" t="s">
        <v>1063</v>
      </c>
      <c r="G376" t="s">
        <v>264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Q376" t="s">
        <v>1059</v>
      </c>
      <c r="V376" s="2" t="s">
        <v>1058</v>
      </c>
    </row>
    <row r="377" spans="1:22" x14ac:dyDescent="0.3">
      <c r="A377" t="s">
        <v>430</v>
      </c>
      <c r="C377" t="s">
        <v>56</v>
      </c>
      <c r="D377" t="s">
        <v>1057</v>
      </c>
      <c r="G377" t="s">
        <v>264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Q377" t="s">
        <v>1053</v>
      </c>
      <c r="V377" s="2" t="s">
        <v>1052</v>
      </c>
    </row>
    <row r="378" spans="1:22" x14ac:dyDescent="0.3">
      <c r="A378" t="s">
        <v>314</v>
      </c>
      <c r="C378" t="s">
        <v>1051</v>
      </c>
      <c r="D378" t="s">
        <v>1050</v>
      </c>
      <c r="G378" t="s">
        <v>264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Q378" t="s">
        <v>1046</v>
      </c>
      <c r="V378" s="2" t="s">
        <v>1045</v>
      </c>
    </row>
    <row r="379" spans="1:22" x14ac:dyDescent="0.3">
      <c r="A379" t="s">
        <v>1044</v>
      </c>
      <c r="C379" t="s">
        <v>266</v>
      </c>
      <c r="D379" t="s">
        <v>1043</v>
      </c>
      <c r="G379" t="s">
        <v>264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Q379" t="s">
        <v>1039</v>
      </c>
      <c r="V379" s="2" t="s">
        <v>1038</v>
      </c>
    </row>
    <row r="380" spans="1:22" x14ac:dyDescent="0.3">
      <c r="A380" t="s">
        <v>295</v>
      </c>
      <c r="C380" t="s">
        <v>56</v>
      </c>
      <c r="D380" t="s">
        <v>1037</v>
      </c>
      <c r="G380" t="s">
        <v>264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Q380" t="s">
        <v>1033</v>
      </c>
      <c r="V380" s="2" t="s">
        <v>1032</v>
      </c>
    </row>
    <row r="381" spans="1:22" x14ac:dyDescent="0.3">
      <c r="A381" t="s">
        <v>720</v>
      </c>
      <c r="C381" t="s">
        <v>69</v>
      </c>
      <c r="D381" t="s">
        <v>1031</v>
      </c>
      <c r="G381" t="s">
        <v>264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Q381" t="s">
        <v>1028</v>
      </c>
      <c r="V381" s="2" t="s">
        <v>1027</v>
      </c>
    </row>
    <row r="382" spans="1:22" x14ac:dyDescent="0.3">
      <c r="A382" t="s">
        <v>1026</v>
      </c>
      <c r="C382" t="s">
        <v>75</v>
      </c>
      <c r="D382" t="s">
        <v>1025</v>
      </c>
      <c r="G382" t="s">
        <v>264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Q382" t="s">
        <v>1021</v>
      </c>
      <c r="V382" s="2" t="s">
        <v>1020</v>
      </c>
    </row>
    <row r="383" spans="1:22" x14ac:dyDescent="0.3">
      <c r="A383" t="s">
        <v>1019</v>
      </c>
      <c r="C383" t="s">
        <v>60</v>
      </c>
      <c r="D383" t="s">
        <v>1018</v>
      </c>
      <c r="G383" t="s">
        <v>264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Q383" t="s">
        <v>1014</v>
      </c>
      <c r="V383" s="2" t="s">
        <v>1013</v>
      </c>
    </row>
    <row r="384" spans="1:22" x14ac:dyDescent="0.3">
      <c r="A384" t="s">
        <v>1012</v>
      </c>
      <c r="C384" t="s">
        <v>1011</v>
      </c>
      <c r="D384" t="s">
        <v>1010</v>
      </c>
      <c r="G384" t="s">
        <v>264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Q384" t="s">
        <v>1006</v>
      </c>
      <c r="V384" s="2" t="s">
        <v>1005</v>
      </c>
    </row>
    <row r="385" spans="1:22" x14ac:dyDescent="0.3">
      <c r="A385" t="s">
        <v>555</v>
      </c>
      <c r="C385" t="s">
        <v>56</v>
      </c>
      <c r="D385" t="s">
        <v>1004</v>
      </c>
      <c r="G385" t="s">
        <v>264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Q385" t="s">
        <v>1001</v>
      </c>
      <c r="V385" s="2" t="s">
        <v>1000</v>
      </c>
    </row>
    <row r="386" spans="1:22" x14ac:dyDescent="0.3">
      <c r="A386" t="s">
        <v>563</v>
      </c>
      <c r="C386" t="s">
        <v>56</v>
      </c>
      <c r="D386" t="s">
        <v>382</v>
      </c>
      <c r="G386" t="s">
        <v>264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Q386" t="s">
        <v>996</v>
      </c>
      <c r="V386" s="2" t="s">
        <v>995</v>
      </c>
    </row>
    <row r="387" spans="1:22" x14ac:dyDescent="0.3">
      <c r="A387" t="s">
        <v>994</v>
      </c>
      <c r="C387" t="s">
        <v>243</v>
      </c>
      <c r="D387" t="s">
        <v>993</v>
      </c>
      <c r="G387" t="s">
        <v>241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Q387" t="s">
        <v>989</v>
      </c>
      <c r="V387" s="2" t="s">
        <v>988</v>
      </c>
    </row>
    <row r="388" spans="1:22" x14ac:dyDescent="0.3">
      <c r="A388" t="s">
        <v>369</v>
      </c>
      <c r="C388" t="s">
        <v>56</v>
      </c>
      <c r="D388" t="s">
        <v>987</v>
      </c>
      <c r="G388" t="s">
        <v>264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Q388" t="s">
        <v>983</v>
      </c>
      <c r="V388" s="2" t="s">
        <v>982</v>
      </c>
    </row>
    <row r="389" spans="1:22" x14ac:dyDescent="0.3">
      <c r="A389" t="s">
        <v>962</v>
      </c>
      <c r="C389" t="s">
        <v>463</v>
      </c>
      <c r="D389" t="s">
        <v>981</v>
      </c>
      <c r="G389" t="s">
        <v>241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Q389" t="s">
        <v>977</v>
      </c>
      <c r="V389" s="2" t="s">
        <v>976</v>
      </c>
    </row>
    <row r="390" spans="1:22" x14ac:dyDescent="0.3">
      <c r="A390" t="s">
        <v>975</v>
      </c>
      <c r="C390" t="s">
        <v>72</v>
      </c>
      <c r="D390" t="s">
        <v>974</v>
      </c>
      <c r="G390" t="s">
        <v>241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Q390" t="s">
        <v>971</v>
      </c>
      <c r="V390" s="2" t="s">
        <v>970</v>
      </c>
    </row>
    <row r="391" spans="1:22" x14ac:dyDescent="0.3">
      <c r="A391" t="s">
        <v>969</v>
      </c>
      <c r="C391" t="s">
        <v>56</v>
      </c>
      <c r="D391" t="s">
        <v>968</v>
      </c>
      <c r="G391" t="s">
        <v>264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Q391" t="s">
        <v>964</v>
      </c>
      <c r="V391" s="2" t="s">
        <v>963</v>
      </c>
    </row>
    <row r="392" spans="1:22" x14ac:dyDescent="0.3">
      <c r="A392" t="s">
        <v>295</v>
      </c>
      <c r="C392" t="s">
        <v>243</v>
      </c>
      <c r="D392" t="s">
        <v>962</v>
      </c>
      <c r="G392" t="s">
        <v>264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Q392" t="s">
        <v>958</v>
      </c>
      <c r="V392" s="2" t="s">
        <v>957</v>
      </c>
    </row>
    <row r="393" spans="1:22" x14ac:dyDescent="0.3">
      <c r="A393" t="s">
        <v>956</v>
      </c>
      <c r="C393" t="s">
        <v>60</v>
      </c>
      <c r="D393" t="s">
        <v>955</v>
      </c>
      <c r="G393" t="s">
        <v>241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Q393" t="s">
        <v>951</v>
      </c>
      <c r="V393" s="2" t="s">
        <v>950</v>
      </c>
    </row>
    <row r="394" spans="1:22" x14ac:dyDescent="0.3">
      <c r="A394" t="s">
        <v>610</v>
      </c>
      <c r="C394" t="s">
        <v>266</v>
      </c>
      <c r="D394" t="s">
        <v>949</v>
      </c>
      <c r="G394" t="s">
        <v>241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Q394" t="s">
        <v>946</v>
      </c>
      <c r="V394" s="2" t="s">
        <v>945</v>
      </c>
    </row>
    <row r="395" spans="1:22" x14ac:dyDescent="0.3">
      <c r="A395" t="s">
        <v>556</v>
      </c>
      <c r="C395" t="s">
        <v>60</v>
      </c>
      <c r="D395" t="s">
        <v>944</v>
      </c>
      <c r="G395" t="s">
        <v>264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Q395" t="s">
        <v>940</v>
      </c>
      <c r="V395" s="2" t="s">
        <v>939</v>
      </c>
    </row>
    <row r="396" spans="1:22" x14ac:dyDescent="0.3">
      <c r="A396" t="s">
        <v>938</v>
      </c>
      <c r="C396" t="s">
        <v>60</v>
      </c>
      <c r="D396" t="s">
        <v>937</v>
      </c>
      <c r="G396" t="s">
        <v>264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Q396" t="s">
        <v>933</v>
      </c>
      <c r="V396" s="2" t="s">
        <v>932</v>
      </c>
    </row>
    <row r="397" spans="1:22" x14ac:dyDescent="0.3">
      <c r="A397" t="s">
        <v>931</v>
      </c>
      <c r="C397" t="s">
        <v>56</v>
      </c>
      <c r="D397" t="s">
        <v>930</v>
      </c>
      <c r="G397" t="s">
        <v>241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Q397" t="s">
        <v>927</v>
      </c>
      <c r="V397" s="2" t="s">
        <v>926</v>
      </c>
    </row>
    <row r="398" spans="1:22" x14ac:dyDescent="0.3">
      <c r="A398" t="s">
        <v>925</v>
      </c>
      <c r="C398" t="s">
        <v>91</v>
      </c>
      <c r="D398" t="s">
        <v>924</v>
      </c>
      <c r="G398" t="s">
        <v>264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Q398" t="s">
        <v>920</v>
      </c>
      <c r="V398" s="2" t="s">
        <v>919</v>
      </c>
    </row>
    <row r="399" spans="1:22" x14ac:dyDescent="0.3">
      <c r="A399" t="s">
        <v>918</v>
      </c>
      <c r="C399" t="s">
        <v>77</v>
      </c>
      <c r="D399" t="s">
        <v>917</v>
      </c>
      <c r="G399" t="s">
        <v>264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Q399" t="s">
        <v>913</v>
      </c>
      <c r="V399" s="2" t="s">
        <v>912</v>
      </c>
    </row>
    <row r="400" spans="1:22" x14ac:dyDescent="0.3">
      <c r="A400" t="s">
        <v>756</v>
      </c>
      <c r="C400" t="s">
        <v>243</v>
      </c>
      <c r="D400" t="s">
        <v>911</v>
      </c>
      <c r="G400" t="s">
        <v>264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Q400" t="s">
        <v>907</v>
      </c>
      <c r="V400" s="2" t="s">
        <v>906</v>
      </c>
    </row>
    <row r="401" spans="1:22" x14ac:dyDescent="0.3">
      <c r="A401" t="s">
        <v>905</v>
      </c>
      <c r="C401" t="s">
        <v>807</v>
      </c>
      <c r="D401" t="s">
        <v>904</v>
      </c>
      <c r="G401" t="s">
        <v>241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Q401" t="s">
        <v>900</v>
      </c>
      <c r="V401" s="2" t="s">
        <v>899</v>
      </c>
    </row>
    <row r="402" spans="1:22" x14ac:dyDescent="0.3">
      <c r="A402" t="s">
        <v>498</v>
      </c>
      <c r="C402" t="s">
        <v>81</v>
      </c>
      <c r="D402" t="s">
        <v>898</v>
      </c>
      <c r="G402" t="s">
        <v>241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Q402" t="s">
        <v>894</v>
      </c>
      <c r="V402" s="2" t="s">
        <v>893</v>
      </c>
    </row>
    <row r="403" spans="1:22" x14ac:dyDescent="0.3">
      <c r="A403" t="s">
        <v>411</v>
      </c>
      <c r="C403" t="s">
        <v>77</v>
      </c>
      <c r="D403" t="s">
        <v>719</v>
      </c>
      <c r="G403" t="s">
        <v>264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Q403" t="s">
        <v>890</v>
      </c>
      <c r="V403" s="2" t="s">
        <v>889</v>
      </c>
    </row>
    <row r="404" spans="1:22" x14ac:dyDescent="0.3">
      <c r="A404" t="s">
        <v>888</v>
      </c>
      <c r="C404" t="s">
        <v>243</v>
      </c>
      <c r="D404" t="s">
        <v>887</v>
      </c>
      <c r="G404" t="s">
        <v>241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Q404" t="s">
        <v>883</v>
      </c>
      <c r="V404" s="2" t="s">
        <v>882</v>
      </c>
    </row>
    <row r="405" spans="1:22" x14ac:dyDescent="0.3">
      <c r="A405" t="s">
        <v>881</v>
      </c>
      <c r="C405" t="s">
        <v>81</v>
      </c>
      <c r="D405" t="s">
        <v>880</v>
      </c>
      <c r="G405" t="s">
        <v>264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Q405" t="s">
        <v>876</v>
      </c>
      <c r="V405" s="2" t="s">
        <v>875</v>
      </c>
    </row>
    <row r="406" spans="1:22" x14ac:dyDescent="0.3">
      <c r="A406" t="s">
        <v>874</v>
      </c>
      <c r="C406" t="s">
        <v>60</v>
      </c>
      <c r="D406" t="s">
        <v>873</v>
      </c>
      <c r="G406" t="s">
        <v>241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Q406" t="s">
        <v>869</v>
      </c>
      <c r="V406" s="2" t="s">
        <v>868</v>
      </c>
    </row>
    <row r="407" spans="1:22" x14ac:dyDescent="0.3">
      <c r="A407" t="s">
        <v>867</v>
      </c>
      <c r="C407" t="s">
        <v>463</v>
      </c>
      <c r="D407" t="s">
        <v>866</v>
      </c>
      <c r="G407" t="s">
        <v>241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Q407" t="s">
        <v>863</v>
      </c>
      <c r="V407" s="2" t="s">
        <v>862</v>
      </c>
    </row>
    <row r="408" spans="1:22" x14ac:dyDescent="0.3">
      <c r="A408" t="s">
        <v>756</v>
      </c>
      <c r="C408" t="s">
        <v>62</v>
      </c>
      <c r="D408" t="s">
        <v>861</v>
      </c>
      <c r="G408" t="s">
        <v>264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Q408" t="s">
        <v>857</v>
      </c>
      <c r="V408" s="2" t="s">
        <v>856</v>
      </c>
    </row>
    <row r="409" spans="1:22" x14ac:dyDescent="0.3">
      <c r="A409" t="s">
        <v>855</v>
      </c>
      <c r="C409" t="s">
        <v>91</v>
      </c>
      <c r="D409" t="s">
        <v>854</v>
      </c>
      <c r="G409" t="s">
        <v>264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Q409" t="s">
        <v>850</v>
      </c>
      <c r="V409" s="2" t="s">
        <v>849</v>
      </c>
    </row>
    <row r="410" spans="1:22" x14ac:dyDescent="0.3">
      <c r="A410" t="s">
        <v>848</v>
      </c>
      <c r="C410" t="s">
        <v>77</v>
      </c>
      <c r="D410" t="s">
        <v>847</v>
      </c>
      <c r="G410" t="s">
        <v>241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Q410" t="s">
        <v>843</v>
      </c>
      <c r="V410" s="2" t="s">
        <v>842</v>
      </c>
    </row>
    <row r="411" spans="1:22" x14ac:dyDescent="0.3">
      <c r="A411" t="s">
        <v>841</v>
      </c>
      <c r="C411" t="s">
        <v>243</v>
      </c>
      <c r="D411" t="s">
        <v>368</v>
      </c>
      <c r="G411" t="s">
        <v>264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Q411" t="s">
        <v>837</v>
      </c>
      <c r="V411" s="2" t="s">
        <v>836</v>
      </c>
    </row>
    <row r="412" spans="1:22" x14ac:dyDescent="0.3">
      <c r="A412" t="s">
        <v>835</v>
      </c>
      <c r="C412" t="s">
        <v>56</v>
      </c>
      <c r="D412" t="s">
        <v>834</v>
      </c>
      <c r="G412" t="s">
        <v>264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Q412" t="s">
        <v>830</v>
      </c>
      <c r="V412" s="2" t="s">
        <v>829</v>
      </c>
    </row>
    <row r="413" spans="1:22" x14ac:dyDescent="0.3">
      <c r="A413" t="s">
        <v>828</v>
      </c>
      <c r="C413" t="s">
        <v>75</v>
      </c>
      <c r="D413" t="s">
        <v>827</v>
      </c>
      <c r="G413" t="s">
        <v>241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Q413" t="s">
        <v>823</v>
      </c>
      <c r="V413" s="2" t="s">
        <v>822</v>
      </c>
    </row>
    <row r="414" spans="1:22" x14ac:dyDescent="0.3">
      <c r="A414" t="s">
        <v>808</v>
      </c>
      <c r="C414" t="s">
        <v>56</v>
      </c>
      <c r="D414" t="s">
        <v>821</v>
      </c>
      <c r="G414" t="s">
        <v>264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Q414" t="s">
        <v>817</v>
      </c>
      <c r="V414" s="2" t="s">
        <v>816</v>
      </c>
    </row>
    <row r="415" spans="1:22" x14ac:dyDescent="0.3">
      <c r="A415" t="s">
        <v>815</v>
      </c>
      <c r="C415" t="s">
        <v>60</v>
      </c>
      <c r="D415" t="s">
        <v>814</v>
      </c>
      <c r="G415" t="s">
        <v>264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Q415" t="s">
        <v>810</v>
      </c>
      <c r="V415" s="2" t="s">
        <v>809</v>
      </c>
    </row>
    <row r="416" spans="1:22" x14ac:dyDescent="0.3">
      <c r="A416" t="s">
        <v>808</v>
      </c>
      <c r="C416" t="s">
        <v>807</v>
      </c>
      <c r="D416" t="s">
        <v>806</v>
      </c>
      <c r="G416" t="s">
        <v>264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Q416" t="s">
        <v>802</v>
      </c>
      <c r="V416" s="2" t="s">
        <v>801</v>
      </c>
    </row>
    <row r="417" spans="1:22" x14ac:dyDescent="0.3">
      <c r="A417" t="s">
        <v>800</v>
      </c>
      <c r="C417" t="s">
        <v>56</v>
      </c>
      <c r="D417" t="s">
        <v>799</v>
      </c>
      <c r="G417" t="s">
        <v>241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Q417" t="s">
        <v>796</v>
      </c>
      <c r="V417" s="2" t="s">
        <v>795</v>
      </c>
    </row>
    <row r="418" spans="1:22" x14ac:dyDescent="0.3">
      <c r="A418" t="s">
        <v>794</v>
      </c>
      <c r="C418" t="s">
        <v>81</v>
      </c>
      <c r="D418" t="s">
        <v>455</v>
      </c>
      <c r="G418" t="s">
        <v>264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Q418" t="s">
        <v>790</v>
      </c>
      <c r="V418" s="2" t="s">
        <v>789</v>
      </c>
    </row>
    <row r="419" spans="1:22" x14ac:dyDescent="0.3">
      <c r="A419" t="s">
        <v>788</v>
      </c>
      <c r="C419" t="s">
        <v>69</v>
      </c>
      <c r="D419" t="s">
        <v>787</v>
      </c>
      <c r="G419" t="s">
        <v>241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Q419" t="s">
        <v>783</v>
      </c>
      <c r="V419" s="2" t="s">
        <v>782</v>
      </c>
    </row>
    <row r="420" spans="1:22" x14ac:dyDescent="0.3">
      <c r="A420" t="s">
        <v>781</v>
      </c>
      <c r="C420" t="s">
        <v>62</v>
      </c>
      <c r="D420" t="s">
        <v>455</v>
      </c>
      <c r="G420" t="s">
        <v>241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Q420" t="s">
        <v>778</v>
      </c>
      <c r="V420" s="2" t="s">
        <v>777</v>
      </c>
    </row>
    <row r="421" spans="1:22" x14ac:dyDescent="0.3">
      <c r="A421" t="s">
        <v>776</v>
      </c>
      <c r="C421" t="s">
        <v>91</v>
      </c>
      <c r="D421" t="s">
        <v>775</v>
      </c>
      <c r="G421" t="s">
        <v>241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Q421" t="s">
        <v>771</v>
      </c>
      <c r="V421" s="2" t="s">
        <v>770</v>
      </c>
    </row>
    <row r="422" spans="1:22" x14ac:dyDescent="0.3">
      <c r="A422" t="s">
        <v>769</v>
      </c>
      <c r="C422" t="s">
        <v>361</v>
      </c>
      <c r="D422" t="s">
        <v>768</v>
      </c>
      <c r="G422" t="s">
        <v>241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Q422" t="s">
        <v>764</v>
      </c>
      <c r="V422" s="2" t="s">
        <v>763</v>
      </c>
    </row>
    <row r="423" spans="1:22" x14ac:dyDescent="0.3">
      <c r="A423" t="s">
        <v>762</v>
      </c>
      <c r="C423" t="s">
        <v>243</v>
      </c>
      <c r="D423" t="s">
        <v>761</v>
      </c>
      <c r="G423" t="s">
        <v>264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Q423" t="s">
        <v>758</v>
      </c>
      <c r="V423" s="2" t="s">
        <v>757</v>
      </c>
    </row>
    <row r="424" spans="1:22" x14ac:dyDescent="0.3">
      <c r="A424" t="s">
        <v>756</v>
      </c>
      <c r="C424" t="s">
        <v>266</v>
      </c>
      <c r="D424" t="s">
        <v>755</v>
      </c>
      <c r="G424" t="s">
        <v>264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Q424" t="s">
        <v>752</v>
      </c>
      <c r="V424" s="2" t="s">
        <v>751</v>
      </c>
    </row>
    <row r="425" spans="1:22" x14ac:dyDescent="0.3">
      <c r="A425" t="s">
        <v>750</v>
      </c>
      <c r="C425" t="s">
        <v>62</v>
      </c>
      <c r="D425" t="s">
        <v>749</v>
      </c>
      <c r="G425" t="s">
        <v>241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Q425" t="s">
        <v>746</v>
      </c>
      <c r="V425" s="2" t="s">
        <v>745</v>
      </c>
    </row>
    <row r="426" spans="1:22" x14ac:dyDescent="0.3">
      <c r="A426" t="s">
        <v>642</v>
      </c>
      <c r="C426" t="s">
        <v>266</v>
      </c>
      <c r="D426" t="s">
        <v>744</v>
      </c>
      <c r="G426" t="s">
        <v>264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Q426" t="s">
        <v>740</v>
      </c>
      <c r="V426" s="2" t="s">
        <v>739</v>
      </c>
    </row>
    <row r="427" spans="1:22" x14ac:dyDescent="0.3">
      <c r="A427" t="s">
        <v>738</v>
      </c>
      <c r="C427" t="s">
        <v>77</v>
      </c>
      <c r="D427" t="s">
        <v>737</v>
      </c>
      <c r="G427" t="s">
        <v>241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Q427" t="s">
        <v>734</v>
      </c>
      <c r="V427" s="2" t="s">
        <v>733</v>
      </c>
    </row>
    <row r="428" spans="1:22" x14ac:dyDescent="0.3">
      <c r="A428" t="s">
        <v>376</v>
      </c>
      <c r="C428" t="s">
        <v>77</v>
      </c>
      <c r="D428" t="s">
        <v>732</v>
      </c>
      <c r="G428" t="s">
        <v>241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Q428" t="s">
        <v>729</v>
      </c>
      <c r="V428" s="2" t="s">
        <v>728</v>
      </c>
    </row>
    <row r="429" spans="1:22" x14ac:dyDescent="0.3">
      <c r="A429" t="s">
        <v>727</v>
      </c>
      <c r="C429" t="s">
        <v>266</v>
      </c>
      <c r="D429" t="s">
        <v>726</v>
      </c>
      <c r="G429" t="s">
        <v>264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Q429" t="s">
        <v>722</v>
      </c>
      <c r="V429" s="2" t="s">
        <v>721</v>
      </c>
    </row>
    <row r="430" spans="1:22" x14ac:dyDescent="0.3">
      <c r="A430" t="s">
        <v>720</v>
      </c>
      <c r="C430" t="s">
        <v>91</v>
      </c>
      <c r="D430" t="s">
        <v>719</v>
      </c>
      <c r="G430" t="s">
        <v>264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Q430" t="s">
        <v>715</v>
      </c>
      <c r="V430" s="2" t="s">
        <v>714</v>
      </c>
    </row>
    <row r="431" spans="1:22" x14ac:dyDescent="0.3">
      <c r="A431" t="s">
        <v>713</v>
      </c>
      <c r="C431" t="s">
        <v>56</v>
      </c>
      <c r="D431" t="s">
        <v>712</v>
      </c>
      <c r="G431" t="s">
        <v>264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Q431" t="s">
        <v>708</v>
      </c>
      <c r="V431" s="2" t="s">
        <v>707</v>
      </c>
    </row>
    <row r="432" spans="1:22" x14ac:dyDescent="0.3">
      <c r="A432" t="s">
        <v>706</v>
      </c>
      <c r="C432" t="s">
        <v>91</v>
      </c>
      <c r="D432" t="s">
        <v>705</v>
      </c>
      <c r="G432" t="s">
        <v>241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Q432" t="s">
        <v>701</v>
      </c>
      <c r="V432" s="2" t="s">
        <v>700</v>
      </c>
    </row>
    <row r="433" spans="1:22" x14ac:dyDescent="0.3">
      <c r="A433" t="s">
        <v>302</v>
      </c>
      <c r="C433" t="s">
        <v>65</v>
      </c>
      <c r="D433" t="s">
        <v>699</v>
      </c>
      <c r="G433" t="s">
        <v>241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Q433" t="s">
        <v>695</v>
      </c>
      <c r="V433" s="2" t="s">
        <v>694</v>
      </c>
    </row>
    <row r="434" spans="1:22" x14ac:dyDescent="0.3">
      <c r="A434" t="s">
        <v>693</v>
      </c>
      <c r="C434" t="s">
        <v>56</v>
      </c>
      <c r="D434" t="s">
        <v>692</v>
      </c>
      <c r="G434" t="s">
        <v>241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Q434" t="s">
        <v>688</v>
      </c>
      <c r="V434" s="2" t="s">
        <v>687</v>
      </c>
    </row>
    <row r="435" spans="1:22" x14ac:dyDescent="0.3">
      <c r="A435" t="s">
        <v>686</v>
      </c>
      <c r="C435" t="s">
        <v>60</v>
      </c>
      <c r="D435" t="s">
        <v>685</v>
      </c>
      <c r="G435" t="s">
        <v>264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Q435" t="s">
        <v>681</v>
      </c>
      <c r="V435" s="2" t="s">
        <v>680</v>
      </c>
    </row>
    <row r="436" spans="1:22" x14ac:dyDescent="0.3">
      <c r="A436" t="s">
        <v>679</v>
      </c>
      <c r="C436" t="s">
        <v>77</v>
      </c>
      <c r="D436" t="s">
        <v>120</v>
      </c>
      <c r="G436" t="s">
        <v>264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Q436" t="s">
        <v>676</v>
      </c>
      <c r="V436" s="2" t="s">
        <v>675</v>
      </c>
    </row>
    <row r="437" spans="1:22" x14ac:dyDescent="0.3">
      <c r="A437" t="s">
        <v>610</v>
      </c>
      <c r="C437" t="s">
        <v>243</v>
      </c>
      <c r="D437" t="s">
        <v>674</v>
      </c>
      <c r="G437" t="s">
        <v>241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Q437" t="s">
        <v>670</v>
      </c>
      <c r="V437" s="2" t="s">
        <v>669</v>
      </c>
    </row>
    <row r="438" spans="1:22" x14ac:dyDescent="0.3">
      <c r="A438" t="s">
        <v>668</v>
      </c>
      <c r="C438" t="s">
        <v>62</v>
      </c>
      <c r="D438" t="s">
        <v>667</v>
      </c>
      <c r="G438" t="s">
        <v>264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Q438" t="s">
        <v>664</v>
      </c>
      <c r="V438" s="2" t="s">
        <v>663</v>
      </c>
    </row>
    <row r="439" spans="1:22" x14ac:dyDescent="0.3">
      <c r="A439" t="s">
        <v>662</v>
      </c>
      <c r="C439" t="s">
        <v>266</v>
      </c>
      <c r="D439" t="s">
        <v>661</v>
      </c>
      <c r="G439" t="s">
        <v>241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Q439" t="s">
        <v>657</v>
      </c>
      <c r="V439" s="2" t="s">
        <v>656</v>
      </c>
    </row>
    <row r="440" spans="1:22" x14ac:dyDescent="0.3">
      <c r="A440" t="s">
        <v>655</v>
      </c>
      <c r="C440" t="s">
        <v>266</v>
      </c>
      <c r="D440" t="s">
        <v>654</v>
      </c>
      <c r="G440" t="s">
        <v>241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Q440" t="s">
        <v>651</v>
      </c>
      <c r="V440" s="2" t="s">
        <v>650</v>
      </c>
    </row>
    <row r="441" spans="1:22" x14ac:dyDescent="0.3">
      <c r="A441" t="s">
        <v>649</v>
      </c>
      <c r="C441" t="s">
        <v>91</v>
      </c>
      <c r="D441" t="s">
        <v>648</v>
      </c>
      <c r="G441" t="s">
        <v>241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Q441" t="s">
        <v>644</v>
      </c>
      <c r="V441" s="2" t="s">
        <v>643</v>
      </c>
    </row>
    <row r="442" spans="1:22" x14ac:dyDescent="0.3">
      <c r="A442" t="s">
        <v>302</v>
      </c>
      <c r="C442" t="s">
        <v>93</v>
      </c>
      <c r="D442" t="s">
        <v>642</v>
      </c>
      <c r="G442" t="s">
        <v>241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Q442" t="s">
        <v>638</v>
      </c>
      <c r="V442" s="2" t="s">
        <v>637</v>
      </c>
    </row>
    <row r="443" spans="1:22" x14ac:dyDescent="0.3">
      <c r="A443" t="s">
        <v>636</v>
      </c>
      <c r="C443" t="s">
        <v>60</v>
      </c>
      <c r="D443" t="s">
        <v>635</v>
      </c>
      <c r="G443" t="s">
        <v>241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Q443" t="s">
        <v>631</v>
      </c>
      <c r="V443" s="2" t="s">
        <v>630</v>
      </c>
    </row>
    <row r="444" spans="1:22" x14ac:dyDescent="0.3">
      <c r="A444" t="s">
        <v>629</v>
      </c>
      <c r="C444" t="s">
        <v>56</v>
      </c>
      <c r="D444" t="s">
        <v>628</v>
      </c>
      <c r="G444" t="s">
        <v>264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Q444" t="s">
        <v>624</v>
      </c>
      <c r="V444" s="2" t="s">
        <v>623</v>
      </c>
    </row>
    <row r="445" spans="1:22" x14ac:dyDescent="0.3">
      <c r="A445" t="s">
        <v>622</v>
      </c>
      <c r="C445" t="s">
        <v>60</v>
      </c>
      <c r="D445" t="s">
        <v>436</v>
      </c>
      <c r="G445" t="s">
        <v>264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Q445" t="s">
        <v>618</v>
      </c>
      <c r="V445" s="2" t="s">
        <v>617</v>
      </c>
    </row>
    <row r="446" spans="1:22" x14ac:dyDescent="0.3">
      <c r="A446" t="s">
        <v>484</v>
      </c>
      <c r="C446" t="s">
        <v>91</v>
      </c>
      <c r="D446" t="s">
        <v>616</v>
      </c>
      <c r="G446" t="s">
        <v>264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Q446" t="s">
        <v>612</v>
      </c>
      <c r="V446" s="2" t="s">
        <v>611</v>
      </c>
    </row>
    <row r="447" spans="1:22" x14ac:dyDescent="0.3">
      <c r="A447" t="s">
        <v>610</v>
      </c>
      <c r="C447" t="s">
        <v>81</v>
      </c>
      <c r="D447" t="s">
        <v>609</v>
      </c>
      <c r="G447" t="s">
        <v>241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Q447" t="s">
        <v>605</v>
      </c>
      <c r="V447" s="2" t="s">
        <v>604</v>
      </c>
    </row>
    <row r="448" spans="1:22" x14ac:dyDescent="0.3">
      <c r="A448" t="s">
        <v>603</v>
      </c>
      <c r="C448" t="s">
        <v>56</v>
      </c>
      <c r="D448" t="s">
        <v>602</v>
      </c>
      <c r="G448" t="s">
        <v>241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Q448" t="s">
        <v>598</v>
      </c>
      <c r="V448" s="2" t="s">
        <v>597</v>
      </c>
    </row>
    <row r="449" spans="1:22" x14ac:dyDescent="0.3">
      <c r="A449" t="s">
        <v>596</v>
      </c>
      <c r="C449" t="s">
        <v>361</v>
      </c>
      <c r="D449" t="s">
        <v>595</v>
      </c>
      <c r="G449" t="s">
        <v>241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Q449" t="s">
        <v>591</v>
      </c>
      <c r="V449" s="2" t="s">
        <v>590</v>
      </c>
    </row>
    <row r="450" spans="1:22" x14ac:dyDescent="0.3">
      <c r="A450" t="s">
        <v>589</v>
      </c>
      <c r="C450" t="s">
        <v>60</v>
      </c>
      <c r="D450" t="s">
        <v>588</v>
      </c>
      <c r="G450" t="s">
        <v>264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Q450" t="s">
        <v>584</v>
      </c>
      <c r="V450" s="2" t="s">
        <v>583</v>
      </c>
    </row>
    <row r="451" spans="1:22" x14ac:dyDescent="0.3">
      <c r="A451" t="s">
        <v>582</v>
      </c>
      <c r="C451" t="s">
        <v>81</v>
      </c>
      <c r="D451" t="s">
        <v>411</v>
      </c>
      <c r="G451" t="s">
        <v>264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Q451" t="s">
        <v>579</v>
      </c>
      <c r="V451" s="2" t="s">
        <v>578</v>
      </c>
    </row>
    <row r="452" spans="1:22" x14ac:dyDescent="0.3">
      <c r="A452" t="s">
        <v>577</v>
      </c>
      <c r="C452" t="s">
        <v>463</v>
      </c>
      <c r="D452" t="s">
        <v>576</v>
      </c>
      <c r="G452" t="s">
        <v>264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Q452" t="s">
        <v>572</v>
      </c>
      <c r="V452" s="2" t="s">
        <v>571</v>
      </c>
    </row>
    <row r="453" spans="1:22" x14ac:dyDescent="0.3">
      <c r="A453" t="s">
        <v>570</v>
      </c>
      <c r="C453" t="s">
        <v>93</v>
      </c>
      <c r="D453" t="s">
        <v>569</v>
      </c>
      <c r="G453" t="s">
        <v>264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Q453" t="s">
        <v>565</v>
      </c>
      <c r="V453" s="2" t="s">
        <v>564</v>
      </c>
    </row>
    <row r="454" spans="1:22" x14ac:dyDescent="0.3">
      <c r="A454" t="s">
        <v>563</v>
      </c>
      <c r="C454" t="s">
        <v>56</v>
      </c>
      <c r="D454" t="s">
        <v>562</v>
      </c>
      <c r="G454" t="s">
        <v>264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Q454" t="s">
        <v>558</v>
      </c>
      <c r="V454" s="2" t="s">
        <v>557</v>
      </c>
    </row>
    <row r="455" spans="1:22" x14ac:dyDescent="0.3">
      <c r="A455" t="s">
        <v>556</v>
      </c>
      <c r="C455" t="s">
        <v>243</v>
      </c>
      <c r="D455" t="s">
        <v>555</v>
      </c>
      <c r="G455" t="s">
        <v>264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Q455" t="s">
        <v>552</v>
      </c>
      <c r="V455" s="2" t="s">
        <v>551</v>
      </c>
    </row>
    <row r="456" spans="1:22" x14ac:dyDescent="0.3">
      <c r="A456" t="s">
        <v>390</v>
      </c>
      <c r="C456" t="s">
        <v>91</v>
      </c>
      <c r="D456" t="s">
        <v>550</v>
      </c>
      <c r="G456" t="s">
        <v>264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Q456" t="s">
        <v>546</v>
      </c>
      <c r="V456" s="2" t="s">
        <v>545</v>
      </c>
    </row>
    <row r="457" spans="1:22" x14ac:dyDescent="0.3">
      <c r="A457" t="s">
        <v>544</v>
      </c>
      <c r="C457" t="s">
        <v>70</v>
      </c>
      <c r="D457" t="s">
        <v>543</v>
      </c>
      <c r="G457" t="s">
        <v>241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Q457" t="s">
        <v>539</v>
      </c>
      <c r="V457" s="2" t="s">
        <v>538</v>
      </c>
    </row>
    <row r="458" spans="1:22" x14ac:dyDescent="0.3">
      <c r="A458" t="s">
        <v>537</v>
      </c>
      <c r="C458" t="s">
        <v>56</v>
      </c>
      <c r="D458" t="s">
        <v>536</v>
      </c>
      <c r="G458" t="s">
        <v>264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Q458" t="s">
        <v>532</v>
      </c>
      <c r="V458" s="2" t="s">
        <v>531</v>
      </c>
    </row>
    <row r="459" spans="1:22" x14ac:dyDescent="0.3">
      <c r="A459" t="s">
        <v>530</v>
      </c>
      <c r="C459" t="s">
        <v>62</v>
      </c>
      <c r="D459" t="s">
        <v>529</v>
      </c>
      <c r="G459" t="s">
        <v>264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Q459" t="s">
        <v>525</v>
      </c>
      <c r="V459" s="2" t="s">
        <v>524</v>
      </c>
    </row>
    <row r="460" spans="1:22" x14ac:dyDescent="0.3">
      <c r="A460" t="s">
        <v>523</v>
      </c>
      <c r="C460" t="s">
        <v>266</v>
      </c>
      <c r="D460" t="s">
        <v>522</v>
      </c>
      <c r="G460" t="s">
        <v>264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Q460" t="s">
        <v>518</v>
      </c>
      <c r="V460" s="2" t="s">
        <v>517</v>
      </c>
    </row>
    <row r="461" spans="1:22" x14ac:dyDescent="0.3">
      <c r="A461" t="s">
        <v>516</v>
      </c>
      <c r="C461" t="s">
        <v>243</v>
      </c>
      <c r="D461" t="s">
        <v>515</v>
      </c>
      <c r="G461" t="s">
        <v>241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Q461" t="s">
        <v>512</v>
      </c>
      <c r="V461" s="2" t="s">
        <v>511</v>
      </c>
    </row>
    <row r="462" spans="1:22" x14ac:dyDescent="0.3">
      <c r="A462" t="s">
        <v>369</v>
      </c>
      <c r="C462" t="s">
        <v>56</v>
      </c>
      <c r="D462" t="s">
        <v>436</v>
      </c>
      <c r="G462" t="s">
        <v>264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Q462" t="s">
        <v>507</v>
      </c>
      <c r="V462" s="2" t="s">
        <v>506</v>
      </c>
    </row>
    <row r="463" spans="1:22" x14ac:dyDescent="0.3">
      <c r="A463" t="s">
        <v>505</v>
      </c>
      <c r="C463" t="s">
        <v>93</v>
      </c>
      <c r="D463" t="s">
        <v>504</v>
      </c>
      <c r="G463" t="s">
        <v>264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Q463" t="s">
        <v>500</v>
      </c>
      <c r="V463" s="2" t="s">
        <v>499</v>
      </c>
    </row>
    <row r="464" spans="1:22" x14ac:dyDescent="0.3">
      <c r="A464" t="s">
        <v>498</v>
      </c>
      <c r="C464" t="s">
        <v>266</v>
      </c>
      <c r="D464" t="s">
        <v>497</v>
      </c>
      <c r="G464" t="s">
        <v>241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Q464" t="s">
        <v>493</v>
      </c>
      <c r="V464" s="2" t="s">
        <v>492</v>
      </c>
    </row>
    <row r="465" spans="1:22" x14ac:dyDescent="0.3">
      <c r="A465" t="s">
        <v>491</v>
      </c>
      <c r="C465" t="s">
        <v>77</v>
      </c>
      <c r="D465" t="s">
        <v>490</v>
      </c>
      <c r="G465" t="s">
        <v>241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Q465" t="s">
        <v>486</v>
      </c>
      <c r="V465" s="2" t="s">
        <v>485</v>
      </c>
    </row>
    <row r="466" spans="1:22" x14ac:dyDescent="0.3">
      <c r="A466" t="s">
        <v>484</v>
      </c>
      <c r="C466" t="s">
        <v>243</v>
      </c>
      <c r="D466" t="s">
        <v>483</v>
      </c>
      <c r="G466" t="s">
        <v>264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Q466" t="s">
        <v>479</v>
      </c>
      <c r="V466" s="2" t="s">
        <v>478</v>
      </c>
    </row>
    <row r="467" spans="1:22" x14ac:dyDescent="0.3">
      <c r="A467" t="s">
        <v>477</v>
      </c>
      <c r="C467" t="s">
        <v>56</v>
      </c>
      <c r="D467" t="s">
        <v>476</v>
      </c>
      <c r="G467" t="s">
        <v>264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Q467" t="s">
        <v>472</v>
      </c>
      <c r="V467" s="2" t="s">
        <v>471</v>
      </c>
    </row>
    <row r="468" spans="1:22" x14ac:dyDescent="0.3">
      <c r="A468" t="s">
        <v>341</v>
      </c>
      <c r="C468" t="s">
        <v>60</v>
      </c>
      <c r="D468" t="s">
        <v>470</v>
      </c>
      <c r="G468" t="s">
        <v>264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Q468" t="s">
        <v>466</v>
      </c>
      <c r="V468" s="2" t="s">
        <v>465</v>
      </c>
    </row>
    <row r="469" spans="1:22" x14ac:dyDescent="0.3">
      <c r="A469" t="s">
        <v>464</v>
      </c>
      <c r="C469" t="s">
        <v>463</v>
      </c>
      <c r="D469" t="s">
        <v>462</v>
      </c>
      <c r="G469" t="s">
        <v>241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Q469" t="s">
        <v>458</v>
      </c>
      <c r="V469" s="2" t="s">
        <v>457</v>
      </c>
    </row>
    <row r="470" spans="1:22" x14ac:dyDescent="0.3">
      <c r="A470" t="s">
        <v>456</v>
      </c>
      <c r="C470" t="s">
        <v>93</v>
      </c>
      <c r="D470" t="s">
        <v>455</v>
      </c>
      <c r="G470" t="s">
        <v>241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Q470" t="s">
        <v>451</v>
      </c>
      <c r="V470" s="2" t="s">
        <v>450</v>
      </c>
    </row>
    <row r="471" spans="1:22" x14ac:dyDescent="0.3">
      <c r="A471" t="s">
        <v>449</v>
      </c>
      <c r="C471" t="s">
        <v>56</v>
      </c>
      <c r="D471" t="s">
        <v>448</v>
      </c>
      <c r="G471" t="s">
        <v>241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Q471" t="s">
        <v>444</v>
      </c>
      <c r="V471" s="2" t="s">
        <v>443</v>
      </c>
    </row>
    <row r="472" spans="1:22" x14ac:dyDescent="0.3">
      <c r="A472" t="s">
        <v>442</v>
      </c>
      <c r="C472" t="s">
        <v>77</v>
      </c>
      <c r="D472" t="s">
        <v>353</v>
      </c>
      <c r="G472" t="s">
        <v>264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Q472" t="s">
        <v>439</v>
      </c>
      <c r="V472" s="2" t="s">
        <v>438</v>
      </c>
    </row>
    <row r="473" spans="1:22" x14ac:dyDescent="0.3">
      <c r="A473" t="s">
        <v>437</v>
      </c>
      <c r="C473" t="s">
        <v>70</v>
      </c>
      <c r="D473" t="s">
        <v>436</v>
      </c>
      <c r="G473" t="s">
        <v>264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Q473" t="s">
        <v>432</v>
      </c>
      <c r="V473" s="2" t="s">
        <v>431</v>
      </c>
    </row>
    <row r="474" spans="1:22" x14ac:dyDescent="0.3">
      <c r="A474" t="s">
        <v>430</v>
      </c>
      <c r="C474" t="s">
        <v>77</v>
      </c>
      <c r="D474" t="s">
        <v>429</v>
      </c>
      <c r="G474" t="s">
        <v>264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Q474" t="s">
        <v>425</v>
      </c>
      <c r="V474" s="2" t="s">
        <v>424</v>
      </c>
    </row>
    <row r="475" spans="1:22" x14ac:dyDescent="0.3">
      <c r="A475" t="s">
        <v>369</v>
      </c>
      <c r="C475" t="s">
        <v>56</v>
      </c>
      <c r="D475" t="s">
        <v>423</v>
      </c>
      <c r="G475" t="s">
        <v>264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Q475" t="s">
        <v>419</v>
      </c>
      <c r="V475" s="2" t="s">
        <v>418</v>
      </c>
    </row>
    <row r="476" spans="1:22" x14ac:dyDescent="0.3">
      <c r="A476" t="s">
        <v>417</v>
      </c>
      <c r="C476" t="s">
        <v>56</v>
      </c>
      <c r="D476" t="s">
        <v>416</v>
      </c>
      <c r="G476" t="s">
        <v>241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Q476" t="s">
        <v>413</v>
      </c>
      <c r="V476" s="2" t="s">
        <v>412</v>
      </c>
    </row>
    <row r="477" spans="1:22" x14ac:dyDescent="0.3">
      <c r="A477" t="s">
        <v>411</v>
      </c>
      <c r="C477" t="s">
        <v>75</v>
      </c>
      <c r="D477" t="s">
        <v>410</v>
      </c>
      <c r="G477" t="s">
        <v>264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Q477" t="s">
        <v>406</v>
      </c>
      <c r="V477" s="2" t="s">
        <v>405</v>
      </c>
    </row>
    <row r="478" spans="1:22" x14ac:dyDescent="0.3">
      <c r="A478" t="s">
        <v>404</v>
      </c>
      <c r="C478" t="s">
        <v>56</v>
      </c>
      <c r="D478" t="s">
        <v>403</v>
      </c>
      <c r="G478" t="s">
        <v>264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Q478" t="s">
        <v>399</v>
      </c>
      <c r="V478" s="2" t="s">
        <v>398</v>
      </c>
    </row>
    <row r="479" spans="1:22" x14ac:dyDescent="0.3">
      <c r="A479" t="s">
        <v>397</v>
      </c>
      <c r="C479" t="s">
        <v>108</v>
      </c>
      <c r="D479" t="s">
        <v>396</v>
      </c>
      <c r="G479" t="s">
        <v>241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Q479" t="s">
        <v>392</v>
      </c>
      <c r="V479" s="2" t="s">
        <v>391</v>
      </c>
    </row>
    <row r="480" spans="1:22" x14ac:dyDescent="0.3">
      <c r="A480" t="s">
        <v>390</v>
      </c>
      <c r="C480" t="s">
        <v>81</v>
      </c>
      <c r="D480" t="s">
        <v>389</v>
      </c>
      <c r="G480" t="s">
        <v>264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Q480" t="s">
        <v>385</v>
      </c>
      <c r="V480" s="2" t="s">
        <v>384</v>
      </c>
    </row>
    <row r="481" spans="1:22" x14ac:dyDescent="0.3">
      <c r="A481" t="s">
        <v>383</v>
      </c>
      <c r="C481" t="s">
        <v>81</v>
      </c>
      <c r="D481" t="s">
        <v>382</v>
      </c>
      <c r="G481" t="s">
        <v>264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Q481" t="s">
        <v>378</v>
      </c>
      <c r="V481" s="2" t="s">
        <v>377</v>
      </c>
    </row>
    <row r="482" spans="1:22" x14ac:dyDescent="0.3">
      <c r="A482" t="s">
        <v>376</v>
      </c>
      <c r="C482" t="s">
        <v>266</v>
      </c>
      <c r="D482" t="s">
        <v>375</v>
      </c>
      <c r="G482" t="s">
        <v>241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Q482" t="s">
        <v>371</v>
      </c>
      <c r="V482" s="2" t="s">
        <v>370</v>
      </c>
    </row>
    <row r="483" spans="1:22" x14ac:dyDescent="0.3">
      <c r="A483" t="s">
        <v>369</v>
      </c>
      <c r="C483" t="s">
        <v>266</v>
      </c>
      <c r="D483" t="s">
        <v>368</v>
      </c>
      <c r="G483" t="s">
        <v>264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Q483" t="s">
        <v>364</v>
      </c>
      <c r="V483" s="2" t="s">
        <v>363</v>
      </c>
    </row>
    <row r="484" spans="1:22" x14ac:dyDescent="0.3">
      <c r="A484" t="s">
        <v>362</v>
      </c>
      <c r="C484" t="s">
        <v>361</v>
      </c>
      <c r="D484" t="s">
        <v>360</v>
      </c>
      <c r="G484" t="s">
        <v>241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Q484" t="s">
        <v>356</v>
      </c>
      <c r="V484" s="2" t="s">
        <v>355</v>
      </c>
    </row>
    <row r="485" spans="1:22" x14ac:dyDescent="0.3">
      <c r="A485" t="s">
        <v>354</v>
      </c>
      <c r="C485" t="s">
        <v>72</v>
      </c>
      <c r="D485" t="s">
        <v>353</v>
      </c>
      <c r="G485" t="s">
        <v>264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Q485" t="s">
        <v>350</v>
      </c>
      <c r="V485" s="2" t="s">
        <v>349</v>
      </c>
    </row>
    <row r="486" spans="1:22" x14ac:dyDescent="0.3">
      <c r="A486" t="s">
        <v>295</v>
      </c>
      <c r="C486" t="s">
        <v>60</v>
      </c>
      <c r="D486" t="s">
        <v>348</v>
      </c>
      <c r="G486" t="s">
        <v>264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Q486" t="s">
        <v>344</v>
      </c>
      <c r="V486" s="2" t="s">
        <v>343</v>
      </c>
    </row>
    <row r="487" spans="1:22" x14ac:dyDescent="0.3">
      <c r="A487" t="s">
        <v>342</v>
      </c>
      <c r="C487" t="s">
        <v>56</v>
      </c>
      <c r="D487" t="s">
        <v>341</v>
      </c>
      <c r="G487" t="s">
        <v>264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Q487" t="s">
        <v>337</v>
      </c>
      <c r="V487" s="2" t="s">
        <v>336</v>
      </c>
    </row>
    <row r="488" spans="1:22" x14ac:dyDescent="0.3">
      <c r="A488" t="s">
        <v>335</v>
      </c>
      <c r="C488" t="s">
        <v>60</v>
      </c>
      <c r="D488" t="s">
        <v>334</v>
      </c>
      <c r="G488" t="s">
        <v>264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Q488" t="s">
        <v>330</v>
      </c>
      <c r="V488" s="2" t="s">
        <v>329</v>
      </c>
    </row>
    <row r="489" spans="1:22" x14ac:dyDescent="0.3">
      <c r="A489" t="s">
        <v>328</v>
      </c>
      <c r="C489" t="s">
        <v>62</v>
      </c>
      <c r="D489" t="s">
        <v>327</v>
      </c>
      <c r="G489" t="s">
        <v>241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Q489" t="s">
        <v>323</v>
      </c>
      <c r="V489" s="2" t="s">
        <v>322</v>
      </c>
    </row>
    <row r="490" spans="1:22" x14ac:dyDescent="0.3">
      <c r="A490" t="s">
        <v>321</v>
      </c>
      <c r="C490" t="s">
        <v>62</v>
      </c>
      <c r="D490" t="s">
        <v>320</v>
      </c>
      <c r="G490" t="s">
        <v>264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Q490" t="s">
        <v>316</v>
      </c>
      <c r="V490" s="2" t="s">
        <v>315</v>
      </c>
    </row>
    <row r="491" spans="1:22" x14ac:dyDescent="0.3">
      <c r="A491" t="s">
        <v>314</v>
      </c>
      <c r="C491" t="s">
        <v>75</v>
      </c>
      <c r="D491" t="s">
        <v>313</v>
      </c>
      <c r="G491" t="s">
        <v>264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Q491" t="s">
        <v>310</v>
      </c>
      <c r="V491" s="2" t="s">
        <v>309</v>
      </c>
    </row>
    <row r="492" spans="1:22" x14ac:dyDescent="0.3">
      <c r="A492" t="s">
        <v>288</v>
      </c>
      <c r="C492" t="s">
        <v>60</v>
      </c>
      <c r="D492" t="s">
        <v>308</v>
      </c>
      <c r="G492" t="s">
        <v>264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Q492" t="s">
        <v>304</v>
      </c>
      <c r="V492" s="2" t="s">
        <v>303</v>
      </c>
    </row>
    <row r="493" spans="1:22" x14ac:dyDescent="0.3">
      <c r="A493" t="s">
        <v>302</v>
      </c>
      <c r="C493" t="s">
        <v>56</v>
      </c>
      <c r="D493" t="s">
        <v>301</v>
      </c>
      <c r="G493" t="s">
        <v>241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Q493" t="s">
        <v>297</v>
      </c>
      <c r="V493" s="2" t="s">
        <v>296</v>
      </c>
    </row>
    <row r="494" spans="1:22" x14ac:dyDescent="0.3">
      <c r="A494" t="s">
        <v>295</v>
      </c>
      <c r="C494" t="s">
        <v>56</v>
      </c>
      <c r="D494" t="s">
        <v>294</v>
      </c>
      <c r="G494" t="s">
        <v>264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Q494" t="s">
        <v>290</v>
      </c>
      <c r="V494" s="2" t="s">
        <v>289</v>
      </c>
    </row>
    <row r="495" spans="1:22" x14ac:dyDescent="0.3">
      <c r="A495" t="s">
        <v>288</v>
      </c>
      <c r="C495" t="s">
        <v>75</v>
      </c>
      <c r="D495" t="s">
        <v>287</v>
      </c>
      <c r="G495" t="s">
        <v>264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Q495" t="s">
        <v>283</v>
      </c>
      <c r="V495" s="2" t="s">
        <v>282</v>
      </c>
    </row>
    <row r="496" spans="1:22" x14ac:dyDescent="0.3">
      <c r="A496" t="s">
        <v>281</v>
      </c>
      <c r="C496" t="s">
        <v>56</v>
      </c>
      <c r="D496" t="s">
        <v>280</v>
      </c>
      <c r="G496" t="s">
        <v>264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Q496" t="s">
        <v>276</v>
      </c>
      <c r="V496" s="2" t="s">
        <v>275</v>
      </c>
    </row>
    <row r="497" spans="1:22" x14ac:dyDescent="0.3">
      <c r="A497" t="s">
        <v>274</v>
      </c>
      <c r="C497" t="s">
        <v>243</v>
      </c>
      <c r="D497" t="s">
        <v>273</v>
      </c>
      <c r="G497" t="s">
        <v>264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Q497" t="s">
        <v>269</v>
      </c>
      <c r="V497" s="2" t="s">
        <v>268</v>
      </c>
    </row>
    <row r="498" spans="1:22" x14ac:dyDescent="0.3">
      <c r="A498" t="s">
        <v>267</v>
      </c>
      <c r="C498" t="s">
        <v>266</v>
      </c>
      <c r="D498" t="s">
        <v>265</v>
      </c>
      <c r="G498" t="s">
        <v>264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Q498" t="s">
        <v>260</v>
      </c>
      <c r="V498" s="2" t="s">
        <v>259</v>
      </c>
    </row>
    <row r="499" spans="1:22" x14ac:dyDescent="0.3">
      <c r="A499" t="s">
        <v>258</v>
      </c>
      <c r="C499" t="s">
        <v>77</v>
      </c>
      <c r="D499" t="s">
        <v>257</v>
      </c>
      <c r="G499" t="s">
        <v>241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Q499" t="s">
        <v>253</v>
      </c>
      <c r="V499" s="2" t="s">
        <v>252</v>
      </c>
    </row>
    <row r="500" spans="1:22" x14ac:dyDescent="0.3">
      <c r="A500" t="s">
        <v>251</v>
      </c>
      <c r="C500" t="s">
        <v>91</v>
      </c>
      <c r="D500" t="s">
        <v>250</v>
      </c>
      <c r="G500" t="s">
        <v>241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Q500" t="s">
        <v>246</v>
      </c>
      <c r="V500" s="2" t="s">
        <v>245</v>
      </c>
    </row>
    <row r="501" spans="1:22" x14ac:dyDescent="0.3">
      <c r="A501" t="s">
        <v>244</v>
      </c>
      <c r="C501" t="s">
        <v>243</v>
      </c>
      <c r="D501" t="s">
        <v>242</v>
      </c>
      <c r="G501" t="s">
        <v>241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Q501" t="s">
        <v>237</v>
      </c>
      <c r="V501" s="2" t="s">
        <v>236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G25"/>
  <sheetViews>
    <sheetView topLeftCell="A10" zoomScale="79" workbookViewId="0">
      <selection activeCell="M25" sqref="M25"/>
    </sheetView>
  </sheetViews>
  <sheetFormatPr defaultRowHeight="14.4" x14ac:dyDescent="0.3"/>
  <cols>
    <col min="1" max="1" width="15.5546875" customWidth="1"/>
    <col min="2" max="2" width="18.44140625" style="99" customWidth="1"/>
    <col min="3" max="3" width="17.44140625" style="99" customWidth="1"/>
    <col min="4" max="5" width="14.88671875" style="99" customWidth="1"/>
    <col min="6" max="6" width="24" style="2" customWidth="1"/>
    <col min="7" max="7" width="16.44140625" style="98" customWidth="1"/>
  </cols>
  <sheetData>
    <row r="1" spans="1:7" x14ac:dyDescent="0.3">
      <c r="A1" t="s">
        <v>136</v>
      </c>
      <c r="B1" t="s">
        <v>125</v>
      </c>
      <c r="C1" t="s">
        <v>3522</v>
      </c>
      <c r="D1" t="s">
        <v>3521</v>
      </c>
      <c r="E1" t="s">
        <v>3520</v>
      </c>
      <c r="F1" t="s">
        <v>3519</v>
      </c>
      <c r="G1" t="s">
        <v>3518</v>
      </c>
    </row>
    <row r="2" spans="1:7" x14ac:dyDescent="0.3">
      <c r="A2">
        <v>41640</v>
      </c>
      <c r="B2">
        <v>1099</v>
      </c>
      <c r="C2">
        <v>275</v>
      </c>
      <c r="D2">
        <v>643</v>
      </c>
      <c r="E2">
        <f>B2-D2</f>
        <v>456</v>
      </c>
      <c r="F2" t="s">
        <v>137</v>
      </c>
      <c r="G2">
        <f t="shared" ref="G2:G25" si="0">E2/B2</f>
        <v>0.41492265696087355</v>
      </c>
    </row>
    <row r="3" spans="1:7" x14ac:dyDescent="0.3">
      <c r="A3">
        <v>41671</v>
      </c>
      <c r="B3">
        <v>1204</v>
      </c>
      <c r="C3">
        <f t="shared" ref="C3:C25" si="1">B3-B2</f>
        <v>105</v>
      </c>
      <c r="D3">
        <v>720</v>
      </c>
      <c r="E3">
        <v>211</v>
      </c>
      <c r="F3" t="s">
        <v>138</v>
      </c>
      <c r="G3">
        <f t="shared" si="0"/>
        <v>0.17524916943521596</v>
      </c>
    </row>
    <row r="4" spans="1:7" x14ac:dyDescent="0.3">
      <c r="A4">
        <v>41699</v>
      </c>
      <c r="B4">
        <v>1944</v>
      </c>
      <c r="C4">
        <f t="shared" si="1"/>
        <v>740</v>
      </c>
      <c r="D4">
        <v>964</v>
      </c>
      <c r="E4">
        <f t="shared" ref="E4:E19" si="2">B4-D4</f>
        <v>980</v>
      </c>
      <c r="F4" t="s">
        <v>3517</v>
      </c>
      <c r="G4">
        <f t="shared" si="0"/>
        <v>0.50411522633744854</v>
      </c>
    </row>
    <row r="5" spans="1:7" x14ac:dyDescent="0.3">
      <c r="A5">
        <v>41730</v>
      </c>
      <c r="B5">
        <v>1743</v>
      </c>
      <c r="C5">
        <f t="shared" si="1"/>
        <v>-201</v>
      </c>
      <c r="D5">
        <v>830</v>
      </c>
      <c r="E5">
        <f t="shared" si="2"/>
        <v>913</v>
      </c>
      <c r="F5" t="s">
        <v>137</v>
      </c>
      <c r="G5">
        <f t="shared" si="0"/>
        <v>0.52380952380952384</v>
      </c>
    </row>
    <row r="6" spans="1:7" x14ac:dyDescent="0.3">
      <c r="A6">
        <v>41760</v>
      </c>
      <c r="B6">
        <v>1609</v>
      </c>
      <c r="C6">
        <f t="shared" si="1"/>
        <v>-134</v>
      </c>
      <c r="D6">
        <v>910</v>
      </c>
      <c r="E6">
        <f t="shared" si="2"/>
        <v>699</v>
      </c>
      <c r="F6" t="s">
        <v>138</v>
      </c>
      <c r="G6">
        <f t="shared" si="0"/>
        <v>0.43443132380360472</v>
      </c>
    </row>
    <row r="7" spans="1:7" x14ac:dyDescent="0.3">
      <c r="A7">
        <v>41791</v>
      </c>
      <c r="B7">
        <v>1494</v>
      </c>
      <c r="C7">
        <f t="shared" si="1"/>
        <v>-115</v>
      </c>
      <c r="D7">
        <v>909</v>
      </c>
      <c r="E7">
        <f t="shared" si="2"/>
        <v>585</v>
      </c>
      <c r="F7" t="s">
        <v>137</v>
      </c>
      <c r="G7">
        <f t="shared" si="0"/>
        <v>0.39156626506024095</v>
      </c>
    </row>
    <row r="8" spans="1:7" x14ac:dyDescent="0.3">
      <c r="A8">
        <v>41821</v>
      </c>
      <c r="B8">
        <v>1959</v>
      </c>
      <c r="C8">
        <f t="shared" si="1"/>
        <v>465</v>
      </c>
      <c r="D8">
        <v>830</v>
      </c>
      <c r="E8">
        <f t="shared" si="2"/>
        <v>1129</v>
      </c>
      <c r="F8" t="s">
        <v>138</v>
      </c>
      <c r="G8">
        <f t="shared" si="0"/>
        <v>0.57631444614599281</v>
      </c>
    </row>
    <row r="9" spans="1:7" x14ac:dyDescent="0.3">
      <c r="A9">
        <v>41852</v>
      </c>
      <c r="B9">
        <v>1868</v>
      </c>
      <c r="C9">
        <f t="shared" si="1"/>
        <v>-91</v>
      </c>
      <c r="D9">
        <v>906</v>
      </c>
      <c r="E9">
        <f t="shared" si="2"/>
        <v>962</v>
      </c>
      <c r="F9" t="s">
        <v>137</v>
      </c>
      <c r="G9">
        <f t="shared" si="0"/>
        <v>0.51498929336188437</v>
      </c>
    </row>
    <row r="10" spans="1:7" x14ac:dyDescent="0.3">
      <c r="A10">
        <v>41883</v>
      </c>
      <c r="B10">
        <v>1162</v>
      </c>
      <c r="C10">
        <f t="shared" si="1"/>
        <v>-706</v>
      </c>
      <c r="D10">
        <v>606</v>
      </c>
      <c r="E10">
        <f t="shared" si="2"/>
        <v>556</v>
      </c>
      <c r="F10" t="s">
        <v>3517</v>
      </c>
      <c r="G10">
        <f t="shared" si="0"/>
        <v>0.47848537005163511</v>
      </c>
    </row>
    <row r="11" spans="1:7" x14ac:dyDescent="0.3">
      <c r="A11">
        <v>41913</v>
      </c>
      <c r="B11">
        <v>1424</v>
      </c>
      <c r="C11">
        <f t="shared" si="1"/>
        <v>262</v>
      </c>
      <c r="D11">
        <v>943</v>
      </c>
      <c r="E11">
        <f t="shared" si="2"/>
        <v>481</v>
      </c>
      <c r="F11" t="s">
        <v>3517</v>
      </c>
      <c r="G11">
        <f t="shared" si="0"/>
        <v>0.3377808988764045</v>
      </c>
    </row>
    <row r="12" spans="1:7" x14ac:dyDescent="0.3">
      <c r="A12">
        <v>41944</v>
      </c>
      <c r="B12">
        <v>1232</v>
      </c>
      <c r="C12">
        <f t="shared" si="1"/>
        <v>-192</v>
      </c>
      <c r="D12">
        <v>801</v>
      </c>
      <c r="E12">
        <f t="shared" si="2"/>
        <v>431</v>
      </c>
      <c r="F12" t="s">
        <v>138</v>
      </c>
      <c r="G12">
        <f t="shared" si="0"/>
        <v>0.34983766233766234</v>
      </c>
    </row>
    <row r="13" spans="1:7" x14ac:dyDescent="0.3">
      <c r="A13">
        <v>41974</v>
      </c>
      <c r="B13">
        <v>1738</v>
      </c>
      <c r="C13">
        <f t="shared" si="1"/>
        <v>506</v>
      </c>
      <c r="D13">
        <v>786</v>
      </c>
      <c r="E13">
        <f t="shared" si="2"/>
        <v>952</v>
      </c>
      <c r="F13" t="s">
        <v>137</v>
      </c>
      <c r="G13">
        <f t="shared" si="0"/>
        <v>0.54775604142692746</v>
      </c>
    </row>
    <row r="14" spans="1:7" x14ac:dyDescent="0.3">
      <c r="A14">
        <v>42005</v>
      </c>
      <c r="B14">
        <v>1435</v>
      </c>
      <c r="C14">
        <f t="shared" si="1"/>
        <v>-303</v>
      </c>
      <c r="D14">
        <v>575</v>
      </c>
      <c r="E14">
        <f t="shared" si="2"/>
        <v>860</v>
      </c>
      <c r="F14" t="s">
        <v>138</v>
      </c>
      <c r="G14">
        <f t="shared" si="0"/>
        <v>0.5993031358885017</v>
      </c>
    </row>
    <row r="15" spans="1:7" x14ac:dyDescent="0.3">
      <c r="A15">
        <v>42036</v>
      </c>
      <c r="B15">
        <v>1865</v>
      </c>
      <c r="C15">
        <f t="shared" si="1"/>
        <v>430</v>
      </c>
      <c r="D15">
        <v>754</v>
      </c>
      <c r="E15">
        <f t="shared" si="2"/>
        <v>1111</v>
      </c>
      <c r="F15" t="s">
        <v>138</v>
      </c>
      <c r="G15">
        <f t="shared" si="0"/>
        <v>0.59571045576407511</v>
      </c>
    </row>
    <row r="16" spans="1:7" x14ac:dyDescent="0.3">
      <c r="A16">
        <v>42064</v>
      </c>
      <c r="B16">
        <v>1234</v>
      </c>
      <c r="C16">
        <f t="shared" si="1"/>
        <v>-631</v>
      </c>
      <c r="D16">
        <v>599</v>
      </c>
      <c r="E16">
        <f t="shared" si="2"/>
        <v>635</v>
      </c>
      <c r="F16" t="s">
        <v>137</v>
      </c>
      <c r="G16">
        <f t="shared" si="0"/>
        <v>0.51458670988654787</v>
      </c>
    </row>
    <row r="17" spans="1:7" x14ac:dyDescent="0.3">
      <c r="A17">
        <v>42095</v>
      </c>
      <c r="B17">
        <v>1577</v>
      </c>
      <c r="C17">
        <f t="shared" si="1"/>
        <v>343</v>
      </c>
      <c r="D17">
        <v>940</v>
      </c>
      <c r="E17">
        <f t="shared" si="2"/>
        <v>637</v>
      </c>
      <c r="F17" t="s">
        <v>138</v>
      </c>
      <c r="G17">
        <f t="shared" si="0"/>
        <v>0.40393151553582751</v>
      </c>
    </row>
    <row r="18" spans="1:7" x14ac:dyDescent="0.3">
      <c r="A18">
        <v>42125</v>
      </c>
      <c r="B18">
        <v>1983</v>
      </c>
      <c r="C18">
        <f t="shared" si="1"/>
        <v>406</v>
      </c>
      <c r="D18">
        <v>954</v>
      </c>
      <c r="E18">
        <f t="shared" si="2"/>
        <v>1029</v>
      </c>
      <c r="F18" t="s">
        <v>137</v>
      </c>
      <c r="G18">
        <f t="shared" si="0"/>
        <v>0.51891074130105896</v>
      </c>
    </row>
    <row r="19" spans="1:7" x14ac:dyDescent="0.3">
      <c r="A19">
        <v>42156</v>
      </c>
      <c r="B19">
        <v>1356</v>
      </c>
      <c r="C19">
        <f t="shared" si="1"/>
        <v>-627</v>
      </c>
      <c r="D19">
        <v>577</v>
      </c>
      <c r="E19">
        <f t="shared" si="2"/>
        <v>779</v>
      </c>
      <c r="F19" t="s">
        <v>3517</v>
      </c>
      <c r="G19">
        <f t="shared" si="0"/>
        <v>0.57448377581120946</v>
      </c>
    </row>
    <row r="20" spans="1:7" x14ac:dyDescent="0.3">
      <c r="A20">
        <v>42186</v>
      </c>
      <c r="B20">
        <v>1874</v>
      </c>
      <c r="C20">
        <f t="shared" si="1"/>
        <v>518</v>
      </c>
      <c r="D20">
        <v>865</v>
      </c>
      <c r="E20">
        <v>883</v>
      </c>
      <c r="F20" t="s">
        <v>138</v>
      </c>
      <c r="G20">
        <f t="shared" si="0"/>
        <v>0.47118463180362863</v>
      </c>
    </row>
    <row r="21" spans="1:7" x14ac:dyDescent="0.3">
      <c r="A21">
        <v>42217</v>
      </c>
      <c r="B21">
        <v>1479</v>
      </c>
      <c r="C21">
        <f t="shared" si="1"/>
        <v>-395</v>
      </c>
      <c r="D21">
        <v>588</v>
      </c>
      <c r="E21">
        <f>B21-D21</f>
        <v>891</v>
      </c>
      <c r="F21" t="s">
        <v>137</v>
      </c>
      <c r="G21">
        <f t="shared" si="0"/>
        <v>0.60243407707910746</v>
      </c>
    </row>
    <row r="22" spans="1:7" x14ac:dyDescent="0.3">
      <c r="A22">
        <v>42248</v>
      </c>
      <c r="B22">
        <v>1943</v>
      </c>
      <c r="C22">
        <f t="shared" si="1"/>
        <v>464</v>
      </c>
      <c r="D22">
        <v>785</v>
      </c>
      <c r="E22">
        <v>712</v>
      </c>
      <c r="F22" t="s">
        <v>138</v>
      </c>
      <c r="G22">
        <f t="shared" si="0"/>
        <v>0.36644364384971695</v>
      </c>
    </row>
    <row r="23" spans="1:7" x14ac:dyDescent="0.3">
      <c r="A23">
        <v>42278</v>
      </c>
      <c r="B23">
        <v>1444</v>
      </c>
      <c r="C23">
        <f t="shared" si="1"/>
        <v>-499</v>
      </c>
      <c r="D23">
        <v>657</v>
      </c>
      <c r="E23">
        <f>B23-D23</f>
        <v>787</v>
      </c>
      <c r="F23" t="s">
        <v>137</v>
      </c>
      <c r="G23">
        <f t="shared" si="0"/>
        <v>0.54501385041551242</v>
      </c>
    </row>
    <row r="24" spans="1:7" x14ac:dyDescent="0.3">
      <c r="A24">
        <v>42309</v>
      </c>
      <c r="B24">
        <v>1493</v>
      </c>
      <c r="C24">
        <f t="shared" si="1"/>
        <v>49</v>
      </c>
      <c r="D24">
        <v>880</v>
      </c>
      <c r="E24">
        <f>B24-D24</f>
        <v>613</v>
      </c>
      <c r="F24" t="s">
        <v>3517</v>
      </c>
      <c r="G24">
        <f t="shared" si="0"/>
        <v>0.4105827193569993</v>
      </c>
    </row>
    <row r="25" spans="1:7" x14ac:dyDescent="0.3">
      <c r="A25">
        <v>42339</v>
      </c>
      <c r="B25">
        <v>1738</v>
      </c>
      <c r="C25">
        <f t="shared" si="1"/>
        <v>245</v>
      </c>
      <c r="D25">
        <v>580</v>
      </c>
      <c r="E25">
        <f>B25-D25</f>
        <v>1158</v>
      </c>
      <c r="F25" t="s">
        <v>138</v>
      </c>
      <c r="G25">
        <f t="shared" si="0"/>
        <v>0.66628308400460301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topLeftCell="A4" workbookViewId="0">
      <selection activeCell="C21" sqref="C21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10937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9" t="s">
        <v>3546</v>
      </c>
      <c r="C2" s="110"/>
    </row>
    <row r="3" spans="2:8" ht="15" thickBot="1" x14ac:dyDescent="0.35">
      <c r="B3" s="109" t="s">
        <v>3545</v>
      </c>
      <c r="C3" s="111"/>
      <c r="E3" s="109" t="s">
        <v>3544</v>
      </c>
      <c r="F3" s="110"/>
    </row>
    <row r="4" spans="2:8" ht="18.75" customHeight="1" x14ac:dyDescent="0.3">
      <c r="B4" s="109"/>
      <c r="F4" s="2"/>
    </row>
    <row r="5" spans="2:8" ht="15" thickBot="1" x14ac:dyDescent="0.35">
      <c r="B5" s="9" t="s">
        <v>3543</v>
      </c>
      <c r="C5" s="108"/>
      <c r="E5" s="9" t="s">
        <v>3542</v>
      </c>
      <c r="F5" s="108"/>
    </row>
    <row r="6" spans="2:8" ht="15" thickBot="1" x14ac:dyDescent="0.35">
      <c r="B6" s="9" t="s">
        <v>3541</v>
      </c>
      <c r="C6" s="106"/>
      <c r="E6" s="9" t="s">
        <v>3540</v>
      </c>
      <c r="F6" s="106"/>
    </row>
    <row r="7" spans="2:8" ht="15" thickBot="1" x14ac:dyDescent="0.35">
      <c r="B7" s="9" t="s">
        <v>3539</v>
      </c>
      <c r="C7" s="106"/>
      <c r="E7" s="9" t="s">
        <v>3538</v>
      </c>
      <c r="F7" s="107"/>
      <c r="H7" s="9"/>
    </row>
    <row r="8" spans="2:8" ht="15" thickBot="1" x14ac:dyDescent="0.35">
      <c r="B8" s="9" t="s">
        <v>3537</v>
      </c>
      <c r="C8" s="106"/>
    </row>
    <row r="9" spans="2:8" ht="15" thickBot="1" x14ac:dyDescent="0.35">
      <c r="B9" s="9" t="s">
        <v>3536</v>
      </c>
      <c r="C9" s="106"/>
      <c r="E9" s="9" t="s">
        <v>3535</v>
      </c>
      <c r="F9" s="106"/>
    </row>
    <row r="10" spans="2:8" x14ac:dyDescent="0.3">
      <c r="B10" s="9" t="s">
        <v>3534</v>
      </c>
      <c r="C10" s="105"/>
      <c r="E10" s="9" t="s">
        <v>3533</v>
      </c>
      <c r="F10" s="105"/>
    </row>
    <row r="11" spans="2:8" x14ac:dyDescent="0.3">
      <c r="B11" s="104"/>
    </row>
    <row r="12" spans="2:8" ht="15" thickBot="1" x14ac:dyDescent="0.35">
      <c r="B12" s="9" t="s">
        <v>3532</v>
      </c>
      <c r="C12" s="103"/>
      <c r="G12" s="102"/>
    </row>
    <row r="13" spans="2:8" ht="15" thickBot="1" x14ac:dyDescent="0.35">
      <c r="B13" s="9" t="s">
        <v>3531</v>
      </c>
      <c r="C13" s="101"/>
    </row>
    <row r="14" spans="2:8" ht="15" thickBot="1" x14ac:dyDescent="0.35">
      <c r="B14" s="9" t="s">
        <v>3530</v>
      </c>
      <c r="C14" s="101"/>
    </row>
    <row r="15" spans="2:8" ht="15" thickBot="1" x14ac:dyDescent="0.35"/>
    <row r="16" spans="2:8" ht="15" thickBot="1" x14ac:dyDescent="0.35">
      <c r="B16" s="9" t="s">
        <v>3529</v>
      </c>
      <c r="C16" s="100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E17" sqref="E17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18.77734375" style="49" customWidth="1"/>
    <col min="4" max="16384" width="9.21875" style="49"/>
  </cols>
  <sheetData>
    <row r="1" spans="1:3" x14ac:dyDescent="0.3">
      <c r="B1" s="60" t="s">
        <v>3334</v>
      </c>
      <c r="C1" s="59">
        <v>46223</v>
      </c>
    </row>
    <row r="2" spans="1:3" ht="15" thickBot="1" x14ac:dyDescent="0.35"/>
    <row r="3" spans="1:3" x14ac:dyDescent="0.3">
      <c r="B3" s="58" t="s">
        <v>3333</v>
      </c>
      <c r="C3" s="58" t="s">
        <v>3332</v>
      </c>
    </row>
    <row r="4" spans="1:3" ht="18.600000000000001" thickBot="1" x14ac:dyDescent="0.4">
      <c r="A4" s="57" t="s">
        <v>3331</v>
      </c>
      <c r="B4" s="56" t="s">
        <v>3330</v>
      </c>
      <c r="C4" s="56" t="s">
        <v>3329</v>
      </c>
    </row>
    <row r="5" spans="1:3" x14ac:dyDescent="0.3">
      <c r="A5" s="55" t="s">
        <v>3527</v>
      </c>
      <c r="B5" s="54"/>
      <c r="C5" s="53"/>
    </row>
    <row r="6" spans="1:3" x14ac:dyDescent="0.3">
      <c r="A6" s="55" t="s">
        <v>3523</v>
      </c>
      <c r="B6" s="54"/>
      <c r="C6" s="53"/>
    </row>
    <row r="7" spans="1:3" x14ac:dyDescent="0.3">
      <c r="A7" s="55" t="s">
        <v>3524</v>
      </c>
      <c r="B7" s="54"/>
      <c r="C7" s="53"/>
    </row>
    <row r="8" spans="1:3" x14ac:dyDescent="0.3">
      <c r="A8" s="55" t="s">
        <v>3525</v>
      </c>
      <c r="B8" s="54"/>
      <c r="C8" s="53"/>
    </row>
    <row r="9" spans="1:3" x14ac:dyDescent="0.3">
      <c r="A9" s="55" t="s">
        <v>3526</v>
      </c>
      <c r="B9" s="54"/>
      <c r="C9" s="53"/>
    </row>
    <row r="12" spans="1:3" ht="21" x14ac:dyDescent="0.4">
      <c r="A12" s="126" t="s">
        <v>3328</v>
      </c>
      <c r="B12" s="126"/>
      <c r="C12" s="126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/>
      <c r="C14" s="50"/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workbookViewId="0">
      <selection activeCell="E10" sqref="E10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 t="s">
        <v>3513</v>
      </c>
      <c r="B1" s="127"/>
      <c r="C1" s="127"/>
      <c r="D1" s="127"/>
      <c r="E1" s="127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800</v>
      </c>
      <c r="D4" s="93">
        <v>900</v>
      </c>
      <c r="E4" s="93">
        <v>500</v>
      </c>
    </row>
    <row r="5" spans="1:5" x14ac:dyDescent="0.25">
      <c r="A5" s="93" t="s">
        <v>3507</v>
      </c>
      <c r="B5" s="93">
        <v>400</v>
      </c>
      <c r="C5" s="93">
        <v>100</v>
      </c>
      <c r="D5" s="93">
        <v>800</v>
      </c>
      <c r="E5" s="93">
        <v>100</v>
      </c>
    </row>
    <row r="6" spans="1:5" x14ac:dyDescent="0.25">
      <c r="A6" s="93" t="s">
        <v>3489</v>
      </c>
      <c r="B6" s="93">
        <v>200</v>
      </c>
      <c r="C6" s="93">
        <v>500</v>
      </c>
      <c r="D6" s="93">
        <v>500</v>
      </c>
      <c r="E6" s="93">
        <v>200</v>
      </c>
    </row>
    <row r="7" spans="1:5" x14ac:dyDescent="0.25">
      <c r="A7" s="93" t="s">
        <v>3506</v>
      </c>
      <c r="B7" s="93">
        <v>200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1700</v>
      </c>
      <c r="D9" s="94">
        <f>SUM(D4:D7)</f>
        <v>2700</v>
      </c>
      <c r="E9" s="94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 t="s">
        <v>3515</v>
      </c>
      <c r="B1" s="127"/>
      <c r="C1" s="127"/>
      <c r="D1" s="127"/>
      <c r="E1" s="127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400</v>
      </c>
      <c r="C4" s="93">
        <v>800</v>
      </c>
      <c r="D4" s="93">
        <v>900</v>
      </c>
      <c r="E4" s="93">
        <v>300</v>
      </c>
    </row>
    <row r="5" spans="1:5" x14ac:dyDescent="0.25">
      <c r="A5" s="93" t="s">
        <v>3507</v>
      </c>
      <c r="B5" s="93">
        <v>200</v>
      </c>
      <c r="C5" s="93">
        <v>500</v>
      </c>
      <c r="D5" s="93">
        <v>1200</v>
      </c>
      <c r="E5" s="93">
        <v>100</v>
      </c>
    </row>
    <row r="6" spans="1:5" x14ac:dyDescent="0.25">
      <c r="A6" s="93" t="s">
        <v>3489</v>
      </c>
      <c r="B6" s="93">
        <v>300</v>
      </c>
      <c r="C6" s="93">
        <v>400</v>
      </c>
      <c r="D6" s="93">
        <v>1400</v>
      </c>
      <c r="E6" s="93">
        <v>300</v>
      </c>
    </row>
    <row r="7" spans="1:5" x14ac:dyDescent="0.25">
      <c r="A7" s="93" t="s">
        <v>3506</v>
      </c>
      <c r="B7" s="93">
        <v>100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2000</v>
      </c>
      <c r="D9" s="94">
        <f>SUM(D4:D7)</f>
        <v>4000</v>
      </c>
      <c r="E9" s="94">
        <f>SUM(E4:E7)</f>
        <v>1000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topLeftCell="X1" workbookViewId="0">
      <selection activeCell="G14" sqref="G14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 t="s">
        <v>3514</v>
      </c>
      <c r="B1" s="127"/>
      <c r="C1" s="127"/>
      <c r="D1" s="127"/>
      <c r="E1" s="127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600</v>
      </c>
      <c r="D4" s="93">
        <v>700</v>
      </c>
      <c r="E4" s="93">
        <v>400</v>
      </c>
    </row>
    <row r="5" spans="1:5" x14ac:dyDescent="0.25">
      <c r="A5" s="93" t="s">
        <v>3507</v>
      </c>
      <c r="B5" s="93">
        <v>300</v>
      </c>
      <c r="C5" s="93">
        <v>200</v>
      </c>
      <c r="D5" s="93">
        <v>500</v>
      </c>
      <c r="E5" s="93">
        <v>600</v>
      </c>
    </row>
    <row r="6" spans="1:5" x14ac:dyDescent="0.25">
      <c r="A6" s="93" t="s">
        <v>3489</v>
      </c>
      <c r="B6" s="93">
        <v>200</v>
      </c>
      <c r="C6" s="93">
        <v>400</v>
      </c>
      <c r="D6" s="93">
        <v>500</v>
      </c>
      <c r="E6" s="93">
        <v>100</v>
      </c>
    </row>
    <row r="7" spans="1:5" x14ac:dyDescent="0.25">
      <c r="A7" s="93" t="s">
        <v>3506</v>
      </c>
      <c r="B7" s="93">
        <v>300</v>
      </c>
      <c r="C7" s="93">
        <v>300</v>
      </c>
      <c r="D7" s="93">
        <v>100</v>
      </c>
      <c r="E7" s="93">
        <v>200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1500</v>
      </c>
      <c r="D9" s="94">
        <f>SUM(D4:D7)</f>
        <v>1800</v>
      </c>
      <c r="E9" s="94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D16" sqref="D16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/>
      <c r="B1" s="127"/>
      <c r="C1" s="127"/>
      <c r="D1" s="127"/>
      <c r="E1" s="127"/>
    </row>
    <row r="3" spans="1:5" x14ac:dyDescent="0.25">
      <c r="A3" s="97"/>
      <c r="B3" s="96"/>
      <c r="C3" s="96"/>
      <c r="D3" s="96"/>
      <c r="E3" s="96"/>
    </row>
    <row r="9" spans="1:5" x14ac:dyDescent="0.25">
      <c r="A9" s="95"/>
      <c r="B9" s="94"/>
      <c r="C9" s="94"/>
      <c r="D9" s="94"/>
      <c r="E9" s="94"/>
    </row>
  </sheetData>
  <dataConsolidate topLabels="1">
    <dataRefs count="3">
      <dataRef ref="A3:E9" sheet="Connecticut"/>
      <dataRef ref="A3:E9" sheet="Maine"/>
      <dataRef ref="A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Formulas</vt:lpstr>
      <vt:lpstr>Logical Operators</vt:lpstr>
      <vt:lpstr>Advanced Logical Operators </vt:lpstr>
      <vt:lpstr>Database Functions</vt:lpstr>
      <vt:lpstr>Stats Functions</vt:lpstr>
      <vt:lpstr>State Abbreviations</vt:lpstr>
      <vt:lpstr>State Income (2001-2004)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om supare</cp:lastModifiedBy>
  <dcterms:created xsi:type="dcterms:W3CDTF">2015-08-01T18:39:33Z</dcterms:created>
  <dcterms:modified xsi:type="dcterms:W3CDTF">2026-07-20T15:54:23Z</dcterms:modified>
</cp:coreProperties>
</file>